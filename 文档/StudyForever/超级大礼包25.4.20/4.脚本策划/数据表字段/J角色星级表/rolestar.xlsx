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95" yWindow="1785" windowWidth="20730" windowHeight="1072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22" i="1" l="1"/>
  <c r="G123" i="1"/>
  <c r="G124" i="1"/>
  <c r="G125" i="1"/>
  <c r="G126" i="1"/>
  <c r="G127" i="1"/>
  <c r="G128" i="1"/>
  <c r="G129" i="1"/>
  <c r="G130" i="1"/>
  <c r="G131" i="1"/>
  <c r="G132" i="1"/>
  <c r="G133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E123" i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G121" i="1"/>
  <c r="F121" i="1"/>
  <c r="E122" i="1"/>
  <c r="G110" i="1"/>
  <c r="G111" i="1"/>
  <c r="G112" i="1"/>
  <c r="G113" i="1"/>
  <c r="G114" i="1"/>
  <c r="G115" i="1"/>
  <c r="G116" i="1"/>
  <c r="G117" i="1"/>
  <c r="G118" i="1"/>
  <c r="G119" i="1"/>
  <c r="G120" i="1"/>
  <c r="F110" i="1"/>
  <c r="F111" i="1"/>
  <c r="F112" i="1"/>
  <c r="F113" i="1"/>
  <c r="F114" i="1"/>
  <c r="F115" i="1"/>
  <c r="F116" i="1"/>
  <c r="F117" i="1"/>
  <c r="F118" i="1"/>
  <c r="F119" i="1"/>
  <c r="F120" i="1"/>
  <c r="G109" i="1"/>
  <c r="F109" i="1"/>
  <c r="E110" i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09" i="1"/>
  <c r="G96" i="1"/>
  <c r="G97" i="1"/>
  <c r="G98" i="1"/>
  <c r="G99" i="1"/>
  <c r="G100" i="1"/>
  <c r="G101" i="1"/>
  <c r="G102" i="1"/>
  <c r="G103" i="1"/>
  <c r="G104" i="1"/>
  <c r="G105" i="1"/>
  <c r="G106" i="1"/>
  <c r="G107" i="1"/>
  <c r="F96" i="1"/>
  <c r="F97" i="1"/>
  <c r="F98" i="1"/>
  <c r="F99" i="1"/>
  <c r="F100" i="1"/>
  <c r="F101" i="1"/>
  <c r="F102" i="1"/>
  <c r="F103" i="1"/>
  <c r="F104" i="1"/>
  <c r="F105" i="1"/>
  <c r="F106" i="1"/>
  <c r="F107" i="1"/>
  <c r="G95" i="1"/>
  <c r="F95" i="1"/>
  <c r="E97" i="1"/>
  <c r="E98" i="1"/>
  <c r="E99" i="1"/>
  <c r="E100" i="1" s="1"/>
  <c r="E101" i="1" s="1"/>
  <c r="E102" i="1" s="1"/>
  <c r="E103" i="1" s="1"/>
  <c r="E104" i="1" s="1"/>
  <c r="E105" i="1" s="1"/>
  <c r="E106" i="1" s="1"/>
  <c r="E107" i="1" s="1"/>
  <c r="E96" i="1"/>
  <c r="G83" i="1"/>
  <c r="G84" i="1"/>
  <c r="G85" i="1"/>
  <c r="G86" i="1"/>
  <c r="G87" i="1"/>
  <c r="G88" i="1"/>
  <c r="G89" i="1"/>
  <c r="G90" i="1"/>
  <c r="G91" i="1"/>
  <c r="G92" i="1"/>
  <c r="G93" i="1"/>
  <c r="G94" i="1"/>
  <c r="F83" i="1"/>
  <c r="F84" i="1"/>
  <c r="F85" i="1"/>
  <c r="F86" i="1"/>
  <c r="F87" i="1"/>
  <c r="F88" i="1"/>
  <c r="F89" i="1"/>
  <c r="F90" i="1"/>
  <c r="F91" i="1"/>
  <c r="F92" i="1"/>
  <c r="F93" i="1"/>
  <c r="F94" i="1"/>
  <c r="G82" i="1"/>
  <c r="F82" i="1"/>
  <c r="E84" i="1"/>
  <c r="E85" i="1"/>
  <c r="E86" i="1" s="1"/>
  <c r="E87" i="1" s="1"/>
  <c r="E88" i="1" s="1"/>
  <c r="E89" i="1" s="1"/>
  <c r="E90" i="1" s="1"/>
  <c r="E91" i="1" s="1"/>
  <c r="E92" i="1" s="1"/>
  <c r="E93" i="1" s="1"/>
  <c r="E94" i="1" s="1"/>
  <c r="E83" i="1"/>
  <c r="A133" i="1" l="1"/>
  <c r="S132" i="1"/>
  <c r="Q132" i="1"/>
  <c r="M132" i="1"/>
  <c r="L132" i="1"/>
  <c r="C132" i="1"/>
  <c r="B132" i="1"/>
  <c r="A132" i="1" s="1"/>
  <c r="S131" i="1"/>
  <c r="Q131" i="1"/>
  <c r="M131" i="1"/>
  <c r="L131" i="1"/>
  <c r="C131" i="1"/>
  <c r="B131" i="1"/>
  <c r="A131" i="1" s="1"/>
  <c r="S130" i="1"/>
  <c r="Q130" i="1"/>
  <c r="M130" i="1"/>
  <c r="L130" i="1"/>
  <c r="C130" i="1"/>
  <c r="B130" i="1"/>
  <c r="A130" i="1" s="1"/>
  <c r="S129" i="1"/>
  <c r="Q129" i="1"/>
  <c r="M129" i="1"/>
  <c r="L129" i="1"/>
  <c r="C129" i="1"/>
  <c r="B129" i="1"/>
  <c r="A129" i="1" s="1"/>
  <c r="S128" i="1"/>
  <c r="Q128" i="1"/>
  <c r="M128" i="1"/>
  <c r="L128" i="1"/>
  <c r="C128" i="1"/>
  <c r="A128" i="1" s="1"/>
  <c r="B128" i="1"/>
  <c r="S127" i="1"/>
  <c r="Q127" i="1"/>
  <c r="M127" i="1"/>
  <c r="L127" i="1"/>
  <c r="C127" i="1"/>
  <c r="B127" i="1"/>
  <c r="A127" i="1" s="1"/>
  <c r="S126" i="1"/>
  <c r="Q126" i="1"/>
  <c r="M126" i="1"/>
  <c r="L126" i="1"/>
  <c r="C126" i="1"/>
  <c r="A126" i="1" s="1"/>
  <c r="B126" i="1"/>
  <c r="S125" i="1"/>
  <c r="Q125" i="1"/>
  <c r="M125" i="1"/>
  <c r="L125" i="1"/>
  <c r="C125" i="1"/>
  <c r="B125" i="1"/>
  <c r="A125" i="1" s="1"/>
  <c r="S124" i="1"/>
  <c r="Q124" i="1"/>
  <c r="M124" i="1"/>
  <c r="L124" i="1"/>
  <c r="C124" i="1"/>
  <c r="A124" i="1" s="1"/>
  <c r="B124" i="1"/>
  <c r="S123" i="1"/>
  <c r="Q123" i="1"/>
  <c r="M123" i="1"/>
  <c r="L123" i="1"/>
  <c r="C123" i="1"/>
  <c r="B123" i="1"/>
  <c r="A123" i="1" s="1"/>
  <c r="S122" i="1"/>
  <c r="Q122" i="1"/>
  <c r="M122" i="1"/>
  <c r="L122" i="1"/>
  <c r="C122" i="1"/>
  <c r="B122" i="1"/>
  <c r="A122" i="1"/>
  <c r="S121" i="1"/>
  <c r="Q121" i="1"/>
  <c r="M121" i="1"/>
  <c r="L121" i="1"/>
  <c r="C121" i="1"/>
  <c r="B121" i="1"/>
  <c r="A121" i="1" l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L44" i="1" l="1"/>
  <c r="M44" i="1"/>
  <c r="M57" i="1" s="1"/>
  <c r="M70" i="1" s="1"/>
  <c r="M83" i="1" s="1"/>
  <c r="M96" i="1" s="1"/>
  <c r="Q44" i="1"/>
  <c r="Q57" i="1" s="1"/>
  <c r="Q70" i="1" s="1"/>
  <c r="Q83" i="1" s="1"/>
  <c r="Q96" i="1" s="1"/>
  <c r="S44" i="1"/>
  <c r="L45" i="1"/>
  <c r="M45" i="1"/>
  <c r="Q45" i="1"/>
  <c r="Q58" i="1" s="1"/>
  <c r="Q71" i="1" s="1"/>
  <c r="Q84" i="1" s="1"/>
  <c r="Q97" i="1" s="1"/>
  <c r="S45" i="1"/>
  <c r="S58" i="1" s="1"/>
  <c r="S71" i="1" s="1"/>
  <c r="S84" i="1" s="1"/>
  <c r="S97" i="1" s="1"/>
  <c r="L46" i="1"/>
  <c r="L59" i="1" s="1"/>
  <c r="L72" i="1" s="1"/>
  <c r="L85" i="1" s="1"/>
  <c r="L98" i="1" s="1"/>
  <c r="M46" i="1"/>
  <c r="Q46" i="1"/>
  <c r="Q59" i="1" s="1"/>
  <c r="Q72" i="1" s="1"/>
  <c r="Q85" i="1" s="1"/>
  <c r="Q98" i="1" s="1"/>
  <c r="S46" i="1"/>
  <c r="L47" i="1"/>
  <c r="L60" i="1" s="1"/>
  <c r="L73" i="1" s="1"/>
  <c r="L86" i="1" s="1"/>
  <c r="L99" i="1" s="1"/>
  <c r="M47" i="1"/>
  <c r="M60" i="1" s="1"/>
  <c r="M73" i="1" s="1"/>
  <c r="M86" i="1" s="1"/>
  <c r="M99" i="1" s="1"/>
  <c r="Q47" i="1"/>
  <c r="Q60" i="1" s="1"/>
  <c r="Q73" i="1" s="1"/>
  <c r="Q86" i="1" s="1"/>
  <c r="Q99" i="1" s="1"/>
  <c r="S47" i="1"/>
  <c r="L48" i="1"/>
  <c r="M48" i="1"/>
  <c r="M61" i="1" s="1"/>
  <c r="M74" i="1" s="1"/>
  <c r="M87" i="1" s="1"/>
  <c r="M100" i="1" s="1"/>
  <c r="Q48" i="1"/>
  <c r="Q61" i="1" s="1"/>
  <c r="Q74" i="1" s="1"/>
  <c r="Q87" i="1" s="1"/>
  <c r="Q100" i="1" s="1"/>
  <c r="S48" i="1"/>
  <c r="L49" i="1"/>
  <c r="L62" i="1" s="1"/>
  <c r="L75" i="1" s="1"/>
  <c r="L88" i="1" s="1"/>
  <c r="L101" i="1" s="1"/>
  <c r="M49" i="1"/>
  <c r="M62" i="1" s="1"/>
  <c r="M75" i="1" s="1"/>
  <c r="M88" i="1" s="1"/>
  <c r="M101" i="1" s="1"/>
  <c r="Q49" i="1"/>
  <c r="Q62" i="1" s="1"/>
  <c r="Q75" i="1" s="1"/>
  <c r="Q88" i="1" s="1"/>
  <c r="Q101" i="1" s="1"/>
  <c r="S49" i="1"/>
  <c r="L50" i="1"/>
  <c r="L63" i="1" s="1"/>
  <c r="L76" i="1" s="1"/>
  <c r="L89" i="1" s="1"/>
  <c r="L102" i="1" s="1"/>
  <c r="M50" i="1"/>
  <c r="M63" i="1" s="1"/>
  <c r="M76" i="1" s="1"/>
  <c r="M89" i="1" s="1"/>
  <c r="M102" i="1" s="1"/>
  <c r="Q50" i="1"/>
  <c r="Q63" i="1" s="1"/>
  <c r="Q76" i="1" s="1"/>
  <c r="Q89" i="1" s="1"/>
  <c r="Q102" i="1" s="1"/>
  <c r="S50" i="1"/>
  <c r="L51" i="1"/>
  <c r="L64" i="1" s="1"/>
  <c r="L77" i="1" s="1"/>
  <c r="L90" i="1" s="1"/>
  <c r="L103" i="1" s="1"/>
  <c r="M51" i="1"/>
  <c r="M64" i="1" s="1"/>
  <c r="M77" i="1" s="1"/>
  <c r="M90" i="1" s="1"/>
  <c r="M103" i="1" s="1"/>
  <c r="Q51" i="1"/>
  <c r="Q64" i="1" s="1"/>
  <c r="Q77" i="1" s="1"/>
  <c r="Q90" i="1" s="1"/>
  <c r="Q103" i="1" s="1"/>
  <c r="S51" i="1"/>
  <c r="L52" i="1"/>
  <c r="L65" i="1" s="1"/>
  <c r="L78" i="1" s="1"/>
  <c r="L91" i="1" s="1"/>
  <c r="L104" i="1" s="1"/>
  <c r="M52" i="1"/>
  <c r="M65" i="1" s="1"/>
  <c r="M78" i="1" s="1"/>
  <c r="M91" i="1" s="1"/>
  <c r="M104" i="1" s="1"/>
  <c r="Q52" i="1"/>
  <c r="Q65" i="1" s="1"/>
  <c r="Q78" i="1" s="1"/>
  <c r="Q91" i="1" s="1"/>
  <c r="Q104" i="1" s="1"/>
  <c r="S52" i="1"/>
  <c r="L53" i="1"/>
  <c r="L66" i="1" s="1"/>
  <c r="L79" i="1" s="1"/>
  <c r="L92" i="1" s="1"/>
  <c r="L105" i="1" s="1"/>
  <c r="M53" i="1"/>
  <c r="M66" i="1" s="1"/>
  <c r="M79" i="1" s="1"/>
  <c r="M92" i="1" s="1"/>
  <c r="M105" i="1" s="1"/>
  <c r="Q53" i="1"/>
  <c r="Q66" i="1" s="1"/>
  <c r="Q79" i="1" s="1"/>
  <c r="Q92" i="1" s="1"/>
  <c r="Q105" i="1" s="1"/>
  <c r="S53" i="1"/>
  <c r="S66" i="1" s="1"/>
  <c r="S79" i="1" s="1"/>
  <c r="S92" i="1" s="1"/>
  <c r="S105" i="1" s="1"/>
  <c r="L54" i="1"/>
  <c r="L67" i="1" s="1"/>
  <c r="L80" i="1" s="1"/>
  <c r="L93" i="1" s="1"/>
  <c r="L106" i="1" s="1"/>
  <c r="M54" i="1"/>
  <c r="M67" i="1" s="1"/>
  <c r="M80" i="1" s="1"/>
  <c r="M93" i="1" s="1"/>
  <c r="M106" i="1" s="1"/>
  <c r="Q54" i="1"/>
  <c r="Q67" i="1" s="1"/>
  <c r="Q80" i="1" s="1"/>
  <c r="Q93" i="1" s="1"/>
  <c r="Q106" i="1" s="1"/>
  <c r="S54" i="1"/>
  <c r="L57" i="1"/>
  <c r="L70" i="1" s="1"/>
  <c r="L83" i="1" s="1"/>
  <c r="L96" i="1" s="1"/>
  <c r="S57" i="1"/>
  <c r="S70" i="1" s="1"/>
  <c r="S83" i="1" s="1"/>
  <c r="S96" i="1" s="1"/>
  <c r="L58" i="1"/>
  <c r="L71" i="1" s="1"/>
  <c r="L84" i="1" s="1"/>
  <c r="L97" i="1" s="1"/>
  <c r="M58" i="1"/>
  <c r="M71" i="1" s="1"/>
  <c r="M84" i="1" s="1"/>
  <c r="M97" i="1" s="1"/>
  <c r="M59" i="1"/>
  <c r="M72" i="1" s="1"/>
  <c r="M85" i="1" s="1"/>
  <c r="M98" i="1" s="1"/>
  <c r="S59" i="1"/>
  <c r="S60" i="1"/>
  <c r="S73" i="1" s="1"/>
  <c r="S86" i="1" s="1"/>
  <c r="S99" i="1" s="1"/>
  <c r="L61" i="1"/>
  <c r="L74" i="1" s="1"/>
  <c r="L87" i="1" s="1"/>
  <c r="L100" i="1" s="1"/>
  <c r="S61" i="1"/>
  <c r="S74" i="1" s="1"/>
  <c r="S87" i="1" s="1"/>
  <c r="S100" i="1" s="1"/>
  <c r="S62" i="1"/>
  <c r="S75" i="1" s="1"/>
  <c r="S88" i="1" s="1"/>
  <c r="S101" i="1" s="1"/>
  <c r="S63" i="1"/>
  <c r="S76" i="1" s="1"/>
  <c r="S89" i="1" s="1"/>
  <c r="S102" i="1" s="1"/>
  <c r="S64" i="1"/>
  <c r="S77" i="1" s="1"/>
  <c r="S90" i="1" s="1"/>
  <c r="S103" i="1" s="1"/>
  <c r="S65" i="1"/>
  <c r="S78" i="1" s="1"/>
  <c r="S91" i="1" s="1"/>
  <c r="S104" i="1" s="1"/>
  <c r="S67" i="1"/>
  <c r="S80" i="1" s="1"/>
  <c r="S93" i="1" s="1"/>
  <c r="S106" i="1" s="1"/>
  <c r="S72" i="1"/>
  <c r="S85" i="1" s="1"/>
  <c r="S98" i="1" s="1"/>
  <c r="L43" i="1"/>
  <c r="L56" i="1" s="1"/>
  <c r="L69" i="1" s="1"/>
  <c r="L82" i="1" s="1"/>
  <c r="L95" i="1" s="1"/>
  <c r="M43" i="1"/>
  <c r="M56" i="1" s="1"/>
  <c r="M69" i="1" s="1"/>
  <c r="M82" i="1" s="1"/>
  <c r="M95" i="1" s="1"/>
  <c r="Q43" i="1"/>
  <c r="Q56" i="1" s="1"/>
  <c r="Q69" i="1" s="1"/>
  <c r="Q82" i="1" s="1"/>
  <c r="Q95" i="1" s="1"/>
  <c r="S43" i="1"/>
  <c r="S56" i="1" s="1"/>
  <c r="S69" i="1" s="1"/>
  <c r="S82" i="1" s="1"/>
  <c r="S95" i="1" s="1"/>
  <c r="B44" i="1"/>
  <c r="C44" i="1"/>
  <c r="C57" i="1" s="1"/>
  <c r="C70" i="1" s="1"/>
  <c r="C83" i="1" s="1"/>
  <c r="C96" i="1" s="1"/>
  <c r="B45" i="1"/>
  <c r="B58" i="1" s="1"/>
  <c r="C45" i="1"/>
  <c r="C58" i="1" s="1"/>
  <c r="C71" i="1" s="1"/>
  <c r="C84" i="1" s="1"/>
  <c r="C97" i="1" s="1"/>
  <c r="B46" i="1"/>
  <c r="C46" i="1"/>
  <c r="B47" i="1"/>
  <c r="B60" i="1" s="1"/>
  <c r="C47" i="1"/>
  <c r="C60" i="1" s="1"/>
  <c r="C73" i="1" s="1"/>
  <c r="C86" i="1" s="1"/>
  <c r="C99" i="1" s="1"/>
  <c r="B48" i="1"/>
  <c r="C48" i="1"/>
  <c r="C61" i="1" s="1"/>
  <c r="C74" i="1" s="1"/>
  <c r="C87" i="1" s="1"/>
  <c r="C100" i="1" s="1"/>
  <c r="B49" i="1"/>
  <c r="B62" i="1" s="1"/>
  <c r="C49" i="1"/>
  <c r="C62" i="1" s="1"/>
  <c r="C75" i="1" s="1"/>
  <c r="C88" i="1" s="1"/>
  <c r="C101" i="1" s="1"/>
  <c r="B50" i="1"/>
  <c r="C50" i="1"/>
  <c r="B51" i="1"/>
  <c r="C51" i="1"/>
  <c r="C64" i="1" s="1"/>
  <c r="C77" i="1" s="1"/>
  <c r="C90" i="1" s="1"/>
  <c r="C103" i="1" s="1"/>
  <c r="B52" i="1"/>
  <c r="C52" i="1"/>
  <c r="C65" i="1" s="1"/>
  <c r="C78" i="1" s="1"/>
  <c r="C91" i="1" s="1"/>
  <c r="C104" i="1" s="1"/>
  <c r="B53" i="1"/>
  <c r="B66" i="1" s="1"/>
  <c r="C53" i="1"/>
  <c r="C66" i="1" s="1"/>
  <c r="C79" i="1" s="1"/>
  <c r="C92" i="1" s="1"/>
  <c r="C105" i="1" s="1"/>
  <c r="B54" i="1"/>
  <c r="C54" i="1"/>
  <c r="C67" i="1" s="1"/>
  <c r="C80" i="1" s="1"/>
  <c r="C93" i="1" s="1"/>
  <c r="C106" i="1" s="1"/>
  <c r="B57" i="1"/>
  <c r="B70" i="1" s="1"/>
  <c r="B83" i="1" s="1"/>
  <c r="B96" i="1" s="1"/>
  <c r="B59" i="1"/>
  <c r="B72" i="1" s="1"/>
  <c r="B85" i="1" s="1"/>
  <c r="B98" i="1" s="1"/>
  <c r="C59" i="1"/>
  <c r="C72" i="1" s="1"/>
  <c r="C85" i="1" s="1"/>
  <c r="C98" i="1" s="1"/>
  <c r="B61" i="1"/>
  <c r="B74" i="1" s="1"/>
  <c r="B87" i="1" s="1"/>
  <c r="B100" i="1" s="1"/>
  <c r="B63" i="1"/>
  <c r="B76" i="1" s="1"/>
  <c r="B89" i="1" s="1"/>
  <c r="B102" i="1" s="1"/>
  <c r="C63" i="1"/>
  <c r="C76" i="1" s="1"/>
  <c r="C89" i="1" s="1"/>
  <c r="C102" i="1" s="1"/>
  <c r="B65" i="1"/>
  <c r="B78" i="1" s="1"/>
  <c r="B91" i="1" s="1"/>
  <c r="B104" i="1" s="1"/>
  <c r="B67" i="1"/>
  <c r="B80" i="1" s="1"/>
  <c r="B93" i="1" s="1"/>
  <c r="B106" i="1" s="1"/>
  <c r="C43" i="1"/>
  <c r="C56" i="1" s="1"/>
  <c r="C69" i="1" s="1"/>
  <c r="C82" i="1" s="1"/>
  <c r="C95" i="1" s="1"/>
  <c r="B43" i="1"/>
  <c r="B56" i="1" s="1"/>
  <c r="A98" i="1" l="1"/>
  <c r="A66" i="1"/>
  <c r="A60" i="1"/>
  <c r="A51" i="1"/>
  <c r="A47" i="1"/>
  <c r="A62" i="1"/>
  <c r="A58" i="1"/>
  <c r="A53" i="1"/>
  <c r="A49" i="1"/>
  <c r="A106" i="1"/>
  <c r="A45" i="1"/>
  <c r="B64" i="1"/>
  <c r="A64" i="1" s="1"/>
  <c r="A100" i="1"/>
  <c r="B73" i="1"/>
  <c r="A89" i="1"/>
  <c r="A96" i="1"/>
  <c r="B79" i="1"/>
  <c r="B75" i="1"/>
  <c r="B71" i="1"/>
  <c r="A56" i="1"/>
  <c r="B69" i="1"/>
  <c r="A104" i="1"/>
  <c r="A102" i="1"/>
  <c r="A93" i="1"/>
  <c r="A91" i="1"/>
  <c r="A43" i="1"/>
  <c r="A85" i="1"/>
  <c r="A80" i="1"/>
  <c r="A76" i="1"/>
  <c r="A72" i="1"/>
  <c r="A67" i="1"/>
  <c r="A63" i="1"/>
  <c r="A59" i="1"/>
  <c r="A54" i="1"/>
  <c r="A50" i="1"/>
  <c r="A46" i="1"/>
  <c r="A87" i="1"/>
  <c r="A83" i="1"/>
  <c r="A78" i="1"/>
  <c r="A74" i="1"/>
  <c r="A70" i="1"/>
  <c r="A65" i="1"/>
  <c r="A61" i="1"/>
  <c r="A57" i="1"/>
  <c r="A52" i="1"/>
  <c r="A48" i="1"/>
  <c r="A44" i="1"/>
  <c r="A32" i="1"/>
  <c r="A33" i="1"/>
  <c r="A34" i="1"/>
  <c r="A35" i="1"/>
  <c r="A36" i="1"/>
  <c r="A37" i="1"/>
  <c r="A38" i="1"/>
  <c r="A39" i="1"/>
  <c r="A40" i="1"/>
  <c r="A41" i="1"/>
  <c r="A31" i="1"/>
  <c r="A30" i="1"/>
  <c r="A19" i="1"/>
  <c r="A20" i="1"/>
  <c r="A21" i="1"/>
  <c r="A22" i="1"/>
  <c r="A23" i="1"/>
  <c r="A24" i="1"/>
  <c r="A25" i="1"/>
  <c r="A26" i="1"/>
  <c r="A27" i="1"/>
  <c r="A28" i="1"/>
  <c r="A18" i="1"/>
  <c r="A17" i="1"/>
  <c r="A5" i="1"/>
  <c r="A12" i="1"/>
  <c r="A8" i="1"/>
  <c r="A9" i="1"/>
  <c r="A10" i="1"/>
  <c r="A11" i="1"/>
  <c r="A13" i="1"/>
  <c r="A14" i="1"/>
  <c r="A15" i="1"/>
  <c r="A6" i="1"/>
  <c r="A7" i="1"/>
  <c r="A4" i="1"/>
  <c r="B77" i="1" l="1"/>
  <c r="A77" i="1" s="1"/>
  <c r="A71" i="1"/>
  <c r="B84" i="1"/>
  <c r="A75" i="1"/>
  <c r="B88" i="1"/>
  <c r="A73" i="1"/>
  <c r="B86" i="1"/>
  <c r="A79" i="1"/>
  <c r="B92" i="1"/>
  <c r="A69" i="1"/>
  <c r="B82" i="1"/>
  <c r="B90" i="1" l="1"/>
  <c r="A90" i="1" s="1"/>
  <c r="A86" i="1"/>
  <c r="B99" i="1"/>
  <c r="A99" i="1" s="1"/>
  <c r="A84" i="1"/>
  <c r="B97" i="1"/>
  <c r="A97" i="1" s="1"/>
  <c r="A92" i="1"/>
  <c r="B105" i="1"/>
  <c r="A105" i="1" s="1"/>
  <c r="B101" i="1"/>
  <c r="A101" i="1" s="1"/>
  <c r="A88" i="1"/>
  <c r="A82" i="1"/>
  <c r="B95" i="1"/>
  <c r="A95" i="1" s="1"/>
  <c r="B103" i="1" l="1"/>
  <c r="A103" i="1" s="1"/>
</calcChain>
</file>

<file path=xl/sharedStrings.xml><?xml version="1.0" encoding="utf-8"?>
<sst xmlns="http://schemas.openxmlformats.org/spreadsheetml/2006/main" count="38" uniqueCount="38">
  <si>
    <t>英雄id</t>
  </si>
  <si>
    <t>英雄星级</t>
  </si>
  <si>
    <t>戒指一</t>
  </si>
  <si>
    <t>戒指三</t>
  </si>
  <si>
    <t>HP</t>
  </si>
  <si>
    <t>攻击力</t>
  </si>
  <si>
    <t>防御力</t>
  </si>
  <si>
    <t>霸气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</si>
  <si>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</si>
  <si>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</si>
  <si>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</si>
  <si>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</si>
  <si>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</si>
  <si>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</si>
  <si>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</si>
  <si>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</si>
  <si>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int-id</t>
    <phoneticPr fontId="1" type="noConversion"/>
  </si>
  <si>
    <t>int-heroId</t>
    <phoneticPr fontId="1" type="noConversion"/>
  </si>
  <si>
    <t>int-heroStar</t>
    <phoneticPr fontId="1" type="noConversion"/>
  </si>
  <si>
    <t>int-ring1</t>
    <phoneticPr fontId="1" type="noConversion"/>
  </si>
  <si>
    <t>戒指二</t>
    <phoneticPr fontId="1" type="noConversion"/>
  </si>
  <si>
    <t>int-ring2</t>
    <phoneticPr fontId="1" type="noConversion"/>
  </si>
  <si>
    <t>int-ring3</t>
    <phoneticPr fontId="1" type="noConversion"/>
  </si>
  <si>
    <t>备注</t>
    <phoneticPr fontId="1" type="noConversion"/>
  </si>
  <si>
    <t>int-needmoney</t>
    <phoneticPr fontId="1" type="noConversion"/>
  </si>
  <si>
    <t>升星消耗铜币</t>
    <phoneticPr fontId="1" type="noConversion"/>
  </si>
  <si>
    <t>float-HP</t>
  </si>
  <si>
    <t>float-attack</t>
  </si>
  <si>
    <t>float-defense</t>
  </si>
  <si>
    <t>float-superpower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</si>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</sst>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0"/>
      <color rgb="FF333399"/>
      <name val="宋体"/>
      <family val="3"/>
      <charset val="134"/>
    </font>
    <font>
      <b/>
      <sz val="11"/>
      <color rgb="FF333399"/>
      <name val="宋体"/>
      <family val="3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79">
    <xf numFmtId="0" fontId="0" fillId="0" borderId="0">
      <alignment vertical="center"/>
    </xf>
    <xf numFmtId="0" fontId="2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5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50" fillId="0" borderId="0"/>
    <xf numFmtId="0" fontId="44" fillId="3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37" fillId="35" borderId="1" applyNumberFormat="0" applyAlignment="0" applyProtection="0">
      <alignment vertical="center"/>
    </xf>
    <xf numFmtId="0" fontId="35" fillId="37" borderId="1" applyNumberFormat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36" fillId="35" borderId="8" applyNumberFormat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7" fillId="38" borderId="1" applyNumberFormat="0" applyAlignment="0" applyProtection="0">
      <alignment vertical="center"/>
    </xf>
    <xf numFmtId="0" fontId="39" fillId="42" borderId="2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9" fillId="42" borderId="2" applyNumberFormat="0" applyAlignment="0" applyProtection="0">
      <alignment vertical="center"/>
    </xf>
    <xf numFmtId="0" fontId="44" fillId="43" borderId="7" applyNumberFormat="0" applyFont="0" applyAlignment="0" applyProtection="0">
      <alignment vertical="center"/>
    </xf>
    <xf numFmtId="0" fontId="36" fillId="38" borderId="8" applyNumberFormat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35" fillId="27" borderId="1" applyNumberFormat="0" applyAlignment="0" applyProtection="0">
      <alignment vertical="center"/>
    </xf>
    <xf numFmtId="0" fontId="27" fillId="43" borderId="7" applyNumberFormat="0" applyFont="0" applyAlignment="0" applyProtection="0">
      <alignment vertical="center"/>
    </xf>
    <xf numFmtId="0" fontId="50" fillId="0" borderId="0"/>
    <xf numFmtId="0" fontId="44" fillId="3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37" fillId="35" borderId="1" applyNumberFormat="0" applyAlignment="0" applyProtection="0">
      <alignment vertical="center"/>
    </xf>
    <xf numFmtId="0" fontId="35" fillId="37" borderId="1" applyNumberFormat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36" fillId="35" borderId="8" applyNumberFormat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44" fillId="37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7" fillId="38" borderId="1" applyNumberFormat="0" applyAlignment="0" applyProtection="0">
      <alignment vertical="center"/>
    </xf>
    <xf numFmtId="0" fontId="39" fillId="42" borderId="2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9" fillId="42" borderId="2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4" fillId="43" borderId="7" applyNumberFormat="0" applyFont="0" applyAlignment="0" applyProtection="0">
      <alignment vertical="center"/>
    </xf>
    <xf numFmtId="0" fontId="36" fillId="38" borderId="8" applyNumberFormat="0" applyAlignment="0" applyProtection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32" fillId="3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35" fillId="27" borderId="1" applyNumberFormat="0" applyAlignment="0" applyProtection="0">
      <alignment vertical="center"/>
    </xf>
    <xf numFmtId="0" fontId="27" fillId="43" borderId="7" applyNumberFormat="0" applyFont="0" applyAlignment="0" applyProtection="0">
      <alignment vertical="center"/>
    </xf>
    <xf numFmtId="0" fontId="27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/>
    <xf numFmtId="0" fontId="27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27" fillId="9" borderId="7" applyNumberFormat="0" applyFont="0" applyAlignment="0" applyProtection="0">
      <alignment vertical="center"/>
    </xf>
  </cellStyleXfs>
  <cellXfs count="22">
    <xf numFmtId="0" fontId="0" fillId="0" borderId="0" xfId="0">
      <alignment vertical="center"/>
    </xf>
    <xf numFmtId="0" fontId="24" fillId="26" borderId="13" xfId="1" applyFont="1" applyFill="1" applyBorder="1" applyAlignment="1">
      <alignment horizontal="center" vertical="center"/>
    </xf>
    <xf numFmtId="0" fontId="24" fillId="26" borderId="14" xfId="1" applyFont="1" applyFill="1" applyBorder="1" applyAlignment="1">
      <alignment horizontal="center" vertical="center"/>
    </xf>
    <xf numFmtId="0" fontId="49" fillId="26" borderId="14" xfId="425" applyFont="1" applyFill="1" applyBorder="1" applyAlignment="1">
      <alignment horizontal="center" vertical="center"/>
    </xf>
    <xf numFmtId="0" fontId="26" fillId="0" borderId="14" xfId="425" applyFill="1" applyBorder="1" applyAlignment="1">
      <alignment horizontal="center" vertical="center"/>
    </xf>
    <xf numFmtId="0" fontId="49" fillId="26" borderId="13" xfId="425" applyFont="1" applyFill="1" applyBorder="1" applyAlignment="1">
      <alignment horizontal="center" vertical="center"/>
    </xf>
    <xf numFmtId="0" fontId="26" fillId="0" borderId="13" xfId="425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51" fillId="51" borderId="15" xfId="0" applyFont="1" applyFill="1" applyBorder="1" applyAlignment="1">
      <alignment horizontal="center" vertical="center"/>
    </xf>
    <xf numFmtId="0" fontId="52" fillId="52" borderId="15" xfId="1" applyFont="1" applyFill="1" applyBorder="1" applyAlignment="1">
      <alignment horizontal="center" vertical="center"/>
    </xf>
    <xf numFmtId="0" fontId="52" fillId="52" borderId="15" xfId="340" applyFont="1" applyFill="1" applyBorder="1" applyAlignment="1">
      <alignment horizontal="center" vertical="center"/>
    </xf>
    <xf numFmtId="0" fontId="53" fillId="52" borderId="15" xfId="0" applyFont="1" applyFill="1" applyBorder="1" applyAlignment="1">
      <alignment horizontal="center" vertical="center"/>
    </xf>
    <xf numFmtId="0" fontId="52" fillId="53" borderId="15" xfId="1" applyFont="1" applyFill="1" applyBorder="1" applyAlignment="1">
      <alignment horizontal="center" vertical="center"/>
    </xf>
    <xf numFmtId="0" fontId="52" fillId="53" borderId="15" xfId="340" applyFont="1" applyFill="1" applyBorder="1" applyAlignment="1">
      <alignment horizontal="center" vertical="center"/>
    </xf>
    <xf numFmtId="0" fontId="53" fillId="53" borderId="15" xfId="0" applyFont="1" applyFill="1" applyBorder="1" applyAlignment="1">
      <alignment horizontal="center" vertical="center"/>
    </xf>
    <xf numFmtId="0" fontId="24" fillId="54" borderId="13" xfId="1" applyFont="1" applyFill="1" applyBorder="1" applyAlignment="1">
      <alignment horizontal="center" vertical="center"/>
    </xf>
    <xf numFmtId="0" fontId="49" fillId="54" borderId="13" xfId="425" applyFont="1" applyFill="1" applyBorder="1" applyAlignment="1">
      <alignment horizontal="center" vertical="center"/>
    </xf>
    <xf numFmtId="0" fontId="0" fillId="54" borderId="13" xfId="0" applyFill="1" applyBorder="1" applyAlignment="1">
      <alignment horizontal="center" vertical="center"/>
    </xf>
    <xf numFmtId="0" fontId="0" fillId="54" borderId="14" xfId="0" applyFill="1" applyBorder="1" applyAlignment="1">
      <alignment horizontal="center" vertical="center"/>
    </xf>
  </cellXfs>
  <cellStyles count="979">
    <cellStyle name="20% - Accent1" xfId="2"/>
    <cellStyle name="20% - Accent1 2" xfId="3"/>
    <cellStyle name="20% - Accent1 2 2" xfId="4"/>
    <cellStyle name="20% - Accent1 2 2 2" xfId="664"/>
    <cellStyle name="20% - Accent1 2 3" xfId="5"/>
    <cellStyle name="20% - Accent1 2 3 2" xfId="665"/>
    <cellStyle name="20% - Accent1 2 4" xfId="589"/>
    <cellStyle name="20% - Accent1 2 5" xfId="663"/>
    <cellStyle name="20% - Accent1 3" xfId="6"/>
    <cellStyle name="20% - Accent1 3 2" xfId="666"/>
    <cellStyle name="20% - Accent1 4" xfId="427"/>
    <cellStyle name="20% - Accent1 5" xfId="523"/>
    <cellStyle name="20% - Accent2" xfId="7"/>
    <cellStyle name="20% - Accent2 2" xfId="8"/>
    <cellStyle name="20% - Accent2 2 2" xfId="9"/>
    <cellStyle name="20% - Accent2 2 2 2" xfId="668"/>
    <cellStyle name="20% - Accent2 2 3" xfId="10"/>
    <cellStyle name="20% - Accent2 2 3 2" xfId="669"/>
    <cellStyle name="20% - Accent2 2 4" xfId="583"/>
    <cellStyle name="20% - Accent2 2 5" xfId="667"/>
    <cellStyle name="20% - Accent2 3" xfId="11"/>
    <cellStyle name="20% - Accent2 3 2" xfId="670"/>
    <cellStyle name="20% - Accent2 4" xfId="428"/>
    <cellStyle name="20% - Accent2 5" xfId="517"/>
    <cellStyle name="20% - Accent3" xfId="12"/>
    <cellStyle name="20% - Accent3 2" xfId="13"/>
    <cellStyle name="20% - Accent3 2 2" xfId="14"/>
    <cellStyle name="20% - Accent3 2 2 2" xfId="672"/>
    <cellStyle name="20% - Accent3 2 3" xfId="15"/>
    <cellStyle name="20% - Accent3 2 3 2" xfId="673"/>
    <cellStyle name="20% - Accent3 2 4" xfId="585"/>
    <cellStyle name="20% - Accent3 2 5" xfId="671"/>
    <cellStyle name="20% - Accent3 3" xfId="16"/>
    <cellStyle name="20% - Accent3 3 2" xfId="674"/>
    <cellStyle name="20% - Accent3 4" xfId="429"/>
    <cellStyle name="20% - Accent3 5" xfId="519"/>
    <cellStyle name="20% - Accent4" xfId="17"/>
    <cellStyle name="20% - Accent4 2" xfId="18"/>
    <cellStyle name="20% - Accent4 2 2" xfId="19"/>
    <cellStyle name="20% - Accent4 2 2 2" xfId="676"/>
    <cellStyle name="20% - Accent4 2 3" xfId="20"/>
    <cellStyle name="20% - Accent4 2 3 2" xfId="677"/>
    <cellStyle name="20% - Accent4 2 4" xfId="578"/>
    <cellStyle name="20% - Accent4 2 5" xfId="675"/>
    <cellStyle name="20% - Accent4 3" xfId="21"/>
    <cellStyle name="20% - Accent4 3 2" xfId="678"/>
    <cellStyle name="20% - Accent4 4" xfId="430"/>
    <cellStyle name="20% - Accent4 5" xfId="513"/>
    <cellStyle name="20% - Accent5" xfId="22"/>
    <cellStyle name="20% - Accent5 2" xfId="23"/>
    <cellStyle name="20% - Accent5 2 2" xfId="24"/>
    <cellStyle name="20% - Accent5 2 2 2" xfId="680"/>
    <cellStyle name="20% - Accent5 2 3" xfId="25"/>
    <cellStyle name="20% - Accent5 2 3 2" xfId="681"/>
    <cellStyle name="20% - Accent5 2 4" xfId="586"/>
    <cellStyle name="20% - Accent5 2 5" xfId="679"/>
    <cellStyle name="20% - Accent5 3" xfId="26"/>
    <cellStyle name="20% - Accent5 3 2" xfId="682"/>
    <cellStyle name="20% - Accent5 4" xfId="431"/>
    <cellStyle name="20% - Accent5 5" xfId="520"/>
    <cellStyle name="20% - Accent6" xfId="27"/>
    <cellStyle name="20% - Accent6 2" xfId="28"/>
    <cellStyle name="20% - Accent6 2 2" xfId="29"/>
    <cellStyle name="20% - Accent6 2 2 2" xfId="684"/>
    <cellStyle name="20% - Accent6 2 3" xfId="30"/>
    <cellStyle name="20% - Accent6 2 3 2" xfId="685"/>
    <cellStyle name="20% - Accent6 2 4" xfId="587"/>
    <cellStyle name="20% - Accent6 2 5" xfId="683"/>
    <cellStyle name="20% - Accent6 3" xfId="31"/>
    <cellStyle name="20% - Accent6 3 2" xfId="686"/>
    <cellStyle name="20% - Accent6 4" xfId="432"/>
    <cellStyle name="20% - Accent6 5" xfId="521"/>
    <cellStyle name="20% - 强调文字颜色 1 2" xfId="32"/>
    <cellStyle name="20% - 强调文字颜色 1 2 2" xfId="33"/>
    <cellStyle name="20% - 强调文字颜色 1 2 2 2" xfId="34"/>
    <cellStyle name="20% - 强调文字颜色 1 2 2 2 2" xfId="688"/>
    <cellStyle name="20% - 强调文字颜色 1 2 2 3" xfId="35"/>
    <cellStyle name="20% - 强调文字颜色 1 2 2 3 2" xfId="689"/>
    <cellStyle name="20% - 强调文字颜色 1 2 2 4" xfId="577"/>
    <cellStyle name="20% - 强调文字颜色 1 2 2 5" xfId="687"/>
    <cellStyle name="20% - 强调文字颜色 1 2 3" xfId="36"/>
    <cellStyle name="20% - 强调文字颜色 1 2 3 2" xfId="690"/>
    <cellStyle name="20% - 强调文字颜色 1 2 4" xfId="433"/>
    <cellStyle name="20% - 强调文字颜色 1 2 5" xfId="512"/>
    <cellStyle name="20% - 强调文字颜色 2 2" xfId="37"/>
    <cellStyle name="20% - 强调文字颜色 2 2 2" xfId="38"/>
    <cellStyle name="20% - 强调文字颜色 2 2 2 2" xfId="39"/>
    <cellStyle name="20% - 强调文字颜色 2 2 2 2 2" xfId="692"/>
    <cellStyle name="20% - 强调文字颜色 2 2 2 3" xfId="40"/>
    <cellStyle name="20% - 强调文字颜色 2 2 2 3 2" xfId="693"/>
    <cellStyle name="20% - 强调文字颜色 2 2 2 4" xfId="590"/>
    <cellStyle name="20% - 强调文字颜色 2 2 2 5" xfId="691"/>
    <cellStyle name="20% - 强调文字颜色 2 2 3" xfId="41"/>
    <cellStyle name="20% - 强调文字颜色 2 2 3 2" xfId="694"/>
    <cellStyle name="20% - 强调文字颜色 2 2 4" xfId="434"/>
    <cellStyle name="20% - 强调文字颜色 2 2 5" xfId="524"/>
    <cellStyle name="20% - 强调文字颜色 3 2" xfId="42"/>
    <cellStyle name="20% - 强调文字颜色 3 2 2" xfId="43"/>
    <cellStyle name="20% - 强调文字颜色 3 2 2 2" xfId="44"/>
    <cellStyle name="20% - 强调文字颜色 3 2 2 2 2" xfId="696"/>
    <cellStyle name="20% - 强调文字颜色 3 2 2 3" xfId="45"/>
    <cellStyle name="20% - 强调文字颜色 3 2 2 3 2" xfId="697"/>
    <cellStyle name="20% - 强调文字颜色 3 2 2 4" xfId="592"/>
    <cellStyle name="20% - 强调文字颜色 3 2 2 5" xfId="695"/>
    <cellStyle name="20% - 强调文字颜色 3 2 3" xfId="46"/>
    <cellStyle name="20% - 强调文字颜色 3 2 3 2" xfId="698"/>
    <cellStyle name="20% - 强调文字颜色 3 2 4" xfId="435"/>
    <cellStyle name="20% - 强调文字颜色 3 2 5" xfId="525"/>
    <cellStyle name="20% - 强调文字颜色 4 2" xfId="47"/>
    <cellStyle name="20% - 强调文字颜色 4 2 2" xfId="48"/>
    <cellStyle name="20% - 强调文字颜色 4 2 2 2" xfId="49"/>
    <cellStyle name="20% - 强调文字颜色 4 2 2 2 2" xfId="700"/>
    <cellStyle name="20% - 强调文字颜色 4 2 2 3" xfId="50"/>
    <cellStyle name="20% - 强调文字颜色 4 2 2 3 2" xfId="701"/>
    <cellStyle name="20% - 强调文字颜色 4 2 2 4" xfId="595"/>
    <cellStyle name="20% - 强调文字颜色 4 2 2 5" xfId="699"/>
    <cellStyle name="20% - 强调文字颜色 4 2 3" xfId="51"/>
    <cellStyle name="20% - 强调文字颜色 4 2 3 2" xfId="702"/>
    <cellStyle name="20% - 强调文字颜色 4 2 4" xfId="436"/>
    <cellStyle name="20% - 强调文字颜色 4 2 5" xfId="527"/>
    <cellStyle name="20% - 强调文字颜色 5 2" xfId="52"/>
    <cellStyle name="20% - 强调文字颜色 5 2 2" xfId="53"/>
    <cellStyle name="20% - 强调文字颜色 5 2 2 2" xfId="54"/>
    <cellStyle name="20% - 强调文字颜色 5 2 2 2 2" xfId="704"/>
    <cellStyle name="20% - 强调文字颜色 5 2 2 3" xfId="55"/>
    <cellStyle name="20% - 强调文字颜色 5 2 2 3 2" xfId="705"/>
    <cellStyle name="20% - 强调文字颜色 5 2 2 4" xfId="596"/>
    <cellStyle name="20% - 强调文字颜色 5 2 2 5" xfId="703"/>
    <cellStyle name="20% - 强调文字颜色 5 2 3" xfId="56"/>
    <cellStyle name="20% - 强调文字颜色 5 2 3 2" xfId="706"/>
    <cellStyle name="20% - 强调文字颜色 5 2 4" xfId="437"/>
    <cellStyle name="20% - 强调文字颜色 5 2 5" xfId="528"/>
    <cellStyle name="20% - 强调文字颜色 6 2" xfId="57"/>
    <cellStyle name="20% - 强调文字颜色 6 2 2" xfId="58"/>
    <cellStyle name="20% - 强调文字颜色 6 2 2 2" xfId="59"/>
    <cellStyle name="20% - 强调文字颜色 6 2 2 2 2" xfId="708"/>
    <cellStyle name="20% - 强调文字颜色 6 2 2 3" xfId="60"/>
    <cellStyle name="20% - 强调文字颜色 6 2 2 3 2" xfId="709"/>
    <cellStyle name="20% - 强调文字颜色 6 2 2 4" xfId="597"/>
    <cellStyle name="20% - 强调文字颜色 6 2 2 5" xfId="707"/>
    <cellStyle name="20% - 强调文字颜色 6 2 3" xfId="61"/>
    <cellStyle name="20% - 强调文字颜色 6 2 3 2" xfId="710"/>
    <cellStyle name="20% - 强调文字颜色 6 2 4" xfId="438"/>
    <cellStyle name="20% - 强调文字颜色 6 2 5" xfId="529"/>
    <cellStyle name="40% - Accent1" xfId="62"/>
    <cellStyle name="40% - Accent1 2" xfId="63"/>
    <cellStyle name="40% - Accent1 2 2" xfId="64"/>
    <cellStyle name="40% - Accent1 2 2 2" xfId="712"/>
    <cellStyle name="40% - Accent1 2 3" xfId="65"/>
    <cellStyle name="40% - Accent1 2 3 2" xfId="713"/>
    <cellStyle name="40% - Accent1 2 4" xfId="598"/>
    <cellStyle name="40% - Accent1 2 5" xfId="711"/>
    <cellStyle name="40% - Accent1 3" xfId="66"/>
    <cellStyle name="40% - Accent1 3 2" xfId="714"/>
    <cellStyle name="40% - Accent1 4" xfId="439"/>
    <cellStyle name="40% - Accent1 5" xfId="530"/>
    <cellStyle name="40% - Accent2" xfId="67"/>
    <cellStyle name="40% - Accent2 2" xfId="68"/>
    <cellStyle name="40% - Accent2 2 2" xfId="69"/>
    <cellStyle name="40% - Accent2 2 2 2" xfId="716"/>
    <cellStyle name="40% - Accent2 2 3" xfId="70"/>
    <cellStyle name="40% - Accent2 2 3 2" xfId="717"/>
    <cellStyle name="40% - Accent2 2 4" xfId="599"/>
    <cellStyle name="40% - Accent2 2 5" xfId="715"/>
    <cellStyle name="40% - Accent2 3" xfId="71"/>
    <cellStyle name="40% - Accent2 3 2" xfId="718"/>
    <cellStyle name="40% - Accent2 4" xfId="440"/>
    <cellStyle name="40% - Accent2 5" xfId="531"/>
    <cellStyle name="40% - Accent3" xfId="72"/>
    <cellStyle name="40% - Accent3 2" xfId="73"/>
    <cellStyle name="40% - Accent3 2 2" xfId="74"/>
    <cellStyle name="40% - Accent3 2 2 2" xfId="720"/>
    <cellStyle name="40% - Accent3 2 3" xfId="75"/>
    <cellStyle name="40% - Accent3 2 3 2" xfId="721"/>
    <cellStyle name="40% - Accent3 2 4" xfId="593"/>
    <cellStyle name="40% - Accent3 2 5" xfId="719"/>
    <cellStyle name="40% - Accent3 3" xfId="76"/>
    <cellStyle name="40% - Accent3 3 2" xfId="722"/>
    <cellStyle name="40% - Accent3 4" xfId="441"/>
    <cellStyle name="40% - Accent3 5" xfId="526"/>
    <cellStyle name="40% - Accent4" xfId="77"/>
    <cellStyle name="40% - Accent4 2" xfId="78"/>
    <cellStyle name="40% - Accent4 2 2" xfId="79"/>
    <cellStyle name="40% - Accent4 2 2 2" xfId="724"/>
    <cellStyle name="40% - Accent4 2 3" xfId="80"/>
    <cellStyle name="40% - Accent4 2 3 2" xfId="725"/>
    <cellStyle name="40% - Accent4 2 4" xfId="600"/>
    <cellStyle name="40% - Accent4 2 5" xfId="723"/>
    <cellStyle name="40% - Accent4 3" xfId="81"/>
    <cellStyle name="40% - Accent4 3 2" xfId="726"/>
    <cellStyle name="40% - Accent4 4" xfId="442"/>
    <cellStyle name="40% - Accent4 5" xfId="532"/>
    <cellStyle name="40% - Accent5" xfId="82"/>
    <cellStyle name="40% - Accent5 2" xfId="83"/>
    <cellStyle name="40% - Accent5 2 2" xfId="84"/>
    <cellStyle name="40% - Accent5 2 2 2" xfId="728"/>
    <cellStyle name="40% - Accent5 2 3" xfId="85"/>
    <cellStyle name="40% - Accent5 2 3 2" xfId="729"/>
    <cellStyle name="40% - Accent5 2 4" xfId="602"/>
    <cellStyle name="40% - Accent5 2 5" xfId="727"/>
    <cellStyle name="40% - Accent5 3" xfId="86"/>
    <cellStyle name="40% - Accent5 3 2" xfId="730"/>
    <cellStyle name="40% - Accent5 4" xfId="443"/>
    <cellStyle name="40% - Accent5 5" xfId="533"/>
    <cellStyle name="40% - Accent6" xfId="87"/>
    <cellStyle name="40% - Accent6 2" xfId="88"/>
    <cellStyle name="40% - Accent6 2 2" xfId="89"/>
    <cellStyle name="40% - Accent6 2 2 2" xfId="732"/>
    <cellStyle name="40% - Accent6 2 3" xfId="90"/>
    <cellStyle name="40% - Accent6 2 3 2" xfId="733"/>
    <cellStyle name="40% - Accent6 2 4" xfId="603"/>
    <cellStyle name="40% - Accent6 2 5" xfId="731"/>
    <cellStyle name="40% - Accent6 3" xfId="91"/>
    <cellStyle name="40% - Accent6 3 2" xfId="734"/>
    <cellStyle name="40% - Accent6 4" xfId="444"/>
    <cellStyle name="40% - Accent6 5" xfId="534"/>
    <cellStyle name="40% - 强调文字颜色 1 2" xfId="92"/>
    <cellStyle name="40% - 强调文字颜色 1 2 2" xfId="93"/>
    <cellStyle name="40% - 强调文字颜色 1 2 2 2" xfId="94"/>
    <cellStyle name="40% - 强调文字颜色 1 2 2 2 2" xfId="736"/>
    <cellStyle name="40% - 强调文字颜色 1 2 2 3" xfId="95"/>
    <cellStyle name="40% - 强调文字颜色 1 2 2 3 2" xfId="737"/>
    <cellStyle name="40% - 强调文字颜色 1 2 2 4" xfId="604"/>
    <cellStyle name="40% - 强调文字颜色 1 2 2 5" xfId="735"/>
    <cellStyle name="40% - 强调文字颜色 1 2 3" xfId="96"/>
    <cellStyle name="40% - 强调文字颜色 1 2 3 2" xfId="738"/>
    <cellStyle name="40% - 强调文字颜色 1 2 4" xfId="445"/>
    <cellStyle name="40% - 强调文字颜色 1 2 5" xfId="535"/>
    <cellStyle name="40% - 强调文字颜色 2 2" xfId="97"/>
    <cellStyle name="40% - 强调文字颜色 2 2 2" xfId="98"/>
    <cellStyle name="40% - 强调文字颜色 2 2 2 2" xfId="99"/>
    <cellStyle name="40% - 强调文字颜色 2 2 2 2 2" xfId="740"/>
    <cellStyle name="40% - 强调文字颜色 2 2 2 3" xfId="100"/>
    <cellStyle name="40% - 强调文字颜色 2 2 2 3 2" xfId="741"/>
    <cellStyle name="40% - 强调文字颜色 2 2 2 4" xfId="605"/>
    <cellStyle name="40% - 强调文字颜色 2 2 2 5" xfId="739"/>
    <cellStyle name="40% - 强调文字颜色 2 2 3" xfId="101"/>
    <cellStyle name="40% - 强调文字颜色 2 2 3 2" xfId="742"/>
    <cellStyle name="40% - 强调文字颜色 2 2 4" xfId="446"/>
    <cellStyle name="40% - 强调文字颜色 2 2 5" xfId="536"/>
    <cellStyle name="40% - 强调文字颜色 3 2" xfId="102"/>
    <cellStyle name="40% - 强调文字颜色 3 2 2" xfId="103"/>
    <cellStyle name="40% - 强调文字颜色 3 2 2 2" xfId="104"/>
    <cellStyle name="40% - 强调文字颜色 3 2 2 2 2" xfId="744"/>
    <cellStyle name="40% - 强调文字颜色 3 2 2 3" xfId="105"/>
    <cellStyle name="40% - 强调文字颜色 3 2 2 3 2" xfId="745"/>
    <cellStyle name="40% - 强调文字颜色 3 2 2 4" xfId="606"/>
    <cellStyle name="40% - 强调文字颜色 3 2 2 5" xfId="743"/>
    <cellStyle name="40% - 强调文字颜色 3 2 3" xfId="106"/>
    <cellStyle name="40% - 强调文字颜色 3 2 3 2" xfId="746"/>
    <cellStyle name="40% - 强调文字颜色 3 2 4" xfId="447"/>
    <cellStyle name="40% - 强调文字颜色 3 2 5" xfId="537"/>
    <cellStyle name="40% - 强调文字颜色 4 2" xfId="107"/>
    <cellStyle name="40% - 强调文字颜色 4 2 2" xfId="108"/>
    <cellStyle name="40% - 强调文字颜色 4 2 2 2" xfId="109"/>
    <cellStyle name="40% - 强调文字颜色 4 2 2 2 2" xfId="748"/>
    <cellStyle name="40% - 强调文字颜色 4 2 2 3" xfId="110"/>
    <cellStyle name="40% - 强调文字颜色 4 2 2 3 2" xfId="749"/>
    <cellStyle name="40% - 强调文字颜色 4 2 2 4" xfId="581"/>
    <cellStyle name="40% - 强调文字颜色 4 2 2 5" xfId="747"/>
    <cellStyle name="40% - 强调文字颜色 4 2 3" xfId="111"/>
    <cellStyle name="40% - 强调文字颜色 4 2 3 2" xfId="750"/>
    <cellStyle name="40% - 强调文字颜色 4 2 4" xfId="448"/>
    <cellStyle name="40% - 强调文字颜色 4 2 5" xfId="516"/>
    <cellStyle name="40% - 强调文字颜色 5 2" xfId="112"/>
    <cellStyle name="40% - 强调文字颜色 5 2 2" xfId="113"/>
    <cellStyle name="40% - 强调文字颜色 5 2 2 2" xfId="114"/>
    <cellStyle name="40% - 强调文字颜色 5 2 2 2 2" xfId="752"/>
    <cellStyle name="40% - 强调文字颜色 5 2 2 3" xfId="115"/>
    <cellStyle name="40% - 强调文字颜色 5 2 2 3 2" xfId="753"/>
    <cellStyle name="40% - 强调文字颜色 5 2 2 4" xfId="607"/>
    <cellStyle name="40% - 强调文字颜色 5 2 2 5" xfId="751"/>
    <cellStyle name="40% - 强调文字颜色 5 2 3" xfId="116"/>
    <cellStyle name="40% - 强调文字颜色 5 2 3 2" xfId="754"/>
    <cellStyle name="40% - 强调文字颜色 5 2 4" xfId="449"/>
    <cellStyle name="40% - 强调文字颜色 5 2 5" xfId="538"/>
    <cellStyle name="40% - 强调文字颜色 6 2" xfId="117"/>
    <cellStyle name="40% - 强调文字颜色 6 2 2" xfId="118"/>
    <cellStyle name="40% - 强调文字颜色 6 2 2 2" xfId="119"/>
    <cellStyle name="40% - 强调文字颜色 6 2 2 2 2" xfId="756"/>
    <cellStyle name="40% - 强调文字颜色 6 2 2 3" xfId="120"/>
    <cellStyle name="40% - 强调文字颜色 6 2 2 3 2" xfId="757"/>
    <cellStyle name="40% - 强调文字颜色 6 2 2 4" xfId="608"/>
    <cellStyle name="40% - 强调文字颜色 6 2 2 5" xfId="755"/>
    <cellStyle name="40% - 强调文字颜色 6 2 3" xfId="121"/>
    <cellStyle name="40% - 强调文字颜色 6 2 3 2" xfId="758"/>
    <cellStyle name="40% - 强调文字颜色 6 2 4" xfId="450"/>
    <cellStyle name="40% - 强调文字颜色 6 2 5" xfId="539"/>
    <cellStyle name="60% - Accent1" xfId="122"/>
    <cellStyle name="60% - Accent1 2" xfId="123"/>
    <cellStyle name="60% - Accent1 2 2" xfId="124"/>
    <cellStyle name="60% - Accent1 2 2 2" xfId="760"/>
    <cellStyle name="60% - Accent1 2 3" xfId="125"/>
    <cellStyle name="60% - Accent1 2 3 2" xfId="761"/>
    <cellStyle name="60% - Accent1 2 4" xfId="609"/>
    <cellStyle name="60% - Accent1 2 5" xfId="759"/>
    <cellStyle name="60% - Accent1 3" xfId="126"/>
    <cellStyle name="60% - Accent1 3 2" xfId="762"/>
    <cellStyle name="60% - Accent1 4" xfId="451"/>
    <cellStyle name="60% - Accent1 5" xfId="540"/>
    <cellStyle name="60% - Accent2" xfId="127"/>
    <cellStyle name="60% - Accent2 2" xfId="128"/>
    <cellStyle name="60% - Accent2 2 2" xfId="129"/>
    <cellStyle name="60% - Accent2 2 2 2" xfId="764"/>
    <cellStyle name="60% - Accent2 2 3" xfId="130"/>
    <cellStyle name="60% - Accent2 2 3 2" xfId="765"/>
    <cellStyle name="60% - Accent2 2 4" xfId="610"/>
    <cellStyle name="60% - Accent2 2 5" xfId="763"/>
    <cellStyle name="60% - Accent2 3" xfId="131"/>
    <cellStyle name="60% - Accent2 3 2" xfId="766"/>
    <cellStyle name="60% - Accent2 4" xfId="452"/>
    <cellStyle name="60% - Accent2 5" xfId="541"/>
    <cellStyle name="60% - Accent3" xfId="132"/>
    <cellStyle name="60% - Accent3 2" xfId="133"/>
    <cellStyle name="60% - Accent3 2 2" xfId="134"/>
    <cellStyle name="60% - Accent3 2 2 2" xfId="768"/>
    <cellStyle name="60% - Accent3 2 3" xfId="135"/>
    <cellStyle name="60% - Accent3 2 3 2" xfId="769"/>
    <cellStyle name="60% - Accent3 2 4" xfId="611"/>
    <cellStyle name="60% - Accent3 2 5" xfId="767"/>
    <cellStyle name="60% - Accent3 3" xfId="136"/>
    <cellStyle name="60% - Accent3 3 2" xfId="770"/>
    <cellStyle name="60% - Accent3 4" xfId="453"/>
    <cellStyle name="60% - Accent3 5" xfId="542"/>
    <cellStyle name="60% - Accent4" xfId="137"/>
    <cellStyle name="60% - Accent4 2" xfId="138"/>
    <cellStyle name="60% - Accent4 2 2" xfId="139"/>
    <cellStyle name="60% - Accent4 2 2 2" xfId="772"/>
    <cellStyle name="60% - Accent4 2 3" xfId="140"/>
    <cellStyle name="60% - Accent4 2 3 2" xfId="773"/>
    <cellStyle name="60% - Accent4 2 4" xfId="612"/>
    <cellStyle name="60% - Accent4 2 5" xfId="771"/>
    <cellStyle name="60% - Accent4 3" xfId="141"/>
    <cellStyle name="60% - Accent4 3 2" xfId="774"/>
    <cellStyle name="60% - Accent4 4" xfId="454"/>
    <cellStyle name="60% - Accent4 5" xfId="543"/>
    <cellStyle name="60% - Accent5" xfId="142"/>
    <cellStyle name="60% - Accent5 2" xfId="143"/>
    <cellStyle name="60% - Accent5 2 2" xfId="144"/>
    <cellStyle name="60% - Accent5 2 2 2" xfId="776"/>
    <cellStyle name="60% - Accent5 2 3" xfId="145"/>
    <cellStyle name="60% - Accent5 2 3 2" xfId="777"/>
    <cellStyle name="60% - Accent5 2 4" xfId="614"/>
    <cellStyle name="60% - Accent5 2 5" xfId="775"/>
    <cellStyle name="60% - Accent5 3" xfId="146"/>
    <cellStyle name="60% - Accent5 3 2" xfId="778"/>
    <cellStyle name="60% - Accent5 4" xfId="455"/>
    <cellStyle name="60% - Accent5 5" xfId="545"/>
    <cellStyle name="60% - Accent6" xfId="147"/>
    <cellStyle name="60% - Accent6 2" xfId="148"/>
    <cellStyle name="60% - Accent6 2 2" xfId="149"/>
    <cellStyle name="60% - Accent6 2 2 2" xfId="780"/>
    <cellStyle name="60% - Accent6 2 3" xfId="150"/>
    <cellStyle name="60% - Accent6 2 3 2" xfId="781"/>
    <cellStyle name="60% - Accent6 2 4" xfId="615"/>
    <cellStyle name="60% - Accent6 2 5" xfId="779"/>
    <cellStyle name="60% - Accent6 3" xfId="151"/>
    <cellStyle name="60% - Accent6 3 2" xfId="782"/>
    <cellStyle name="60% - Accent6 4" xfId="456"/>
    <cellStyle name="60% - Accent6 5" xfId="546"/>
    <cellStyle name="60% - 强调文字颜色 1 2" xfId="152"/>
    <cellStyle name="60% - 强调文字颜色 1 2 2" xfId="153"/>
    <cellStyle name="60% - 强调文字颜色 1 2 2 2" xfId="154"/>
    <cellStyle name="60% - 强调文字颜色 1 2 2 2 2" xfId="784"/>
    <cellStyle name="60% - 强调文字颜色 1 2 2 3" xfId="155"/>
    <cellStyle name="60% - 强调文字颜色 1 2 2 3 2" xfId="785"/>
    <cellStyle name="60% - 强调文字颜色 1 2 2 4" xfId="617"/>
    <cellStyle name="60% - 强调文字颜色 1 2 2 5" xfId="783"/>
    <cellStyle name="60% - 强调文字颜色 1 2 3" xfId="156"/>
    <cellStyle name="60% - 强调文字颜色 1 2 3 2" xfId="786"/>
    <cellStyle name="60% - 强调文字颜色 1 2 4" xfId="457"/>
    <cellStyle name="60% - 强调文字颜色 1 2 5" xfId="547"/>
    <cellStyle name="60% - 强调文字颜色 2 2" xfId="157"/>
    <cellStyle name="60% - 强调文字颜色 2 2 2" xfId="158"/>
    <cellStyle name="60% - 强调文字颜色 2 2 2 2" xfId="159"/>
    <cellStyle name="60% - 强调文字颜色 2 2 2 2 2" xfId="788"/>
    <cellStyle name="60% - 强调文字颜色 2 2 2 3" xfId="160"/>
    <cellStyle name="60% - 强调文字颜色 2 2 2 3 2" xfId="789"/>
    <cellStyle name="60% - 强调文字颜色 2 2 2 4" xfId="618"/>
    <cellStyle name="60% - 强调文字颜色 2 2 2 5" xfId="787"/>
    <cellStyle name="60% - 强调文字颜色 2 2 3" xfId="161"/>
    <cellStyle name="60% - 强调文字颜色 2 2 3 2" xfId="790"/>
    <cellStyle name="60% - 强调文字颜色 2 2 4" xfId="458"/>
    <cellStyle name="60% - 强调文字颜色 2 2 5" xfId="548"/>
    <cellStyle name="60% - 强调文字颜色 3 2" xfId="162"/>
    <cellStyle name="60% - 强调文字颜色 3 2 2" xfId="163"/>
    <cellStyle name="60% - 强调文字颜色 3 2 2 2" xfId="164"/>
    <cellStyle name="60% - 强调文字颜色 3 2 2 2 2" xfId="792"/>
    <cellStyle name="60% - 强调文字颜色 3 2 2 3" xfId="165"/>
    <cellStyle name="60% - 强调文字颜色 3 2 2 3 2" xfId="793"/>
    <cellStyle name="60% - 强调文字颜色 3 2 2 4" xfId="619"/>
    <cellStyle name="60% - 强调文字颜色 3 2 2 5" xfId="791"/>
    <cellStyle name="60% - 强调文字颜色 3 2 3" xfId="166"/>
    <cellStyle name="60% - 强调文字颜色 3 2 3 2" xfId="794"/>
    <cellStyle name="60% - 强调文字颜色 3 2 4" xfId="459"/>
    <cellStyle name="60% - 强调文字颜色 3 2 5" xfId="549"/>
    <cellStyle name="60% - 强调文字颜色 4 2" xfId="167"/>
    <cellStyle name="60% - 强调文字颜色 4 2 2" xfId="168"/>
    <cellStyle name="60% - 强调文字颜色 4 2 2 2" xfId="169"/>
    <cellStyle name="60% - 强调文字颜色 4 2 2 2 2" xfId="796"/>
    <cellStyle name="60% - 强调文字颜色 4 2 2 3" xfId="170"/>
    <cellStyle name="60% - 强调文字颜色 4 2 2 3 2" xfId="797"/>
    <cellStyle name="60% - 强调文字颜色 4 2 2 4" xfId="621"/>
    <cellStyle name="60% - 强调文字颜色 4 2 2 5" xfId="795"/>
    <cellStyle name="60% - 强调文字颜色 4 2 3" xfId="171"/>
    <cellStyle name="60% - 强调文字颜色 4 2 3 2" xfId="798"/>
    <cellStyle name="60% - 强调文字颜色 4 2 4" xfId="460"/>
    <cellStyle name="60% - 强调文字颜色 4 2 5" xfId="551"/>
    <cellStyle name="60% - 强调文字颜色 5 2" xfId="172"/>
    <cellStyle name="60% - 强调文字颜色 5 2 2" xfId="173"/>
    <cellStyle name="60% - 强调文字颜色 5 2 2 2" xfId="174"/>
    <cellStyle name="60% - 强调文字颜色 5 2 2 2 2" xfId="800"/>
    <cellStyle name="60% - 强调文字颜色 5 2 2 3" xfId="175"/>
    <cellStyle name="60% - 强调文字颜色 5 2 2 3 2" xfId="801"/>
    <cellStyle name="60% - 强调文字颜色 5 2 2 4" xfId="622"/>
    <cellStyle name="60% - 强调文字颜色 5 2 2 5" xfId="799"/>
    <cellStyle name="60% - 强调文字颜色 5 2 3" xfId="176"/>
    <cellStyle name="60% - 强调文字颜色 5 2 3 2" xfId="802"/>
    <cellStyle name="60% - 强调文字颜色 5 2 4" xfId="461"/>
    <cellStyle name="60% - 强调文字颜色 5 2 5" xfId="552"/>
    <cellStyle name="60% - 强调文字颜色 6 2" xfId="177"/>
    <cellStyle name="60% - 强调文字颜色 6 2 2" xfId="178"/>
    <cellStyle name="60% - 强调文字颜色 6 2 2 2" xfId="179"/>
    <cellStyle name="60% - 强调文字颜色 6 2 2 2 2" xfId="804"/>
    <cellStyle name="60% - 强调文字颜色 6 2 2 3" xfId="180"/>
    <cellStyle name="60% - 强调文字颜色 6 2 2 3 2" xfId="805"/>
    <cellStyle name="60% - 强调文字颜色 6 2 2 4" xfId="623"/>
    <cellStyle name="60% - 强调文字颜色 6 2 2 5" xfId="803"/>
    <cellStyle name="60% - 强调文字颜色 6 2 3" xfId="181"/>
    <cellStyle name="60% - 强调文字颜色 6 2 3 2" xfId="806"/>
    <cellStyle name="60% - 强调文字颜色 6 2 4" xfId="462"/>
    <cellStyle name="60% - 强调文字颜色 6 2 5" xfId="553"/>
    <cellStyle name="Accent1" xfId="182"/>
    <cellStyle name="Accent1 2" xfId="183"/>
    <cellStyle name="Accent1 2 2" xfId="184"/>
    <cellStyle name="Accent1 2 2 2" xfId="808"/>
    <cellStyle name="Accent1 2 3" xfId="185"/>
    <cellStyle name="Accent1 2 3 2" xfId="809"/>
    <cellStyle name="Accent1 2 4" xfId="624"/>
    <cellStyle name="Accent1 2 5" xfId="807"/>
    <cellStyle name="Accent1 3" xfId="186"/>
    <cellStyle name="Accent1 3 2" xfId="810"/>
    <cellStyle name="Accent1 4" xfId="463"/>
    <cellStyle name="Accent1 5" xfId="554"/>
    <cellStyle name="Accent2" xfId="187"/>
    <cellStyle name="Accent2 2" xfId="188"/>
    <cellStyle name="Accent2 2 2" xfId="189"/>
    <cellStyle name="Accent2 2 2 2" xfId="812"/>
    <cellStyle name="Accent2 2 3" xfId="190"/>
    <cellStyle name="Accent2 2 3 2" xfId="813"/>
    <cellStyle name="Accent2 2 4" xfId="625"/>
    <cellStyle name="Accent2 2 5" xfId="811"/>
    <cellStyle name="Accent2 3" xfId="191"/>
    <cellStyle name="Accent2 3 2" xfId="814"/>
    <cellStyle name="Accent2 4" xfId="464"/>
    <cellStyle name="Accent2 5" xfId="555"/>
    <cellStyle name="Accent3" xfId="192"/>
    <cellStyle name="Accent3 2" xfId="193"/>
    <cellStyle name="Accent3 2 2" xfId="194"/>
    <cellStyle name="Accent3 2 2 2" xfId="816"/>
    <cellStyle name="Accent3 2 3" xfId="195"/>
    <cellStyle name="Accent3 2 3 2" xfId="817"/>
    <cellStyle name="Accent3 2 4" xfId="626"/>
    <cellStyle name="Accent3 2 5" xfId="815"/>
    <cellStyle name="Accent3 3" xfId="196"/>
    <cellStyle name="Accent3 3 2" xfId="818"/>
    <cellStyle name="Accent3 4" xfId="465"/>
    <cellStyle name="Accent3 5" xfId="556"/>
    <cellStyle name="Accent4" xfId="197"/>
    <cellStyle name="Accent4 2" xfId="198"/>
    <cellStyle name="Accent4 2 2" xfId="199"/>
    <cellStyle name="Accent4 2 2 2" xfId="820"/>
    <cellStyle name="Accent4 2 3" xfId="200"/>
    <cellStyle name="Accent4 2 3 2" xfId="821"/>
    <cellStyle name="Accent4 2 4" xfId="627"/>
    <cellStyle name="Accent4 2 5" xfId="819"/>
    <cellStyle name="Accent4 3" xfId="201"/>
    <cellStyle name="Accent4 3 2" xfId="822"/>
    <cellStyle name="Accent4 4" xfId="466"/>
    <cellStyle name="Accent4 5" xfId="557"/>
    <cellStyle name="Accent5" xfId="202"/>
    <cellStyle name="Accent5 2" xfId="203"/>
    <cellStyle name="Accent5 2 2" xfId="204"/>
    <cellStyle name="Accent5 2 2 2" xfId="824"/>
    <cellStyle name="Accent5 2 3" xfId="205"/>
    <cellStyle name="Accent5 2 3 2" xfId="825"/>
    <cellStyle name="Accent5 2 4" xfId="628"/>
    <cellStyle name="Accent5 2 5" xfId="823"/>
    <cellStyle name="Accent5 3" xfId="206"/>
    <cellStyle name="Accent5 3 2" xfId="826"/>
    <cellStyle name="Accent5 4" xfId="467"/>
    <cellStyle name="Accent5 5" xfId="558"/>
    <cellStyle name="Accent6" xfId="207"/>
    <cellStyle name="Accent6 2" xfId="208"/>
    <cellStyle name="Accent6 2 2" xfId="209"/>
    <cellStyle name="Accent6 2 2 2" xfId="828"/>
    <cellStyle name="Accent6 2 3" xfId="210"/>
    <cellStyle name="Accent6 2 3 2" xfId="829"/>
    <cellStyle name="Accent6 2 4" xfId="629"/>
    <cellStyle name="Accent6 2 5" xfId="827"/>
    <cellStyle name="Accent6 3" xfId="211"/>
    <cellStyle name="Accent6 3 2" xfId="830"/>
    <cellStyle name="Accent6 4" xfId="468"/>
    <cellStyle name="Accent6 5" xfId="559"/>
    <cellStyle name="Bad" xfId="212"/>
    <cellStyle name="Bad 2" xfId="213"/>
    <cellStyle name="Bad 2 2" xfId="214"/>
    <cellStyle name="Bad 2 2 2" xfId="832"/>
    <cellStyle name="Bad 2 3" xfId="215"/>
    <cellStyle name="Bad 2 3 2" xfId="833"/>
    <cellStyle name="Bad 2 4" xfId="630"/>
    <cellStyle name="Bad 2 5" xfId="831"/>
    <cellStyle name="Bad 3" xfId="216"/>
    <cellStyle name="Bad 3 2" xfId="834"/>
    <cellStyle name="Bad 4" xfId="469"/>
    <cellStyle name="Bad 5" xfId="560"/>
    <cellStyle name="Calculation" xfId="217"/>
    <cellStyle name="Calculation 2" xfId="218"/>
    <cellStyle name="Calculation 2 2" xfId="219"/>
    <cellStyle name="Calculation 2 2 2" xfId="836"/>
    <cellStyle name="Calculation 2 3" xfId="220"/>
    <cellStyle name="Calculation 2 3 2" xfId="837"/>
    <cellStyle name="Calculation 2 4" xfId="631"/>
    <cellStyle name="Calculation 2 5" xfId="835"/>
    <cellStyle name="Calculation 3" xfId="221"/>
    <cellStyle name="Calculation 3 2" xfId="838"/>
    <cellStyle name="Calculation 4" xfId="470"/>
    <cellStyle name="Calculation 5" xfId="561"/>
    <cellStyle name="Check Cell" xfId="222"/>
    <cellStyle name="Check Cell 2" xfId="223"/>
    <cellStyle name="Check Cell 2 2" xfId="224"/>
    <cellStyle name="Check Cell 2 2 2" xfId="840"/>
    <cellStyle name="Check Cell 2 3" xfId="225"/>
    <cellStyle name="Check Cell 2 3 2" xfId="841"/>
    <cellStyle name="Check Cell 2 4" xfId="632"/>
    <cellStyle name="Check Cell 2 5" xfId="839"/>
    <cellStyle name="Check Cell 3" xfId="226"/>
    <cellStyle name="Check Cell 3 2" xfId="842"/>
    <cellStyle name="Check Cell 4" xfId="471"/>
    <cellStyle name="Check Cell 5" xfId="562"/>
    <cellStyle name="Explanatory Text" xfId="227"/>
    <cellStyle name="Explanatory Text 2" xfId="228"/>
    <cellStyle name="Explanatory Text 2 2" xfId="229"/>
    <cellStyle name="Explanatory Text 2 2 2" xfId="843"/>
    <cellStyle name="Explanatory Text 2 3" xfId="230"/>
    <cellStyle name="Explanatory Text 2 3 2" xfId="844"/>
    <cellStyle name="Explanatory Text 2 4" xfId="634"/>
    <cellStyle name="Explanatory Text 3" xfId="231"/>
    <cellStyle name="Explanatory Text 3 2" xfId="845"/>
    <cellStyle name="Explanatory Text 4" xfId="472"/>
    <cellStyle name="Good" xfId="232"/>
    <cellStyle name="Good 2" xfId="233"/>
    <cellStyle name="Good 2 2" xfId="234"/>
    <cellStyle name="Good 2 2 2" xfId="847"/>
    <cellStyle name="Good 2 3" xfId="235"/>
    <cellStyle name="Good 2 3 2" xfId="848"/>
    <cellStyle name="Good 2 4" xfId="635"/>
    <cellStyle name="Good 2 5" xfId="846"/>
    <cellStyle name="Good 3" xfId="236"/>
    <cellStyle name="Good 3 2" xfId="849"/>
    <cellStyle name="Good 4" xfId="473"/>
    <cellStyle name="Good 5" xfId="564"/>
    <cellStyle name="Heading 1" xfId="237"/>
    <cellStyle name="Heading 1 2" xfId="238"/>
    <cellStyle name="Heading 1 2 2" xfId="239"/>
    <cellStyle name="Heading 1 2 2 2" xfId="850"/>
    <cellStyle name="Heading 1 2 3" xfId="240"/>
    <cellStyle name="Heading 1 2 3 2" xfId="851"/>
    <cellStyle name="Heading 1 2 4" xfId="636"/>
    <cellStyle name="Heading 1 3" xfId="241"/>
    <cellStyle name="Heading 1 3 2" xfId="852"/>
    <cellStyle name="Heading 1 4" xfId="474"/>
    <cellStyle name="Heading 2" xfId="242"/>
    <cellStyle name="Heading 2 2" xfId="243"/>
    <cellStyle name="Heading 2 2 2" xfId="244"/>
    <cellStyle name="Heading 2 2 2 2" xfId="853"/>
    <cellStyle name="Heading 2 2 3" xfId="245"/>
    <cellStyle name="Heading 2 2 3 2" xfId="854"/>
    <cellStyle name="Heading 2 2 4" xfId="591"/>
    <cellStyle name="Heading 2 3" xfId="246"/>
    <cellStyle name="Heading 2 3 2" xfId="855"/>
    <cellStyle name="Heading 2 4" xfId="475"/>
    <cellStyle name="Heading 3" xfId="247"/>
    <cellStyle name="Heading 3 2" xfId="248"/>
    <cellStyle name="Heading 3 2 2" xfId="249"/>
    <cellStyle name="Heading 3 2 2 2" xfId="856"/>
    <cellStyle name="Heading 3 2 3" xfId="250"/>
    <cellStyle name="Heading 3 2 3 2" xfId="857"/>
    <cellStyle name="Heading 3 2 4" xfId="582"/>
    <cellStyle name="Heading 3 3" xfId="251"/>
    <cellStyle name="Heading 3 3 2" xfId="858"/>
    <cellStyle name="Heading 3 4" xfId="476"/>
    <cellStyle name="Heading 4" xfId="252"/>
    <cellStyle name="Heading 4 2" xfId="253"/>
    <cellStyle name="Heading 4 2 2" xfId="254"/>
    <cellStyle name="Heading 4 2 2 2" xfId="859"/>
    <cellStyle name="Heading 4 2 3" xfId="255"/>
    <cellStyle name="Heading 4 2 3 2" xfId="860"/>
    <cellStyle name="Heading 4 2 4" xfId="616"/>
    <cellStyle name="Heading 4 3" xfId="256"/>
    <cellStyle name="Heading 4 3 2" xfId="861"/>
    <cellStyle name="Heading 4 4" xfId="477"/>
    <cellStyle name="Input" xfId="257"/>
    <cellStyle name="Input 2" xfId="258"/>
    <cellStyle name="Input 2 2" xfId="259"/>
    <cellStyle name="Input 2 2 2" xfId="863"/>
    <cellStyle name="Input 2 3" xfId="260"/>
    <cellStyle name="Input 2 3 2" xfId="864"/>
    <cellStyle name="Input 2 4" xfId="580"/>
    <cellStyle name="Input 2 5" xfId="862"/>
    <cellStyle name="Input 3" xfId="261"/>
    <cellStyle name="Input 3 2" xfId="865"/>
    <cellStyle name="Input 4" xfId="478"/>
    <cellStyle name="Input 5" xfId="515"/>
    <cellStyle name="Linked Cell" xfId="262"/>
    <cellStyle name="Linked Cell 2" xfId="263"/>
    <cellStyle name="Linked Cell 2 2" xfId="264"/>
    <cellStyle name="Linked Cell 2 2 2" xfId="866"/>
    <cellStyle name="Linked Cell 2 3" xfId="265"/>
    <cellStyle name="Linked Cell 2 3 2" xfId="867"/>
    <cellStyle name="Linked Cell 2 4" xfId="638"/>
    <cellStyle name="Linked Cell 3" xfId="266"/>
    <cellStyle name="Linked Cell 3 2" xfId="868"/>
    <cellStyle name="Linked Cell 4" xfId="479"/>
    <cellStyle name="Neutral" xfId="267"/>
    <cellStyle name="Neutral 2" xfId="268"/>
    <cellStyle name="Neutral 2 2" xfId="269"/>
    <cellStyle name="Neutral 2 2 2" xfId="870"/>
    <cellStyle name="Neutral 2 3" xfId="270"/>
    <cellStyle name="Neutral 2 3 2" xfId="871"/>
    <cellStyle name="Neutral 2 4" xfId="620"/>
    <cellStyle name="Neutral 2 5" xfId="869"/>
    <cellStyle name="Neutral 3" xfId="271"/>
    <cellStyle name="Neutral 3 2" xfId="872"/>
    <cellStyle name="Neutral 4" xfId="480"/>
    <cellStyle name="Neutral 5" xfId="550"/>
    <cellStyle name="Note" xfId="272"/>
    <cellStyle name="Note 2" xfId="273"/>
    <cellStyle name="Note 2 2" xfId="274"/>
    <cellStyle name="Note 2 2 2" xfId="874"/>
    <cellStyle name="Note 2 3" xfId="275"/>
    <cellStyle name="Note 2 3 2" xfId="875"/>
    <cellStyle name="Note 2 4" xfId="639"/>
    <cellStyle name="Note 2 5" xfId="873"/>
    <cellStyle name="Note 3" xfId="276"/>
    <cellStyle name="Note 3 2" xfId="876"/>
    <cellStyle name="Note 4" xfId="481"/>
    <cellStyle name="Note 5" xfId="566"/>
    <cellStyle name="Output" xfId="277"/>
    <cellStyle name="Output 2" xfId="278"/>
    <cellStyle name="Output 2 2" xfId="279"/>
    <cellStyle name="Output 2 2 2" xfId="878"/>
    <cellStyle name="Output 2 3" xfId="280"/>
    <cellStyle name="Output 2 3 2" xfId="879"/>
    <cellStyle name="Output 2 4" xfId="640"/>
    <cellStyle name="Output 2 5" xfId="877"/>
    <cellStyle name="Output 3" xfId="281"/>
    <cellStyle name="Output 3 2" xfId="880"/>
    <cellStyle name="Output 4" xfId="482"/>
    <cellStyle name="Output 5" xfId="567"/>
    <cellStyle name="Title" xfId="282"/>
    <cellStyle name="Title 2" xfId="283"/>
    <cellStyle name="Title 2 2" xfId="284"/>
    <cellStyle name="Title 2 2 2" xfId="881"/>
    <cellStyle name="Title 2 3" xfId="285"/>
    <cellStyle name="Title 2 3 2" xfId="882"/>
    <cellStyle name="Title 2 4" xfId="642"/>
    <cellStyle name="Title 3" xfId="286"/>
    <cellStyle name="Title 3 2" xfId="883"/>
    <cellStyle name="Title 4" xfId="483"/>
    <cellStyle name="Total" xfId="287"/>
    <cellStyle name="Total 2" xfId="288"/>
    <cellStyle name="Total 2 2" xfId="289"/>
    <cellStyle name="Total 2 2 2" xfId="884"/>
    <cellStyle name="Total 2 3" xfId="290"/>
    <cellStyle name="Total 2 3 2" xfId="885"/>
    <cellStyle name="Total 2 4" xfId="643"/>
    <cellStyle name="Total 3" xfId="291"/>
    <cellStyle name="Total 3 2" xfId="886"/>
    <cellStyle name="Total 4" xfId="484"/>
    <cellStyle name="Warning Text" xfId="292"/>
    <cellStyle name="Warning Text 2" xfId="293"/>
    <cellStyle name="Warning Text 2 2" xfId="294"/>
    <cellStyle name="Warning Text 2 2 2" xfId="887"/>
    <cellStyle name="Warning Text 2 3" xfId="295"/>
    <cellStyle name="Warning Text 2 3 2" xfId="888"/>
    <cellStyle name="Warning Text 2 4" xfId="644"/>
    <cellStyle name="Warning Text 3" xfId="296"/>
    <cellStyle name="Warning Text 3 2" xfId="889"/>
    <cellStyle name="Warning Text 4" xfId="485"/>
    <cellStyle name="标题 1 2" xfId="297"/>
    <cellStyle name="标题 1 2 2" xfId="298"/>
    <cellStyle name="标题 1 2 2 2" xfId="299"/>
    <cellStyle name="标题 1 2 2 2 2" xfId="890"/>
    <cellStyle name="标题 1 2 2 3" xfId="300"/>
    <cellStyle name="标题 1 2 2 3 2" xfId="891"/>
    <cellStyle name="标题 1 2 2 4" xfId="645"/>
    <cellStyle name="标题 1 2 3" xfId="301"/>
    <cellStyle name="标题 1 2 3 2" xfId="892"/>
    <cellStyle name="标题 1 2 4" xfId="486"/>
    <cellStyle name="标题 2 2" xfId="302"/>
    <cellStyle name="标题 2 2 2" xfId="303"/>
    <cellStyle name="标题 2 2 2 2" xfId="304"/>
    <cellStyle name="标题 2 2 2 2 2" xfId="893"/>
    <cellStyle name="标题 2 2 2 3" xfId="305"/>
    <cellStyle name="标题 2 2 2 3 2" xfId="894"/>
    <cellStyle name="标题 2 2 2 4" xfId="646"/>
    <cellStyle name="标题 2 2 3" xfId="306"/>
    <cellStyle name="标题 2 2 3 2" xfId="895"/>
    <cellStyle name="标题 2 2 4" xfId="487"/>
    <cellStyle name="标题 3 2" xfId="307"/>
    <cellStyle name="标题 3 2 2" xfId="308"/>
    <cellStyle name="标题 3 2 2 2" xfId="309"/>
    <cellStyle name="标题 3 2 2 2 2" xfId="896"/>
    <cellStyle name="标题 3 2 2 3" xfId="310"/>
    <cellStyle name="标题 3 2 2 3 2" xfId="897"/>
    <cellStyle name="标题 3 2 2 4" xfId="647"/>
    <cellStyle name="标题 3 2 3" xfId="311"/>
    <cellStyle name="标题 3 2 3 2" xfId="898"/>
    <cellStyle name="标题 3 2 4" xfId="488"/>
    <cellStyle name="标题 4 2" xfId="312"/>
    <cellStyle name="标题 4 2 2" xfId="313"/>
    <cellStyle name="标题 4 2 2 2" xfId="314"/>
    <cellStyle name="标题 4 2 2 2 2" xfId="899"/>
    <cellStyle name="标题 4 2 2 3" xfId="315"/>
    <cellStyle name="标题 4 2 2 3 2" xfId="900"/>
    <cellStyle name="标题 4 2 2 4" xfId="648"/>
    <cellStyle name="标题 4 2 3" xfId="316"/>
    <cellStyle name="标题 4 2 3 2" xfId="901"/>
    <cellStyle name="标题 4 2 4" xfId="489"/>
    <cellStyle name="标题 5" xfId="317"/>
    <cellStyle name="标题 5 2" xfId="318"/>
    <cellStyle name="标题 5 2 2" xfId="319"/>
    <cellStyle name="标题 5 2 2 2" xfId="902"/>
    <cellStyle name="标题 5 2 3" xfId="320"/>
    <cellStyle name="标题 5 2 3 2" xfId="903"/>
    <cellStyle name="标题 5 2 4" xfId="649"/>
    <cellStyle name="标题 5 3" xfId="321"/>
    <cellStyle name="标题 5 3 2" xfId="904"/>
    <cellStyle name="标题 5 4" xfId="490"/>
    <cellStyle name="差 2" xfId="322"/>
    <cellStyle name="差 2 2" xfId="323"/>
    <cellStyle name="差 2 2 2" xfId="324"/>
    <cellStyle name="差 2 2 2 2" xfId="906"/>
    <cellStyle name="差 2 2 3" xfId="325"/>
    <cellStyle name="差 2 2 3 2" xfId="907"/>
    <cellStyle name="差 2 2 4" xfId="650"/>
    <cellStyle name="差 2 2 5" xfId="905"/>
    <cellStyle name="差 2 3" xfId="326"/>
    <cellStyle name="差 2 3 2" xfId="908"/>
    <cellStyle name="差 2 4" xfId="491"/>
    <cellStyle name="差 2 5" xfId="568"/>
    <cellStyle name="常规" xfId="0" builtinId="0"/>
    <cellStyle name="常规 2" xfId="327"/>
    <cellStyle name="常规 2 2" xfId="328"/>
    <cellStyle name="常规 2 2 2" xfId="329"/>
    <cellStyle name="常规 2 2 2 2" xfId="909"/>
    <cellStyle name="常规 2 2 3" xfId="641"/>
    <cellStyle name="常规 2 3" xfId="330"/>
    <cellStyle name="常规 2 3 2" xfId="910"/>
    <cellStyle name="常规 2 4" xfId="492"/>
    <cellStyle name="常规 3" xfId="331"/>
    <cellStyle name="常规 3 2" xfId="332"/>
    <cellStyle name="常规 3 2 2" xfId="333"/>
    <cellStyle name="常规 3 2 2 2" xfId="911"/>
    <cellStyle name="常规 3 2 3" xfId="594"/>
    <cellStyle name="常规 3 3" xfId="334"/>
    <cellStyle name="常规 3 3 2" xfId="912"/>
    <cellStyle name="常规 3 4" xfId="493"/>
    <cellStyle name="常规 4" xfId="335"/>
    <cellStyle name="常规 4 2" xfId="336"/>
    <cellStyle name="常规 4 2 2" xfId="651"/>
    <cellStyle name="常规 4 3" xfId="337"/>
    <cellStyle name="常规 4 3 2" xfId="913"/>
    <cellStyle name="常规 4 4" xfId="426"/>
    <cellStyle name="常规 5" xfId="338"/>
    <cellStyle name="常规 5 2" xfId="339"/>
    <cellStyle name="常规 5 2 2" xfId="914"/>
    <cellStyle name="常规 5 3" xfId="511"/>
    <cellStyle name="常规 6" xfId="340"/>
    <cellStyle name="常规 6 2" xfId="576"/>
    <cellStyle name="常规 6 3" xfId="915"/>
    <cellStyle name="常规 7" xfId="1"/>
    <cellStyle name="常规 7 2" xfId="662"/>
    <cellStyle name="常规 8" xfId="425"/>
    <cellStyle name="好 2" xfId="341"/>
    <cellStyle name="好 2 2" xfId="342"/>
    <cellStyle name="好 2 2 2" xfId="343"/>
    <cellStyle name="好 2 2 2 2" xfId="917"/>
    <cellStyle name="好 2 2 3" xfId="344"/>
    <cellStyle name="好 2 2 3 2" xfId="918"/>
    <cellStyle name="好 2 2 4" xfId="652"/>
    <cellStyle name="好 2 2 5" xfId="916"/>
    <cellStyle name="好 2 3" xfId="345"/>
    <cellStyle name="好 2 3 2" xfId="919"/>
    <cellStyle name="好 2 4" xfId="494"/>
    <cellStyle name="好 2 5" xfId="569"/>
    <cellStyle name="汇总 2" xfId="346"/>
    <cellStyle name="汇总 2 2" xfId="347"/>
    <cellStyle name="汇总 2 2 2" xfId="348"/>
    <cellStyle name="汇总 2 2 2 2" xfId="920"/>
    <cellStyle name="汇总 2 2 3" xfId="349"/>
    <cellStyle name="汇总 2 2 3 2" xfId="921"/>
    <cellStyle name="汇总 2 2 4" xfId="653"/>
    <cellStyle name="汇总 2 3" xfId="350"/>
    <cellStyle name="汇总 2 3 2" xfId="922"/>
    <cellStyle name="汇总 2 4" xfId="495"/>
    <cellStyle name="计算 2" xfId="351"/>
    <cellStyle name="计算 2 2" xfId="352"/>
    <cellStyle name="计算 2 2 2" xfId="353"/>
    <cellStyle name="计算 2 2 2 2" xfId="924"/>
    <cellStyle name="计算 2 2 3" xfId="354"/>
    <cellStyle name="计算 2 2 3 2" xfId="925"/>
    <cellStyle name="计算 2 2 4" xfId="579"/>
    <cellStyle name="计算 2 2 5" xfId="923"/>
    <cellStyle name="计算 2 3" xfId="355"/>
    <cellStyle name="计算 2 3 2" xfId="926"/>
    <cellStyle name="计算 2 4" xfId="496"/>
    <cellStyle name="计算 2 5" xfId="514"/>
    <cellStyle name="检查单元格 2" xfId="356"/>
    <cellStyle name="检查单元格 2 2" xfId="357"/>
    <cellStyle name="检查单元格 2 2 2" xfId="358"/>
    <cellStyle name="检查单元格 2 2 2 2" xfId="928"/>
    <cellStyle name="检查单元格 2 2 3" xfId="359"/>
    <cellStyle name="检查单元格 2 2 3 2" xfId="929"/>
    <cellStyle name="检查单元格 2 2 4" xfId="637"/>
    <cellStyle name="检查单元格 2 2 5" xfId="927"/>
    <cellStyle name="检查单元格 2 3" xfId="360"/>
    <cellStyle name="检查单元格 2 3 2" xfId="930"/>
    <cellStyle name="检查单元格 2 4" xfId="497"/>
    <cellStyle name="检查单元格 2 5" xfId="565"/>
    <cellStyle name="解释性文本 2" xfId="361"/>
    <cellStyle name="解释性文本 2 2" xfId="362"/>
    <cellStyle name="解释性文本 2 2 2" xfId="363"/>
    <cellStyle name="解释性文本 2 2 2 2" xfId="931"/>
    <cellStyle name="解释性文本 2 2 3" xfId="364"/>
    <cellStyle name="解释性文本 2 2 3 2" xfId="932"/>
    <cellStyle name="解释性文本 2 2 4" xfId="654"/>
    <cellStyle name="解释性文本 2 3" xfId="365"/>
    <cellStyle name="解释性文本 2 3 2" xfId="933"/>
    <cellStyle name="解释性文本 2 4" xfId="498"/>
    <cellStyle name="警告文本 2" xfId="366"/>
    <cellStyle name="警告文本 2 2" xfId="367"/>
    <cellStyle name="警告文本 2 2 2" xfId="368"/>
    <cellStyle name="警告文本 2 2 2 2" xfId="934"/>
    <cellStyle name="警告文本 2 2 3" xfId="369"/>
    <cellStyle name="警告文本 2 2 3 2" xfId="935"/>
    <cellStyle name="警告文本 2 2 4" xfId="601"/>
    <cellStyle name="警告文本 2 3" xfId="370"/>
    <cellStyle name="警告文本 2 3 2" xfId="936"/>
    <cellStyle name="警告文本 2 4" xfId="499"/>
    <cellStyle name="链接单元格 2" xfId="371"/>
    <cellStyle name="链接单元格 2 2" xfId="372"/>
    <cellStyle name="链接单元格 2 2 2" xfId="373"/>
    <cellStyle name="链接单元格 2 2 2 2" xfId="937"/>
    <cellStyle name="链接单元格 2 2 3" xfId="374"/>
    <cellStyle name="链接单元格 2 2 3 2" xfId="938"/>
    <cellStyle name="链接单元格 2 2 4" xfId="655"/>
    <cellStyle name="链接单元格 2 3" xfId="375"/>
    <cellStyle name="链接单元格 2 3 2" xfId="939"/>
    <cellStyle name="链接单元格 2 4" xfId="500"/>
    <cellStyle name="强调文字颜色 1 2" xfId="376"/>
    <cellStyle name="强调文字颜色 1 2 2" xfId="377"/>
    <cellStyle name="强调文字颜色 1 2 2 2" xfId="378"/>
    <cellStyle name="强调文字颜色 1 2 2 2 2" xfId="941"/>
    <cellStyle name="强调文字颜色 1 2 2 3" xfId="379"/>
    <cellStyle name="强调文字颜色 1 2 2 3 2" xfId="942"/>
    <cellStyle name="强调文字颜色 1 2 2 4" xfId="633"/>
    <cellStyle name="强调文字颜色 1 2 2 5" xfId="940"/>
    <cellStyle name="强调文字颜色 1 2 3" xfId="380"/>
    <cellStyle name="强调文字颜色 1 2 3 2" xfId="943"/>
    <cellStyle name="强调文字颜色 1 2 4" xfId="501"/>
    <cellStyle name="强调文字颜色 1 2 5" xfId="563"/>
    <cellStyle name="强调文字颜色 2 2" xfId="381"/>
    <cellStyle name="强调文字颜色 2 2 2" xfId="382"/>
    <cellStyle name="强调文字颜色 2 2 2 2" xfId="383"/>
    <cellStyle name="强调文字颜色 2 2 2 2 2" xfId="945"/>
    <cellStyle name="强调文字颜色 2 2 2 3" xfId="384"/>
    <cellStyle name="强调文字颜色 2 2 2 3 2" xfId="946"/>
    <cellStyle name="强调文字颜色 2 2 2 4" xfId="656"/>
    <cellStyle name="强调文字颜色 2 2 2 5" xfId="944"/>
    <cellStyle name="强调文字颜色 2 2 3" xfId="385"/>
    <cellStyle name="强调文字颜色 2 2 3 2" xfId="947"/>
    <cellStyle name="强调文字颜色 2 2 4" xfId="502"/>
    <cellStyle name="强调文字颜色 2 2 5" xfId="570"/>
    <cellStyle name="强调文字颜色 3 2" xfId="386"/>
    <cellStyle name="强调文字颜色 3 2 2" xfId="387"/>
    <cellStyle name="强调文字颜色 3 2 2 2" xfId="388"/>
    <cellStyle name="强调文字颜色 3 2 2 2 2" xfId="949"/>
    <cellStyle name="强调文字颜色 3 2 2 3" xfId="389"/>
    <cellStyle name="强调文字颜色 3 2 2 3 2" xfId="950"/>
    <cellStyle name="强调文字颜色 3 2 2 4" xfId="657"/>
    <cellStyle name="强调文字颜色 3 2 2 5" xfId="948"/>
    <cellStyle name="强调文字颜色 3 2 3" xfId="390"/>
    <cellStyle name="强调文字颜色 3 2 3 2" xfId="951"/>
    <cellStyle name="强调文字颜色 3 2 4" xfId="503"/>
    <cellStyle name="强调文字颜色 3 2 5" xfId="571"/>
    <cellStyle name="强调文字颜色 4 2" xfId="391"/>
    <cellStyle name="强调文字颜色 4 2 2" xfId="392"/>
    <cellStyle name="强调文字颜色 4 2 2 2" xfId="393"/>
    <cellStyle name="强调文字颜色 4 2 2 2 2" xfId="953"/>
    <cellStyle name="强调文字颜色 4 2 2 3" xfId="394"/>
    <cellStyle name="强调文字颜色 4 2 2 3 2" xfId="954"/>
    <cellStyle name="强调文字颜色 4 2 2 4" xfId="613"/>
    <cellStyle name="强调文字颜色 4 2 2 5" xfId="952"/>
    <cellStyle name="强调文字颜色 4 2 3" xfId="395"/>
    <cellStyle name="强调文字颜色 4 2 3 2" xfId="955"/>
    <cellStyle name="强调文字颜色 4 2 4" xfId="504"/>
    <cellStyle name="强调文字颜色 4 2 5" xfId="544"/>
    <cellStyle name="强调文字颜色 5 2" xfId="396"/>
    <cellStyle name="强调文字颜色 5 2 2" xfId="397"/>
    <cellStyle name="强调文字颜色 5 2 2 2" xfId="398"/>
    <cellStyle name="强调文字颜色 5 2 2 2 2" xfId="957"/>
    <cellStyle name="强调文字颜色 5 2 2 3" xfId="399"/>
    <cellStyle name="强调文字颜色 5 2 2 3 2" xfId="958"/>
    <cellStyle name="强调文字颜色 5 2 2 4" xfId="658"/>
    <cellStyle name="强调文字颜色 5 2 2 5" xfId="956"/>
    <cellStyle name="强调文字颜色 5 2 3" xfId="400"/>
    <cellStyle name="强调文字颜色 5 2 3 2" xfId="959"/>
    <cellStyle name="强调文字颜色 5 2 4" xfId="505"/>
    <cellStyle name="强调文字颜色 5 2 5" xfId="572"/>
    <cellStyle name="强调文字颜色 6 2" xfId="401"/>
    <cellStyle name="强调文字颜色 6 2 2" xfId="402"/>
    <cellStyle name="强调文字颜色 6 2 2 2" xfId="403"/>
    <cellStyle name="强调文字颜色 6 2 2 2 2" xfId="961"/>
    <cellStyle name="强调文字颜色 6 2 2 3" xfId="404"/>
    <cellStyle name="强调文字颜色 6 2 2 3 2" xfId="962"/>
    <cellStyle name="强调文字颜色 6 2 2 4" xfId="659"/>
    <cellStyle name="强调文字颜色 6 2 2 5" xfId="960"/>
    <cellStyle name="强调文字颜色 6 2 3" xfId="405"/>
    <cellStyle name="强调文字颜色 6 2 3 2" xfId="963"/>
    <cellStyle name="强调文字颜色 6 2 4" xfId="506"/>
    <cellStyle name="强调文字颜色 6 2 5" xfId="573"/>
    <cellStyle name="适中 2" xfId="406"/>
    <cellStyle name="适中 2 2" xfId="407"/>
    <cellStyle name="适中 2 2 2" xfId="408"/>
    <cellStyle name="适中 2 2 2 2" xfId="965"/>
    <cellStyle name="适中 2 2 3" xfId="409"/>
    <cellStyle name="适中 2 2 3 2" xfId="966"/>
    <cellStyle name="适中 2 2 4" xfId="588"/>
    <cellStyle name="适中 2 2 5" xfId="964"/>
    <cellStyle name="适中 2 3" xfId="410"/>
    <cellStyle name="适中 2 3 2" xfId="967"/>
    <cellStyle name="适中 2 4" xfId="507"/>
    <cellStyle name="适中 2 5" xfId="522"/>
    <cellStyle name="输出 2" xfId="411"/>
    <cellStyle name="输出 2 2" xfId="412"/>
    <cellStyle name="输出 2 2 2" xfId="413"/>
    <cellStyle name="输出 2 2 2 2" xfId="969"/>
    <cellStyle name="输出 2 2 3" xfId="414"/>
    <cellStyle name="输出 2 2 3 2" xfId="970"/>
    <cellStyle name="输出 2 2 4" xfId="584"/>
    <cellStyle name="输出 2 2 5" xfId="968"/>
    <cellStyle name="输出 2 3" xfId="415"/>
    <cellStyle name="输出 2 3 2" xfId="971"/>
    <cellStyle name="输出 2 4" xfId="508"/>
    <cellStyle name="输出 2 5" xfId="518"/>
    <cellStyle name="输入 2" xfId="416"/>
    <cellStyle name="输入 2 2" xfId="417"/>
    <cellStyle name="输入 2 2 2" xfId="418"/>
    <cellStyle name="输入 2 2 2 2" xfId="973"/>
    <cellStyle name="输入 2 2 3" xfId="419"/>
    <cellStyle name="输入 2 2 3 2" xfId="974"/>
    <cellStyle name="输入 2 2 4" xfId="660"/>
    <cellStyle name="输入 2 2 5" xfId="972"/>
    <cellStyle name="输入 2 3" xfId="420"/>
    <cellStyle name="输入 2 3 2" xfId="975"/>
    <cellStyle name="输入 2 4" xfId="509"/>
    <cellStyle name="输入 2 5" xfId="574"/>
    <cellStyle name="注释 2" xfId="421"/>
    <cellStyle name="注释 2 2" xfId="422"/>
    <cellStyle name="注释 2 2 2" xfId="423"/>
    <cellStyle name="注释 2 2 2 2" xfId="977"/>
    <cellStyle name="注释 2 2 3" xfId="661"/>
    <cellStyle name="注释 2 2 4" xfId="976"/>
    <cellStyle name="注释 2 3" xfId="424"/>
    <cellStyle name="注释 2 3 2" xfId="978"/>
    <cellStyle name="注释 2 4" xfId="510"/>
    <cellStyle name="注释 2 5" xfId="575"/>
  </cellStyles>
  <dxfs count="0"/>
  <tableStyles count="0" defaultTableStyle="TableStyleMedium2" defaultPivotStyle="PivotStyleLight16"/>
  <colors>
    <mruColors>
      <color rgb="FFFFFFDE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8"/>
  <sheetViews>
    <sheetView tabSelected="1" workbookViewId="0">
      <pane xSplit="3" ySplit="3" topLeftCell="D106" activePane="bottomRight" state="frozen"/>
      <selection pane="topRight" activeCell="D1" sqref="D1"/>
      <selection pane="bottomLeft" activeCell="A4" sqref="A4"/>
      <selection pane="bottomRight" activeCell="I130" sqref="I130"/>
    </sheetView>
  </sheetViews>
  <sheetFormatPr defaultRowHeight="13.5" x14ac:dyDescent="0.15"/>
  <cols>
    <col min="1" max="1" width="8.5" style="9" bestFit="1" customWidth="1"/>
    <col min="2" max="2" width="13.25" style="9" bestFit="1" customWidth="1"/>
    <col min="3" max="3" width="15.75" style="9" bestFit="1" customWidth="1"/>
    <col min="4" max="4" width="17" style="9" bestFit="1" customWidth="1"/>
    <col min="5" max="7" width="12" style="10" bestFit="1" customWidth="1"/>
    <col min="8" max="8" width="10.75" style="10" bestFit="1" customWidth="1"/>
    <col min="9" max="9" width="15.75" style="10" bestFit="1" customWidth="1"/>
    <col min="10" max="10" width="17" style="10" bestFit="1" customWidth="1"/>
    <col min="11" max="11" width="20.75" style="10" bestFit="1" customWidth="1"/>
    <col min="12" max="12" width="15.75" style="10" bestFit="1" customWidth="1"/>
    <col min="13" max="13" width="13.25" style="10" bestFit="1" customWidth="1"/>
    <col min="14" max="14" width="15.75" style="10" bestFit="1" customWidth="1"/>
    <col min="15" max="15" width="14.5" style="10" bestFit="1" customWidth="1"/>
    <col min="16" max="16" width="17" style="10" bestFit="1" customWidth="1"/>
    <col min="17" max="17" width="14.5" style="10" bestFit="1" customWidth="1"/>
    <col min="18" max="18" width="17" style="10" bestFit="1" customWidth="1"/>
    <col min="19" max="19" width="19.5" style="10" bestFit="1" customWidth="1"/>
    <col min="20" max="16384" width="9" style="10"/>
  </cols>
  <sheetData>
    <row r="1" spans="1:19" s="11" customFormat="1" x14ac:dyDescent="0.15">
      <c r="A1" s="11" t="s">
        <v>16</v>
      </c>
      <c r="B1" s="11" t="s">
        <v>17</v>
      </c>
      <c r="C1" s="11" t="s">
        <v>18</v>
      </c>
      <c r="D1" s="11" t="s">
        <v>24</v>
      </c>
      <c r="E1" s="11" t="s">
        <v>19</v>
      </c>
      <c r="F1" s="11" t="s">
        <v>21</v>
      </c>
      <c r="G1" s="11" t="s">
        <v>22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 t="s">
        <v>35</v>
      </c>
      <c r="R1" s="11" t="s">
        <v>36</v>
      </c>
      <c r="S1" s="11" t="s">
        <v>37</v>
      </c>
    </row>
    <row r="2" spans="1:19" s="14" customFormat="1" x14ac:dyDescent="0.15">
      <c r="A2" s="12"/>
      <c r="B2" s="12" t="s">
        <v>0</v>
      </c>
      <c r="C2" s="12" t="s">
        <v>1</v>
      </c>
      <c r="D2" s="12" t="s">
        <v>25</v>
      </c>
      <c r="E2" s="12" t="s">
        <v>2</v>
      </c>
      <c r="F2" s="12" t="s">
        <v>20</v>
      </c>
      <c r="G2" s="12" t="s">
        <v>3</v>
      </c>
      <c r="H2" s="13" t="s">
        <v>4</v>
      </c>
      <c r="I2" s="13" t="s">
        <v>5</v>
      </c>
      <c r="J2" s="13" t="s">
        <v>6</v>
      </c>
      <c r="K2" s="13" t="s">
        <v>7</v>
      </c>
      <c r="L2" s="13" t="s">
        <v>8</v>
      </c>
      <c r="M2" s="13" t="s">
        <v>9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</row>
    <row r="3" spans="1:19" s="17" customFormat="1" x14ac:dyDescent="0.15">
      <c r="A3" s="15"/>
      <c r="B3" s="15" t="s">
        <v>23</v>
      </c>
      <c r="C3" s="15"/>
      <c r="D3" s="15"/>
      <c r="E3" s="15"/>
      <c r="F3" s="15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s="8" customFormat="1" x14ac:dyDescent="0.15">
      <c r="A4" s="2">
        <f>B4*100+C4</f>
        <v>11000100</v>
      </c>
      <c r="B4" s="3">
        <v>110001</v>
      </c>
      <c r="C4" s="7">
        <v>0</v>
      </c>
      <c r="D4" s="7">
        <v>10000</v>
      </c>
      <c r="E4" s="4">
        <v>500001</v>
      </c>
      <c r="F4" s="4">
        <v>500002</v>
      </c>
      <c r="G4" s="4">
        <v>500003</v>
      </c>
      <c r="H4" s="8">
        <v>0</v>
      </c>
      <c r="I4" s="8">
        <v>0</v>
      </c>
      <c r="J4" s="8">
        <v>0</v>
      </c>
      <c r="K4" s="8">
        <v>0</v>
      </c>
      <c r="N4" s="8">
        <v>0</v>
      </c>
      <c r="P4" s="8">
        <v>0</v>
      </c>
      <c r="R4" s="8">
        <v>0</v>
      </c>
      <c r="S4" s="8">
        <v>0</v>
      </c>
    </row>
    <row r="5" spans="1:19" x14ac:dyDescent="0.15">
      <c r="A5" s="1">
        <f>B5*100+C5</f>
        <v>11000101</v>
      </c>
      <c r="B5" s="5">
        <v>110001</v>
      </c>
      <c r="C5" s="9">
        <v>1</v>
      </c>
      <c r="D5" s="9">
        <v>25000</v>
      </c>
      <c r="E5" s="6">
        <v>500031</v>
      </c>
      <c r="F5" s="6">
        <v>500032</v>
      </c>
      <c r="G5" s="6">
        <v>500033</v>
      </c>
      <c r="H5" s="8">
        <v>945</v>
      </c>
      <c r="I5" s="8">
        <v>28</v>
      </c>
      <c r="J5" s="8">
        <v>78.400000000000006</v>
      </c>
      <c r="K5" s="8">
        <v>63</v>
      </c>
      <c r="N5" s="8">
        <v>28.5</v>
      </c>
      <c r="P5" s="8">
        <v>28.5</v>
      </c>
      <c r="R5" s="8">
        <v>0</v>
      </c>
      <c r="S5" s="10">
        <v>0</v>
      </c>
    </row>
    <row r="6" spans="1:19" x14ac:dyDescent="0.15">
      <c r="A6" s="1">
        <f t="shared" ref="A6:A32" si="0">B6*100+C6</f>
        <v>11000102</v>
      </c>
      <c r="B6" s="5">
        <v>110001</v>
      </c>
      <c r="C6" s="9">
        <v>2</v>
      </c>
      <c r="D6" s="7">
        <v>50000</v>
      </c>
      <c r="E6" s="6">
        <v>500061</v>
      </c>
      <c r="F6" s="6">
        <v>500062</v>
      </c>
      <c r="G6" s="6">
        <v>500063</v>
      </c>
      <c r="H6" s="10">
        <v>1987.5</v>
      </c>
      <c r="I6" s="10">
        <v>60</v>
      </c>
      <c r="J6" s="10">
        <v>168</v>
      </c>
      <c r="K6" s="10">
        <v>132.5</v>
      </c>
      <c r="N6" s="10">
        <v>57</v>
      </c>
      <c r="P6" s="10">
        <v>57</v>
      </c>
      <c r="R6" s="8">
        <v>0</v>
      </c>
      <c r="S6" s="10">
        <v>0</v>
      </c>
    </row>
    <row r="7" spans="1:19" x14ac:dyDescent="0.15">
      <c r="A7" s="1">
        <f t="shared" si="0"/>
        <v>11000103</v>
      </c>
      <c r="B7" s="5">
        <v>110001</v>
      </c>
      <c r="C7" s="9">
        <v>3</v>
      </c>
      <c r="D7" s="7">
        <v>100000</v>
      </c>
      <c r="E7" s="6">
        <v>500091</v>
      </c>
      <c r="F7" s="6">
        <v>500092</v>
      </c>
      <c r="G7" s="6">
        <v>500093</v>
      </c>
      <c r="H7" s="10">
        <v>3300</v>
      </c>
      <c r="I7" s="10">
        <v>93.75</v>
      </c>
      <c r="J7" s="10">
        <v>262.5</v>
      </c>
      <c r="K7" s="10">
        <v>200</v>
      </c>
      <c r="N7" s="10">
        <v>100.5</v>
      </c>
      <c r="P7" s="10">
        <v>100.5</v>
      </c>
      <c r="R7" s="8">
        <v>0</v>
      </c>
      <c r="S7" s="10">
        <v>0</v>
      </c>
    </row>
    <row r="8" spans="1:19" x14ac:dyDescent="0.15">
      <c r="A8" s="1">
        <f>B8*100+C8</f>
        <v>11000104</v>
      </c>
      <c r="B8" s="5">
        <v>110001</v>
      </c>
      <c r="C8" s="9">
        <v>4</v>
      </c>
      <c r="D8" s="9">
        <v>200000</v>
      </c>
      <c r="E8" s="6">
        <v>500121</v>
      </c>
      <c r="F8" s="6">
        <v>500122</v>
      </c>
      <c r="G8" s="6">
        <v>500123</v>
      </c>
      <c r="H8" s="10">
        <v>4995</v>
      </c>
      <c r="I8" s="10">
        <v>132.5</v>
      </c>
      <c r="J8" s="10">
        <v>371</v>
      </c>
      <c r="K8" s="10">
        <v>277.5</v>
      </c>
      <c r="N8" s="10">
        <v>159</v>
      </c>
      <c r="P8" s="10">
        <v>159</v>
      </c>
      <c r="R8" s="8">
        <v>0</v>
      </c>
      <c r="S8" s="10">
        <v>0</v>
      </c>
    </row>
    <row r="9" spans="1:19" x14ac:dyDescent="0.15">
      <c r="A9" s="1">
        <f>B9*100+C9</f>
        <v>11000105</v>
      </c>
      <c r="B9" s="5">
        <v>110001</v>
      </c>
      <c r="C9" s="9">
        <v>5</v>
      </c>
      <c r="D9" s="7">
        <v>500000</v>
      </c>
      <c r="E9" s="6">
        <v>500151</v>
      </c>
      <c r="F9" s="6">
        <v>500152</v>
      </c>
      <c r="G9" s="6">
        <v>500153</v>
      </c>
      <c r="H9" s="10">
        <v>7556.25</v>
      </c>
      <c r="I9" s="10">
        <v>187.5</v>
      </c>
      <c r="J9" s="10">
        <v>525</v>
      </c>
      <c r="K9" s="10">
        <v>387.5</v>
      </c>
      <c r="N9" s="10">
        <v>232.5</v>
      </c>
      <c r="P9" s="10">
        <v>232.5</v>
      </c>
      <c r="R9" s="8">
        <v>0</v>
      </c>
      <c r="S9" s="10">
        <v>0</v>
      </c>
    </row>
    <row r="10" spans="1:19" x14ac:dyDescent="0.15">
      <c r="A10" s="1">
        <f t="shared" si="0"/>
        <v>11000106</v>
      </c>
      <c r="B10" s="5">
        <v>110001</v>
      </c>
      <c r="C10" s="9">
        <v>6</v>
      </c>
      <c r="D10" s="7">
        <v>1000000</v>
      </c>
      <c r="E10" s="6">
        <v>500181</v>
      </c>
      <c r="F10" s="6">
        <v>500182</v>
      </c>
      <c r="G10" s="6">
        <v>500183</v>
      </c>
      <c r="H10" s="10">
        <v>10762.5</v>
      </c>
      <c r="I10" s="10">
        <v>250</v>
      </c>
      <c r="J10" s="10">
        <v>700</v>
      </c>
      <c r="K10" s="10">
        <v>512.5</v>
      </c>
      <c r="N10" s="10">
        <v>321</v>
      </c>
      <c r="P10" s="10">
        <v>321</v>
      </c>
      <c r="R10" s="8">
        <v>0</v>
      </c>
      <c r="S10" s="10">
        <v>0</v>
      </c>
    </row>
    <row r="11" spans="1:19" s="20" customFormat="1" x14ac:dyDescent="0.15">
      <c r="A11" s="18">
        <f t="shared" si="0"/>
        <v>11000107</v>
      </c>
      <c r="B11" s="19">
        <v>110001</v>
      </c>
      <c r="C11" s="20">
        <v>7</v>
      </c>
      <c r="D11" s="20">
        <v>2000000</v>
      </c>
      <c r="E11" s="6">
        <v>500211</v>
      </c>
      <c r="F11" s="6">
        <v>500212</v>
      </c>
      <c r="G11" s="6">
        <v>500213</v>
      </c>
      <c r="H11" s="20">
        <v>10950</v>
      </c>
      <c r="I11" s="20">
        <v>963.60000000000014</v>
      </c>
      <c r="J11" s="20">
        <v>1460</v>
      </c>
      <c r="K11" s="20">
        <v>1460</v>
      </c>
      <c r="N11" s="20">
        <v>438</v>
      </c>
      <c r="P11" s="20">
        <v>438</v>
      </c>
      <c r="R11" s="21">
        <v>0</v>
      </c>
      <c r="S11" s="20">
        <v>0</v>
      </c>
    </row>
    <row r="12" spans="1:19" x14ac:dyDescent="0.15">
      <c r="A12" s="1">
        <f>B12*100+C12</f>
        <v>11000108</v>
      </c>
      <c r="B12" s="5">
        <v>110001</v>
      </c>
      <c r="C12" s="9">
        <v>8</v>
      </c>
      <c r="D12" s="7">
        <v>3000000</v>
      </c>
      <c r="E12" s="6">
        <v>500241</v>
      </c>
      <c r="F12" s="6">
        <v>500242</v>
      </c>
      <c r="G12" s="6">
        <v>500243</v>
      </c>
      <c r="H12" s="10">
        <v>14625</v>
      </c>
      <c r="I12" s="10">
        <v>1287.0000000000002</v>
      </c>
      <c r="J12" s="10">
        <v>1950</v>
      </c>
      <c r="K12" s="10">
        <v>1950</v>
      </c>
      <c r="N12" s="10">
        <v>585</v>
      </c>
      <c r="P12" s="10">
        <v>585</v>
      </c>
      <c r="R12" s="8">
        <v>0</v>
      </c>
      <c r="S12" s="10">
        <v>0</v>
      </c>
    </row>
    <row r="13" spans="1:19" x14ac:dyDescent="0.15">
      <c r="A13" s="1">
        <f t="shared" si="0"/>
        <v>11000109</v>
      </c>
      <c r="B13" s="5">
        <v>110001</v>
      </c>
      <c r="C13" s="9">
        <v>9</v>
      </c>
      <c r="D13" s="9">
        <v>4000000</v>
      </c>
      <c r="E13" s="6">
        <v>500271</v>
      </c>
      <c r="F13" s="6">
        <v>500272</v>
      </c>
      <c r="G13" s="6">
        <v>500273</v>
      </c>
      <c r="H13" s="10">
        <v>19387.5</v>
      </c>
      <c r="I13" s="10">
        <v>1706.1000000000004</v>
      </c>
      <c r="J13" s="10">
        <v>2585</v>
      </c>
      <c r="K13" s="10">
        <v>2585</v>
      </c>
      <c r="N13" s="10">
        <v>775.5</v>
      </c>
      <c r="P13" s="10">
        <v>775.5</v>
      </c>
      <c r="R13" s="8">
        <v>0</v>
      </c>
      <c r="S13" s="10">
        <v>0</v>
      </c>
    </row>
    <row r="14" spans="1:19" x14ac:dyDescent="0.15">
      <c r="A14" s="1">
        <f t="shared" si="0"/>
        <v>11000110</v>
      </c>
      <c r="B14" s="5">
        <v>110001</v>
      </c>
      <c r="C14" s="9">
        <v>10</v>
      </c>
      <c r="D14" s="7">
        <v>5000000</v>
      </c>
      <c r="E14" s="6">
        <v>500301</v>
      </c>
      <c r="F14" s="6">
        <v>500302</v>
      </c>
      <c r="G14" s="6">
        <v>500303</v>
      </c>
      <c r="H14" s="10">
        <v>25612.5</v>
      </c>
      <c r="I14" s="10">
        <v>2253.9000000000005</v>
      </c>
      <c r="J14" s="10">
        <v>3415</v>
      </c>
      <c r="K14" s="10">
        <v>3415</v>
      </c>
      <c r="N14" s="10">
        <v>1024.5</v>
      </c>
      <c r="P14" s="10">
        <v>1024.5</v>
      </c>
      <c r="R14" s="8">
        <v>0</v>
      </c>
      <c r="S14" s="10">
        <v>0</v>
      </c>
    </row>
    <row r="15" spans="1:19" x14ac:dyDescent="0.15">
      <c r="A15" s="1">
        <f t="shared" si="0"/>
        <v>11000111</v>
      </c>
      <c r="B15" s="5">
        <v>110001</v>
      </c>
      <c r="C15" s="9">
        <v>11</v>
      </c>
      <c r="D15" s="9">
        <v>6000000</v>
      </c>
      <c r="E15" s="6">
        <v>500331</v>
      </c>
      <c r="F15" s="6">
        <v>500332</v>
      </c>
      <c r="G15" s="6">
        <v>500333</v>
      </c>
      <c r="H15" s="10">
        <v>33675</v>
      </c>
      <c r="I15" s="10">
        <v>2963.4000000000005</v>
      </c>
      <c r="J15" s="10">
        <v>4490</v>
      </c>
      <c r="K15" s="10">
        <v>4490</v>
      </c>
      <c r="N15" s="10">
        <v>1347</v>
      </c>
      <c r="P15" s="10">
        <v>1347</v>
      </c>
      <c r="R15" s="8">
        <v>0</v>
      </c>
      <c r="S15" s="10">
        <v>0</v>
      </c>
    </row>
    <row r="16" spans="1:19" x14ac:dyDescent="0.15">
      <c r="A16" s="1">
        <v>11000112</v>
      </c>
      <c r="B16" s="5">
        <v>110001</v>
      </c>
      <c r="C16" s="9">
        <v>12</v>
      </c>
      <c r="D16" s="7">
        <v>0</v>
      </c>
      <c r="E16" s="6">
        <v>500361</v>
      </c>
      <c r="F16" s="6">
        <v>500362</v>
      </c>
      <c r="G16" s="6">
        <v>500363</v>
      </c>
      <c r="H16" s="10">
        <v>44287.5</v>
      </c>
      <c r="I16" s="10">
        <v>3897.3000000000006</v>
      </c>
      <c r="J16" s="10">
        <v>5905</v>
      </c>
      <c r="K16" s="10">
        <v>5905</v>
      </c>
      <c r="N16" s="10">
        <v>1771.5</v>
      </c>
      <c r="P16" s="10">
        <v>1771.5</v>
      </c>
      <c r="R16" s="8">
        <v>0</v>
      </c>
      <c r="S16" s="10">
        <v>0</v>
      </c>
    </row>
    <row r="17" spans="1:19" x14ac:dyDescent="0.15">
      <c r="A17" s="1">
        <f t="shared" si="0"/>
        <v>11000200</v>
      </c>
      <c r="B17" s="5">
        <v>110002</v>
      </c>
      <c r="C17" s="9">
        <v>0</v>
      </c>
      <c r="D17" s="7">
        <v>10000</v>
      </c>
      <c r="E17" s="6">
        <v>500004</v>
      </c>
      <c r="F17" s="6">
        <v>500005</v>
      </c>
      <c r="G17" s="6">
        <v>500006</v>
      </c>
      <c r="H17" s="10">
        <v>0</v>
      </c>
      <c r="I17" s="10">
        <v>0</v>
      </c>
      <c r="J17" s="10">
        <v>0</v>
      </c>
      <c r="K17" s="10">
        <v>0</v>
      </c>
      <c r="N17" s="8">
        <v>0</v>
      </c>
      <c r="O17" s="8"/>
      <c r="P17" s="8">
        <v>0</v>
      </c>
      <c r="R17" s="8">
        <v>0</v>
      </c>
      <c r="S17" s="10">
        <v>0</v>
      </c>
    </row>
    <row r="18" spans="1:19" x14ac:dyDescent="0.15">
      <c r="A18" s="1">
        <f t="shared" si="0"/>
        <v>11000201</v>
      </c>
      <c r="B18" s="5">
        <v>110002</v>
      </c>
      <c r="C18" s="9">
        <v>1</v>
      </c>
      <c r="D18" s="9">
        <v>25000</v>
      </c>
      <c r="E18" s="6">
        <v>500034</v>
      </c>
      <c r="F18" s="6">
        <v>500035</v>
      </c>
      <c r="G18" s="6">
        <v>500036</v>
      </c>
      <c r="H18" s="10">
        <v>504</v>
      </c>
      <c r="I18" s="10">
        <v>84</v>
      </c>
      <c r="J18" s="10">
        <v>56</v>
      </c>
      <c r="K18" s="8">
        <v>63</v>
      </c>
      <c r="N18" s="8">
        <v>28.5</v>
      </c>
      <c r="P18" s="8">
        <v>28.5</v>
      </c>
      <c r="R18" s="8">
        <v>0</v>
      </c>
      <c r="S18" s="10">
        <v>0</v>
      </c>
    </row>
    <row r="19" spans="1:19" x14ac:dyDescent="0.15">
      <c r="A19" s="1">
        <f t="shared" si="0"/>
        <v>11000202</v>
      </c>
      <c r="B19" s="5">
        <v>110002</v>
      </c>
      <c r="C19" s="9">
        <v>2</v>
      </c>
      <c r="D19" s="7">
        <v>50000</v>
      </c>
      <c r="E19" s="6">
        <v>500064</v>
      </c>
      <c r="F19" s="6">
        <v>500065</v>
      </c>
      <c r="G19" s="6">
        <v>500066</v>
      </c>
      <c r="H19" s="10">
        <v>1060</v>
      </c>
      <c r="I19" s="10">
        <v>180</v>
      </c>
      <c r="J19" s="10">
        <v>120</v>
      </c>
      <c r="K19" s="10">
        <v>132.5</v>
      </c>
      <c r="N19" s="10">
        <v>57</v>
      </c>
      <c r="P19" s="10">
        <v>57</v>
      </c>
      <c r="R19" s="8">
        <v>0</v>
      </c>
      <c r="S19" s="10">
        <v>0</v>
      </c>
    </row>
    <row r="20" spans="1:19" x14ac:dyDescent="0.15">
      <c r="A20" s="1">
        <f t="shared" si="0"/>
        <v>11000203</v>
      </c>
      <c r="B20" s="5">
        <v>110002</v>
      </c>
      <c r="C20" s="9">
        <v>3</v>
      </c>
      <c r="D20" s="7">
        <v>100000</v>
      </c>
      <c r="E20" s="6">
        <v>500094</v>
      </c>
      <c r="F20" s="6">
        <v>500095</v>
      </c>
      <c r="G20" s="6">
        <v>500096</v>
      </c>
      <c r="H20" s="10">
        <v>1760</v>
      </c>
      <c r="I20" s="10">
        <v>281.25</v>
      </c>
      <c r="J20" s="10">
        <v>187.5</v>
      </c>
      <c r="K20" s="10">
        <v>200</v>
      </c>
      <c r="N20" s="10">
        <v>100.5</v>
      </c>
      <c r="P20" s="10">
        <v>100.5</v>
      </c>
      <c r="R20" s="8">
        <v>0</v>
      </c>
      <c r="S20" s="10">
        <v>0</v>
      </c>
    </row>
    <row r="21" spans="1:19" x14ac:dyDescent="0.15">
      <c r="A21" s="1">
        <f t="shared" si="0"/>
        <v>11000204</v>
      </c>
      <c r="B21" s="5">
        <v>110002</v>
      </c>
      <c r="C21" s="9">
        <v>4</v>
      </c>
      <c r="D21" s="9">
        <v>200000</v>
      </c>
      <c r="E21" s="6">
        <v>500124</v>
      </c>
      <c r="F21" s="6">
        <v>500125</v>
      </c>
      <c r="G21" s="6">
        <v>500126</v>
      </c>
      <c r="H21" s="10">
        <v>2664</v>
      </c>
      <c r="I21" s="10">
        <v>397.5</v>
      </c>
      <c r="J21" s="10">
        <v>265</v>
      </c>
      <c r="K21" s="10">
        <v>277.5</v>
      </c>
      <c r="N21" s="10">
        <v>159</v>
      </c>
      <c r="P21" s="10">
        <v>159</v>
      </c>
      <c r="R21" s="8">
        <v>0</v>
      </c>
      <c r="S21" s="10">
        <v>0</v>
      </c>
    </row>
    <row r="22" spans="1:19" x14ac:dyDescent="0.15">
      <c r="A22" s="1">
        <f t="shared" si="0"/>
        <v>11000205</v>
      </c>
      <c r="B22" s="5">
        <v>110002</v>
      </c>
      <c r="C22" s="9">
        <v>5</v>
      </c>
      <c r="D22" s="7">
        <v>500000</v>
      </c>
      <c r="E22" s="6">
        <v>500154</v>
      </c>
      <c r="F22" s="6">
        <v>500155</v>
      </c>
      <c r="G22" s="6">
        <v>500156</v>
      </c>
      <c r="H22" s="10">
        <v>4030</v>
      </c>
      <c r="I22" s="10">
        <v>562.5</v>
      </c>
      <c r="J22" s="10">
        <v>375</v>
      </c>
      <c r="K22" s="10">
        <v>387.5</v>
      </c>
      <c r="N22" s="10">
        <v>232.5</v>
      </c>
      <c r="P22" s="10">
        <v>232.5</v>
      </c>
      <c r="R22" s="8">
        <v>0</v>
      </c>
      <c r="S22" s="10">
        <v>0</v>
      </c>
    </row>
    <row r="23" spans="1:19" x14ac:dyDescent="0.15">
      <c r="A23" s="1">
        <f t="shared" si="0"/>
        <v>11000206</v>
      </c>
      <c r="B23" s="5">
        <v>110002</v>
      </c>
      <c r="C23" s="9">
        <v>6</v>
      </c>
      <c r="D23" s="7">
        <v>1000000</v>
      </c>
      <c r="E23" s="6">
        <v>500184</v>
      </c>
      <c r="F23" s="6">
        <v>500185</v>
      </c>
      <c r="G23" s="6">
        <v>500186</v>
      </c>
      <c r="H23" s="10">
        <v>5740</v>
      </c>
      <c r="I23" s="10">
        <v>750</v>
      </c>
      <c r="J23" s="10">
        <v>500</v>
      </c>
      <c r="K23" s="10">
        <v>512.5</v>
      </c>
      <c r="N23" s="10">
        <v>321</v>
      </c>
      <c r="P23" s="10">
        <v>321</v>
      </c>
      <c r="R23" s="8">
        <v>0</v>
      </c>
      <c r="S23" s="10">
        <v>0</v>
      </c>
    </row>
    <row r="24" spans="1:19" s="20" customFormat="1" x14ac:dyDescent="0.15">
      <c r="A24" s="18">
        <f t="shared" si="0"/>
        <v>11000207</v>
      </c>
      <c r="B24" s="19">
        <v>110002</v>
      </c>
      <c r="C24" s="20">
        <v>7</v>
      </c>
      <c r="D24" s="20">
        <v>2000000</v>
      </c>
      <c r="E24" s="6">
        <v>500214</v>
      </c>
      <c r="F24" s="6">
        <v>500215</v>
      </c>
      <c r="G24" s="6">
        <v>500216</v>
      </c>
      <c r="H24" s="20">
        <v>4818</v>
      </c>
      <c r="I24" s="20">
        <v>2190</v>
      </c>
      <c r="J24" s="20">
        <v>1460</v>
      </c>
      <c r="K24" s="20">
        <v>1460</v>
      </c>
      <c r="N24" s="20">
        <v>438</v>
      </c>
      <c r="P24" s="20">
        <v>438</v>
      </c>
      <c r="R24" s="21">
        <v>0</v>
      </c>
      <c r="S24" s="20">
        <v>0</v>
      </c>
    </row>
    <row r="25" spans="1:19" x14ac:dyDescent="0.15">
      <c r="A25" s="1">
        <f t="shared" si="0"/>
        <v>11000208</v>
      </c>
      <c r="B25" s="5">
        <v>110002</v>
      </c>
      <c r="C25" s="9">
        <v>8</v>
      </c>
      <c r="D25" s="7">
        <v>3000000</v>
      </c>
      <c r="E25" s="6">
        <v>500244</v>
      </c>
      <c r="F25" s="6">
        <v>500245</v>
      </c>
      <c r="G25" s="6">
        <v>500246</v>
      </c>
      <c r="H25" s="10">
        <v>6435</v>
      </c>
      <c r="I25" s="10">
        <v>2925</v>
      </c>
      <c r="J25" s="10">
        <v>1950</v>
      </c>
      <c r="K25" s="10">
        <v>1950</v>
      </c>
      <c r="N25" s="10">
        <v>585</v>
      </c>
      <c r="P25" s="10">
        <v>585</v>
      </c>
      <c r="R25" s="8">
        <v>0</v>
      </c>
      <c r="S25" s="10">
        <v>0</v>
      </c>
    </row>
    <row r="26" spans="1:19" x14ac:dyDescent="0.15">
      <c r="A26" s="1">
        <f t="shared" si="0"/>
        <v>11000209</v>
      </c>
      <c r="B26" s="5">
        <v>110002</v>
      </c>
      <c r="C26" s="9">
        <v>9</v>
      </c>
      <c r="D26" s="9">
        <v>4000000</v>
      </c>
      <c r="E26" s="6">
        <v>500274</v>
      </c>
      <c r="F26" s="6">
        <v>500275</v>
      </c>
      <c r="G26" s="6">
        <v>500276</v>
      </c>
      <c r="H26" s="10">
        <v>8530.5</v>
      </c>
      <c r="I26" s="10">
        <v>3877.5</v>
      </c>
      <c r="J26" s="10">
        <v>2585</v>
      </c>
      <c r="K26" s="10">
        <v>2585</v>
      </c>
      <c r="N26" s="10">
        <v>775.5</v>
      </c>
      <c r="P26" s="10">
        <v>775.5</v>
      </c>
      <c r="R26" s="8">
        <v>0</v>
      </c>
      <c r="S26" s="10">
        <v>0</v>
      </c>
    </row>
    <row r="27" spans="1:19" x14ac:dyDescent="0.15">
      <c r="A27" s="1">
        <f t="shared" si="0"/>
        <v>11000210</v>
      </c>
      <c r="B27" s="5">
        <v>110002</v>
      </c>
      <c r="C27" s="9">
        <v>10</v>
      </c>
      <c r="D27" s="7">
        <v>5000000</v>
      </c>
      <c r="E27" s="6">
        <v>500304</v>
      </c>
      <c r="F27" s="6">
        <v>500305</v>
      </c>
      <c r="G27" s="6">
        <v>500306</v>
      </c>
      <c r="H27" s="10">
        <v>11269.5</v>
      </c>
      <c r="I27" s="10">
        <v>5122.5</v>
      </c>
      <c r="J27" s="10">
        <v>3415</v>
      </c>
      <c r="K27" s="10">
        <v>3415</v>
      </c>
      <c r="N27" s="10">
        <v>1024.5</v>
      </c>
      <c r="P27" s="10">
        <v>1024.5</v>
      </c>
      <c r="R27" s="8">
        <v>0</v>
      </c>
      <c r="S27" s="10">
        <v>0</v>
      </c>
    </row>
    <row r="28" spans="1:19" x14ac:dyDescent="0.15">
      <c r="A28" s="1">
        <f t="shared" si="0"/>
        <v>11000211</v>
      </c>
      <c r="B28" s="5">
        <v>110002</v>
      </c>
      <c r="C28" s="9">
        <v>11</v>
      </c>
      <c r="D28" s="9">
        <v>6000000</v>
      </c>
      <c r="E28" s="6">
        <v>500334</v>
      </c>
      <c r="F28" s="6">
        <v>500335</v>
      </c>
      <c r="G28" s="6">
        <v>500336</v>
      </c>
      <c r="H28" s="10">
        <v>14817</v>
      </c>
      <c r="I28" s="10">
        <v>6735</v>
      </c>
      <c r="J28" s="10">
        <v>4490</v>
      </c>
      <c r="K28" s="10">
        <v>4490</v>
      </c>
      <c r="N28" s="10">
        <v>1347</v>
      </c>
      <c r="P28" s="10">
        <v>1347</v>
      </c>
      <c r="R28" s="8">
        <v>0</v>
      </c>
      <c r="S28" s="10">
        <v>0</v>
      </c>
    </row>
    <row r="29" spans="1:19" x14ac:dyDescent="0.15">
      <c r="A29" s="1">
        <v>11000212</v>
      </c>
      <c r="B29" s="5">
        <v>110002</v>
      </c>
      <c r="C29" s="9">
        <v>12</v>
      </c>
      <c r="D29" s="7">
        <v>0</v>
      </c>
      <c r="E29" s="6">
        <v>500364</v>
      </c>
      <c r="F29" s="6">
        <v>500365</v>
      </c>
      <c r="G29" s="6">
        <v>500366</v>
      </c>
      <c r="H29" s="10">
        <v>19486.5</v>
      </c>
      <c r="I29" s="10">
        <v>8857.5</v>
      </c>
      <c r="J29" s="10">
        <v>5905</v>
      </c>
      <c r="K29" s="10">
        <v>5905</v>
      </c>
      <c r="N29" s="10">
        <v>1771.5</v>
      </c>
      <c r="P29" s="10">
        <v>1771.5</v>
      </c>
      <c r="R29" s="8">
        <v>0</v>
      </c>
      <c r="S29" s="10">
        <v>0</v>
      </c>
    </row>
    <row r="30" spans="1:19" x14ac:dyDescent="0.15">
      <c r="A30" s="1">
        <f t="shared" si="0"/>
        <v>11000300</v>
      </c>
      <c r="B30" s="5">
        <v>110003</v>
      </c>
      <c r="C30" s="9">
        <v>0</v>
      </c>
      <c r="D30" s="7">
        <v>10000</v>
      </c>
      <c r="E30" s="6">
        <v>500007</v>
      </c>
      <c r="F30" s="6">
        <v>500008</v>
      </c>
      <c r="G30" s="6">
        <v>500009</v>
      </c>
      <c r="H30" s="10">
        <v>0</v>
      </c>
      <c r="I30" s="10">
        <v>0</v>
      </c>
      <c r="J30" s="10">
        <v>0</v>
      </c>
      <c r="K30" s="10">
        <v>0</v>
      </c>
      <c r="N30" s="8">
        <v>0</v>
      </c>
      <c r="O30" s="8"/>
      <c r="P30" s="8">
        <v>0</v>
      </c>
      <c r="R30" s="8">
        <v>0</v>
      </c>
      <c r="S30" s="10">
        <v>0</v>
      </c>
    </row>
    <row r="31" spans="1:19" x14ac:dyDescent="0.15">
      <c r="A31" s="1">
        <f t="shared" si="0"/>
        <v>11000301</v>
      </c>
      <c r="B31" s="5">
        <v>110003</v>
      </c>
      <c r="C31" s="9">
        <v>1</v>
      </c>
      <c r="D31" s="9">
        <v>25000</v>
      </c>
      <c r="E31" s="6">
        <v>500037</v>
      </c>
      <c r="F31" s="6">
        <v>500038</v>
      </c>
      <c r="G31" s="6">
        <v>500039</v>
      </c>
      <c r="H31" s="10">
        <v>504</v>
      </c>
      <c r="I31" s="10">
        <v>84</v>
      </c>
      <c r="J31" s="10">
        <v>56</v>
      </c>
      <c r="K31" s="8">
        <v>63</v>
      </c>
      <c r="N31" s="8">
        <v>28.5</v>
      </c>
      <c r="P31" s="8">
        <v>28.5</v>
      </c>
      <c r="R31" s="8">
        <v>0</v>
      </c>
      <c r="S31" s="10">
        <v>0</v>
      </c>
    </row>
    <row r="32" spans="1:19" x14ac:dyDescent="0.15">
      <c r="A32" s="1">
        <f t="shared" si="0"/>
        <v>11000302</v>
      </c>
      <c r="B32" s="5">
        <v>110003</v>
      </c>
      <c r="C32" s="9">
        <v>2</v>
      </c>
      <c r="D32" s="7">
        <v>50000</v>
      </c>
      <c r="E32" s="6">
        <v>500067</v>
      </c>
      <c r="F32" s="6">
        <v>500068</v>
      </c>
      <c r="G32" s="6">
        <v>500069</v>
      </c>
      <c r="H32" s="10">
        <v>1060</v>
      </c>
      <c r="I32" s="10">
        <v>180</v>
      </c>
      <c r="J32" s="10">
        <v>120</v>
      </c>
      <c r="K32" s="10">
        <v>132.5</v>
      </c>
      <c r="N32" s="10">
        <v>57</v>
      </c>
      <c r="P32" s="10">
        <v>57</v>
      </c>
      <c r="R32" s="8">
        <v>0</v>
      </c>
      <c r="S32" s="10">
        <v>0</v>
      </c>
    </row>
    <row r="33" spans="1:19" x14ac:dyDescent="0.15">
      <c r="A33" s="1">
        <f t="shared" ref="A33:A43" si="1">B33*100+C33</f>
        <v>11000303</v>
      </c>
      <c r="B33" s="5">
        <v>110003</v>
      </c>
      <c r="C33" s="9">
        <v>3</v>
      </c>
      <c r="D33" s="7">
        <v>100000</v>
      </c>
      <c r="E33" s="6">
        <v>500097</v>
      </c>
      <c r="F33" s="6">
        <v>500098</v>
      </c>
      <c r="G33" s="6">
        <v>500099</v>
      </c>
      <c r="H33" s="10">
        <v>1760</v>
      </c>
      <c r="I33" s="10">
        <v>281.25</v>
      </c>
      <c r="J33" s="10">
        <v>187.5</v>
      </c>
      <c r="K33" s="10">
        <v>200</v>
      </c>
      <c r="N33" s="10">
        <v>100.5</v>
      </c>
      <c r="P33" s="10">
        <v>100.5</v>
      </c>
      <c r="R33" s="8">
        <v>0</v>
      </c>
      <c r="S33" s="10">
        <v>0</v>
      </c>
    </row>
    <row r="34" spans="1:19" x14ac:dyDescent="0.15">
      <c r="A34" s="1">
        <f t="shared" si="1"/>
        <v>11000304</v>
      </c>
      <c r="B34" s="5">
        <v>110003</v>
      </c>
      <c r="C34" s="9">
        <v>4</v>
      </c>
      <c r="D34" s="9">
        <v>200000</v>
      </c>
      <c r="E34" s="6">
        <v>500127</v>
      </c>
      <c r="F34" s="6">
        <v>500128</v>
      </c>
      <c r="G34" s="6">
        <v>500129</v>
      </c>
      <c r="H34" s="10">
        <v>2664</v>
      </c>
      <c r="I34" s="10">
        <v>397.5</v>
      </c>
      <c r="J34" s="10">
        <v>265</v>
      </c>
      <c r="K34" s="10">
        <v>277.5</v>
      </c>
      <c r="N34" s="10">
        <v>159</v>
      </c>
      <c r="P34" s="10">
        <v>159</v>
      </c>
      <c r="R34" s="8">
        <v>0</v>
      </c>
      <c r="S34" s="10">
        <v>0</v>
      </c>
    </row>
    <row r="35" spans="1:19" x14ac:dyDescent="0.15">
      <c r="A35" s="1">
        <f t="shared" si="1"/>
        <v>11000305</v>
      </c>
      <c r="B35" s="5">
        <v>110003</v>
      </c>
      <c r="C35" s="9">
        <v>5</v>
      </c>
      <c r="D35" s="7">
        <v>500000</v>
      </c>
      <c r="E35" s="6">
        <v>500157</v>
      </c>
      <c r="F35" s="6">
        <v>500158</v>
      </c>
      <c r="G35" s="6">
        <v>500159</v>
      </c>
      <c r="H35" s="10">
        <v>4030</v>
      </c>
      <c r="I35" s="10">
        <v>562.5</v>
      </c>
      <c r="J35" s="10">
        <v>375</v>
      </c>
      <c r="K35" s="10">
        <v>387.5</v>
      </c>
      <c r="N35" s="10">
        <v>232.5</v>
      </c>
      <c r="P35" s="10">
        <v>232.5</v>
      </c>
      <c r="R35" s="8">
        <v>0</v>
      </c>
      <c r="S35" s="10">
        <v>0</v>
      </c>
    </row>
    <row r="36" spans="1:19" x14ac:dyDescent="0.15">
      <c r="A36" s="1">
        <f t="shared" si="1"/>
        <v>11000306</v>
      </c>
      <c r="B36" s="5">
        <v>110003</v>
      </c>
      <c r="C36" s="9">
        <v>6</v>
      </c>
      <c r="D36" s="7">
        <v>1000000</v>
      </c>
      <c r="E36" s="6">
        <v>500187</v>
      </c>
      <c r="F36" s="6">
        <v>500188</v>
      </c>
      <c r="G36" s="6">
        <v>500189</v>
      </c>
      <c r="H36" s="10">
        <v>5740</v>
      </c>
      <c r="I36" s="10">
        <v>750</v>
      </c>
      <c r="J36" s="10">
        <v>500</v>
      </c>
      <c r="K36" s="10">
        <v>512.5</v>
      </c>
      <c r="N36" s="10">
        <v>321</v>
      </c>
      <c r="P36" s="10">
        <v>321</v>
      </c>
      <c r="R36" s="8">
        <v>0</v>
      </c>
      <c r="S36" s="10">
        <v>0</v>
      </c>
    </row>
    <row r="37" spans="1:19" s="20" customFormat="1" x14ac:dyDescent="0.15">
      <c r="A37" s="18">
        <f t="shared" si="1"/>
        <v>11000307</v>
      </c>
      <c r="B37" s="19">
        <v>110003</v>
      </c>
      <c r="C37" s="20">
        <v>7</v>
      </c>
      <c r="D37" s="20">
        <v>2000000</v>
      </c>
      <c r="E37" s="6">
        <v>500217</v>
      </c>
      <c r="F37" s="6">
        <v>500218</v>
      </c>
      <c r="G37" s="6">
        <v>500219</v>
      </c>
      <c r="H37" s="20">
        <v>4818</v>
      </c>
      <c r="I37" s="20">
        <v>2190</v>
      </c>
      <c r="J37" s="20">
        <v>1460</v>
      </c>
      <c r="K37" s="20">
        <v>1460</v>
      </c>
      <c r="N37" s="20">
        <v>438</v>
      </c>
      <c r="P37" s="20">
        <v>438</v>
      </c>
      <c r="R37" s="21">
        <v>0</v>
      </c>
      <c r="S37" s="20">
        <v>0</v>
      </c>
    </row>
    <row r="38" spans="1:19" x14ac:dyDescent="0.15">
      <c r="A38" s="1">
        <f t="shared" si="1"/>
        <v>11000308</v>
      </c>
      <c r="B38" s="5">
        <v>110003</v>
      </c>
      <c r="C38" s="9">
        <v>8</v>
      </c>
      <c r="D38" s="7">
        <v>3000000</v>
      </c>
      <c r="E38" s="6">
        <v>500247</v>
      </c>
      <c r="F38" s="6">
        <v>500248</v>
      </c>
      <c r="G38" s="6">
        <v>500249</v>
      </c>
      <c r="H38" s="10">
        <v>6435</v>
      </c>
      <c r="I38" s="10">
        <v>2925</v>
      </c>
      <c r="J38" s="10">
        <v>1950</v>
      </c>
      <c r="K38" s="10">
        <v>1950</v>
      </c>
      <c r="N38" s="10">
        <v>585</v>
      </c>
      <c r="P38" s="10">
        <v>585</v>
      </c>
      <c r="R38" s="8">
        <v>0</v>
      </c>
      <c r="S38" s="10">
        <v>0</v>
      </c>
    </row>
    <row r="39" spans="1:19" x14ac:dyDescent="0.15">
      <c r="A39" s="1">
        <f t="shared" si="1"/>
        <v>11000309</v>
      </c>
      <c r="B39" s="5">
        <v>110003</v>
      </c>
      <c r="C39" s="9">
        <v>9</v>
      </c>
      <c r="D39" s="9">
        <v>4000000</v>
      </c>
      <c r="E39" s="6">
        <v>500277</v>
      </c>
      <c r="F39" s="6">
        <v>500278</v>
      </c>
      <c r="G39" s="6">
        <v>500279</v>
      </c>
      <c r="H39" s="10">
        <v>8530.5</v>
      </c>
      <c r="I39" s="10">
        <v>3877.5</v>
      </c>
      <c r="J39" s="10">
        <v>2585</v>
      </c>
      <c r="K39" s="10">
        <v>2585</v>
      </c>
      <c r="N39" s="10">
        <v>775.5</v>
      </c>
      <c r="P39" s="10">
        <v>775.5</v>
      </c>
      <c r="R39" s="8">
        <v>0</v>
      </c>
      <c r="S39" s="10">
        <v>0</v>
      </c>
    </row>
    <row r="40" spans="1:19" x14ac:dyDescent="0.15">
      <c r="A40" s="1">
        <f t="shared" si="1"/>
        <v>11000310</v>
      </c>
      <c r="B40" s="5">
        <v>110003</v>
      </c>
      <c r="C40" s="9">
        <v>10</v>
      </c>
      <c r="D40" s="7">
        <v>5000000</v>
      </c>
      <c r="E40" s="6">
        <v>500307</v>
      </c>
      <c r="F40" s="6">
        <v>500308</v>
      </c>
      <c r="G40" s="6">
        <v>500309</v>
      </c>
      <c r="H40" s="10">
        <v>11269.5</v>
      </c>
      <c r="I40" s="10">
        <v>5122.5</v>
      </c>
      <c r="J40" s="10">
        <v>3415</v>
      </c>
      <c r="K40" s="10">
        <v>3415</v>
      </c>
      <c r="N40" s="10">
        <v>1024.5</v>
      </c>
      <c r="P40" s="10">
        <v>1024.5</v>
      </c>
      <c r="R40" s="8">
        <v>0</v>
      </c>
      <c r="S40" s="10">
        <v>0</v>
      </c>
    </row>
    <row r="41" spans="1:19" x14ac:dyDescent="0.15">
      <c r="A41" s="1">
        <f t="shared" si="1"/>
        <v>11000311</v>
      </c>
      <c r="B41" s="5">
        <v>110003</v>
      </c>
      <c r="C41" s="9">
        <v>11</v>
      </c>
      <c r="D41" s="9">
        <v>6000000</v>
      </c>
      <c r="E41" s="6">
        <v>500337</v>
      </c>
      <c r="F41" s="6">
        <v>500338</v>
      </c>
      <c r="G41" s="6">
        <v>500339</v>
      </c>
      <c r="H41" s="10">
        <v>14817</v>
      </c>
      <c r="I41" s="10">
        <v>6735</v>
      </c>
      <c r="J41" s="10">
        <v>4490</v>
      </c>
      <c r="K41" s="10">
        <v>4490</v>
      </c>
      <c r="N41" s="10">
        <v>1347</v>
      </c>
      <c r="P41" s="10">
        <v>1347</v>
      </c>
      <c r="R41" s="8">
        <v>0</v>
      </c>
      <c r="S41" s="10">
        <v>0</v>
      </c>
    </row>
    <row r="42" spans="1:19" x14ac:dyDescent="0.15">
      <c r="A42" s="1">
        <v>11000312</v>
      </c>
      <c r="B42" s="5">
        <v>110003</v>
      </c>
      <c r="C42" s="9">
        <v>12</v>
      </c>
      <c r="D42" s="7">
        <v>0</v>
      </c>
      <c r="E42" s="6">
        <v>500367</v>
      </c>
      <c r="F42" s="6">
        <v>500368</v>
      </c>
      <c r="G42" s="6">
        <v>500369</v>
      </c>
      <c r="H42" s="10">
        <v>19486.5</v>
      </c>
      <c r="I42" s="10">
        <v>8857.5</v>
      </c>
      <c r="J42" s="10">
        <v>5905</v>
      </c>
      <c r="K42" s="10">
        <v>5905</v>
      </c>
      <c r="N42" s="10">
        <v>1771.5</v>
      </c>
      <c r="P42" s="10">
        <v>1771.5</v>
      </c>
      <c r="R42" s="8">
        <v>0</v>
      </c>
      <c r="S42" s="10">
        <v>0</v>
      </c>
    </row>
    <row r="43" spans="1:19" x14ac:dyDescent="0.15">
      <c r="A43" s="1">
        <f t="shared" si="1"/>
        <v>11000400</v>
      </c>
      <c r="B43" s="5">
        <f t="shared" ref="B43:B54" si="2">B30+1</f>
        <v>110004</v>
      </c>
      <c r="C43" s="9">
        <f>C30</f>
        <v>0</v>
      </c>
      <c r="D43" s="7">
        <v>10000</v>
      </c>
      <c r="E43" s="10">
        <v>500010</v>
      </c>
      <c r="F43" s="10">
        <v>500011</v>
      </c>
      <c r="G43" s="10">
        <v>500012</v>
      </c>
      <c r="H43" s="8">
        <v>0</v>
      </c>
      <c r="I43" s="8">
        <v>0</v>
      </c>
      <c r="J43" s="8">
        <v>0</v>
      </c>
      <c r="K43" s="8">
        <v>0</v>
      </c>
      <c r="L43" s="10">
        <f t="shared" ref="L43:S43" si="3">L30</f>
        <v>0</v>
      </c>
      <c r="M43" s="10">
        <f t="shared" si="3"/>
        <v>0</v>
      </c>
      <c r="N43" s="8">
        <v>0</v>
      </c>
      <c r="O43" s="8"/>
      <c r="P43" s="8">
        <v>0</v>
      </c>
      <c r="Q43" s="10">
        <f t="shared" si="3"/>
        <v>0</v>
      </c>
      <c r="R43" s="8">
        <v>0</v>
      </c>
      <c r="S43" s="10">
        <f t="shared" si="3"/>
        <v>0</v>
      </c>
    </row>
    <row r="44" spans="1:19" x14ac:dyDescent="0.15">
      <c r="A44" s="1">
        <f t="shared" ref="A44:A106" si="4">B44*100+C44</f>
        <v>11000401</v>
      </c>
      <c r="B44" s="5">
        <f t="shared" si="2"/>
        <v>110004</v>
      </c>
      <c r="C44" s="9">
        <f t="shared" ref="C44:S44" si="5">C31</f>
        <v>1</v>
      </c>
      <c r="D44" s="9">
        <v>25000</v>
      </c>
      <c r="E44" s="10">
        <v>500040</v>
      </c>
      <c r="F44" s="10">
        <v>500041</v>
      </c>
      <c r="G44" s="10">
        <v>500042</v>
      </c>
      <c r="H44" s="8">
        <v>945</v>
      </c>
      <c r="I44" s="8">
        <v>28</v>
      </c>
      <c r="J44" s="8">
        <v>78.400000000000006</v>
      </c>
      <c r="K44" s="8">
        <v>63</v>
      </c>
      <c r="L44" s="10">
        <f t="shared" si="5"/>
        <v>0</v>
      </c>
      <c r="M44" s="10">
        <f t="shared" si="5"/>
        <v>0</v>
      </c>
      <c r="N44" s="8">
        <v>28.5</v>
      </c>
      <c r="P44" s="8">
        <v>28.5</v>
      </c>
      <c r="Q44" s="10">
        <f t="shared" si="5"/>
        <v>0</v>
      </c>
      <c r="R44" s="8">
        <v>0</v>
      </c>
      <c r="S44" s="10">
        <f t="shared" si="5"/>
        <v>0</v>
      </c>
    </row>
    <row r="45" spans="1:19" x14ac:dyDescent="0.15">
      <c r="A45" s="1">
        <f t="shared" si="4"/>
        <v>11000402</v>
      </c>
      <c r="B45" s="5">
        <f t="shared" si="2"/>
        <v>110004</v>
      </c>
      <c r="C45" s="9">
        <f t="shared" ref="C45:S45" si="6">C32</f>
        <v>2</v>
      </c>
      <c r="D45" s="7">
        <v>50000</v>
      </c>
      <c r="E45" s="10">
        <v>500070</v>
      </c>
      <c r="F45" s="10">
        <v>500071</v>
      </c>
      <c r="G45" s="10">
        <v>500072</v>
      </c>
      <c r="H45" s="10">
        <v>1987.5</v>
      </c>
      <c r="I45" s="10">
        <v>60</v>
      </c>
      <c r="J45" s="10">
        <v>168</v>
      </c>
      <c r="K45" s="10">
        <v>132.5</v>
      </c>
      <c r="L45" s="10">
        <f t="shared" si="6"/>
        <v>0</v>
      </c>
      <c r="M45" s="10">
        <f t="shared" si="6"/>
        <v>0</v>
      </c>
      <c r="N45" s="10">
        <v>57</v>
      </c>
      <c r="P45" s="10">
        <v>57</v>
      </c>
      <c r="Q45" s="10">
        <f t="shared" si="6"/>
        <v>0</v>
      </c>
      <c r="R45" s="8">
        <v>0</v>
      </c>
      <c r="S45" s="10">
        <f t="shared" si="6"/>
        <v>0</v>
      </c>
    </row>
    <row r="46" spans="1:19" x14ac:dyDescent="0.15">
      <c r="A46" s="1">
        <f t="shared" si="4"/>
        <v>11000403</v>
      </c>
      <c r="B46" s="5">
        <f t="shared" si="2"/>
        <v>110004</v>
      </c>
      <c r="C46" s="9">
        <f t="shared" ref="C46:S46" si="7">C33</f>
        <v>3</v>
      </c>
      <c r="D46" s="7">
        <v>100000</v>
      </c>
      <c r="E46" s="10">
        <v>500100</v>
      </c>
      <c r="F46" s="10">
        <v>500101</v>
      </c>
      <c r="G46" s="10">
        <v>500102</v>
      </c>
      <c r="H46" s="10">
        <v>3300</v>
      </c>
      <c r="I46" s="10">
        <v>93.75</v>
      </c>
      <c r="J46" s="10">
        <v>262.5</v>
      </c>
      <c r="K46" s="10">
        <v>200</v>
      </c>
      <c r="L46" s="10">
        <f t="shared" si="7"/>
        <v>0</v>
      </c>
      <c r="M46" s="10">
        <f t="shared" si="7"/>
        <v>0</v>
      </c>
      <c r="N46" s="10">
        <v>100.5</v>
      </c>
      <c r="P46" s="10">
        <v>100.5</v>
      </c>
      <c r="Q46" s="10">
        <f t="shared" si="7"/>
        <v>0</v>
      </c>
      <c r="R46" s="8">
        <v>0</v>
      </c>
      <c r="S46" s="10">
        <f t="shared" si="7"/>
        <v>0</v>
      </c>
    </row>
    <row r="47" spans="1:19" x14ac:dyDescent="0.15">
      <c r="A47" s="1">
        <f t="shared" si="4"/>
        <v>11000404</v>
      </c>
      <c r="B47" s="5">
        <f t="shared" si="2"/>
        <v>110004</v>
      </c>
      <c r="C47" s="9">
        <f t="shared" ref="C47:S47" si="8">C34</f>
        <v>4</v>
      </c>
      <c r="D47" s="9">
        <v>200000</v>
      </c>
      <c r="E47" s="10">
        <v>500130</v>
      </c>
      <c r="F47" s="10">
        <v>500131</v>
      </c>
      <c r="G47" s="10">
        <v>500132</v>
      </c>
      <c r="H47" s="10">
        <v>4995</v>
      </c>
      <c r="I47" s="10">
        <v>132.5</v>
      </c>
      <c r="J47" s="10">
        <v>371</v>
      </c>
      <c r="K47" s="10">
        <v>277.5</v>
      </c>
      <c r="L47" s="10">
        <f t="shared" si="8"/>
        <v>0</v>
      </c>
      <c r="M47" s="10">
        <f t="shared" si="8"/>
        <v>0</v>
      </c>
      <c r="N47" s="10">
        <v>159</v>
      </c>
      <c r="P47" s="10">
        <v>159</v>
      </c>
      <c r="Q47" s="10">
        <f t="shared" si="8"/>
        <v>0</v>
      </c>
      <c r="R47" s="8">
        <v>0</v>
      </c>
      <c r="S47" s="10">
        <f t="shared" si="8"/>
        <v>0</v>
      </c>
    </row>
    <row r="48" spans="1:19" x14ac:dyDescent="0.15">
      <c r="A48" s="1">
        <f t="shared" si="4"/>
        <v>11000405</v>
      </c>
      <c r="B48" s="5">
        <f t="shared" si="2"/>
        <v>110004</v>
      </c>
      <c r="C48" s="9">
        <f t="shared" ref="C48:S48" si="9">C35</f>
        <v>5</v>
      </c>
      <c r="D48" s="7">
        <v>500000</v>
      </c>
      <c r="E48" s="10">
        <v>500160</v>
      </c>
      <c r="F48" s="10">
        <v>500161</v>
      </c>
      <c r="G48" s="10">
        <v>500162</v>
      </c>
      <c r="H48" s="10">
        <v>7556.25</v>
      </c>
      <c r="I48" s="10">
        <v>187.5</v>
      </c>
      <c r="J48" s="10">
        <v>525</v>
      </c>
      <c r="K48" s="10">
        <v>387.5</v>
      </c>
      <c r="L48" s="10">
        <f t="shared" si="9"/>
        <v>0</v>
      </c>
      <c r="M48" s="10">
        <f t="shared" si="9"/>
        <v>0</v>
      </c>
      <c r="N48" s="10">
        <v>232.5</v>
      </c>
      <c r="P48" s="10">
        <v>232.5</v>
      </c>
      <c r="Q48" s="10">
        <f t="shared" si="9"/>
        <v>0</v>
      </c>
      <c r="R48" s="8">
        <v>0</v>
      </c>
      <c r="S48" s="10">
        <f t="shared" si="9"/>
        <v>0</v>
      </c>
    </row>
    <row r="49" spans="1:19" x14ac:dyDescent="0.15">
      <c r="A49" s="1">
        <f t="shared" si="4"/>
        <v>11000406</v>
      </c>
      <c r="B49" s="5">
        <f t="shared" si="2"/>
        <v>110004</v>
      </c>
      <c r="C49" s="9">
        <f t="shared" ref="C49:S49" si="10">C36</f>
        <v>6</v>
      </c>
      <c r="D49" s="7">
        <v>1000000</v>
      </c>
      <c r="E49" s="10">
        <v>500190</v>
      </c>
      <c r="F49" s="10">
        <v>500191</v>
      </c>
      <c r="G49" s="10">
        <v>500192</v>
      </c>
      <c r="H49" s="10">
        <v>10762.5</v>
      </c>
      <c r="I49" s="10">
        <v>250</v>
      </c>
      <c r="J49" s="10">
        <v>700</v>
      </c>
      <c r="K49" s="10">
        <v>512.5</v>
      </c>
      <c r="L49" s="10">
        <f t="shared" si="10"/>
        <v>0</v>
      </c>
      <c r="M49" s="10">
        <f t="shared" si="10"/>
        <v>0</v>
      </c>
      <c r="N49" s="10">
        <v>321</v>
      </c>
      <c r="P49" s="10">
        <v>321</v>
      </c>
      <c r="Q49" s="10">
        <f t="shared" si="10"/>
        <v>0</v>
      </c>
      <c r="R49" s="8">
        <v>0</v>
      </c>
      <c r="S49" s="10">
        <f t="shared" si="10"/>
        <v>0</v>
      </c>
    </row>
    <row r="50" spans="1:19" s="20" customFormat="1" x14ac:dyDescent="0.15">
      <c r="A50" s="18">
        <f t="shared" si="4"/>
        <v>11000407</v>
      </c>
      <c r="B50" s="19">
        <f t="shared" si="2"/>
        <v>110004</v>
      </c>
      <c r="C50" s="20">
        <f t="shared" ref="C50:S50" si="11">C37</f>
        <v>7</v>
      </c>
      <c r="D50" s="20">
        <v>2000000</v>
      </c>
      <c r="E50" s="10">
        <v>500220</v>
      </c>
      <c r="F50" s="10">
        <v>500221</v>
      </c>
      <c r="G50" s="10">
        <v>500222</v>
      </c>
      <c r="H50" s="20">
        <f t="shared" ref="H50:K55" si="12">H11</f>
        <v>10950</v>
      </c>
      <c r="I50" s="20">
        <f t="shared" si="12"/>
        <v>963.60000000000014</v>
      </c>
      <c r="J50" s="20">
        <f t="shared" si="12"/>
        <v>1460</v>
      </c>
      <c r="K50" s="20">
        <f t="shared" si="12"/>
        <v>1460</v>
      </c>
      <c r="L50" s="20">
        <f t="shared" si="11"/>
        <v>0</v>
      </c>
      <c r="M50" s="20">
        <f t="shared" si="11"/>
        <v>0</v>
      </c>
      <c r="N50" s="20">
        <v>438</v>
      </c>
      <c r="P50" s="20">
        <v>438</v>
      </c>
      <c r="Q50" s="20">
        <f t="shared" si="11"/>
        <v>0</v>
      </c>
      <c r="R50" s="21">
        <v>0</v>
      </c>
      <c r="S50" s="20">
        <f t="shared" si="11"/>
        <v>0</v>
      </c>
    </row>
    <row r="51" spans="1:19" x14ac:dyDescent="0.15">
      <c r="A51" s="1">
        <f t="shared" si="4"/>
        <v>11000408</v>
      </c>
      <c r="B51" s="5">
        <f t="shared" si="2"/>
        <v>110004</v>
      </c>
      <c r="C51" s="9">
        <f t="shared" ref="C51:S51" si="13">C38</f>
        <v>8</v>
      </c>
      <c r="D51" s="7">
        <v>3000000</v>
      </c>
      <c r="E51" s="10">
        <v>500250</v>
      </c>
      <c r="F51" s="10">
        <v>500251</v>
      </c>
      <c r="G51" s="10">
        <v>500252</v>
      </c>
      <c r="H51" s="10">
        <f t="shared" si="12"/>
        <v>14625</v>
      </c>
      <c r="I51" s="10">
        <f t="shared" si="12"/>
        <v>1287.0000000000002</v>
      </c>
      <c r="J51" s="10">
        <f t="shared" si="12"/>
        <v>1950</v>
      </c>
      <c r="K51" s="10">
        <f t="shared" si="12"/>
        <v>1950</v>
      </c>
      <c r="L51" s="10">
        <f t="shared" si="13"/>
        <v>0</v>
      </c>
      <c r="M51" s="10">
        <f t="shared" si="13"/>
        <v>0</v>
      </c>
      <c r="N51" s="10">
        <v>585</v>
      </c>
      <c r="P51" s="10">
        <v>585</v>
      </c>
      <c r="Q51" s="10">
        <f t="shared" si="13"/>
        <v>0</v>
      </c>
      <c r="R51" s="8">
        <v>0</v>
      </c>
      <c r="S51" s="10">
        <f t="shared" si="13"/>
        <v>0</v>
      </c>
    </row>
    <row r="52" spans="1:19" x14ac:dyDescent="0.15">
      <c r="A52" s="1">
        <f t="shared" si="4"/>
        <v>11000409</v>
      </c>
      <c r="B52" s="5">
        <f t="shared" si="2"/>
        <v>110004</v>
      </c>
      <c r="C52" s="9">
        <f t="shared" ref="C52:S52" si="14">C39</f>
        <v>9</v>
      </c>
      <c r="D52" s="9">
        <v>4000000</v>
      </c>
      <c r="E52" s="10">
        <v>500280</v>
      </c>
      <c r="F52" s="10">
        <v>500281</v>
      </c>
      <c r="G52" s="10">
        <v>500282</v>
      </c>
      <c r="H52" s="10">
        <f t="shared" si="12"/>
        <v>19387.5</v>
      </c>
      <c r="I52" s="10">
        <f t="shared" si="12"/>
        <v>1706.1000000000004</v>
      </c>
      <c r="J52" s="10">
        <f t="shared" si="12"/>
        <v>2585</v>
      </c>
      <c r="K52" s="10">
        <f t="shared" si="12"/>
        <v>2585</v>
      </c>
      <c r="L52" s="10">
        <f t="shared" si="14"/>
        <v>0</v>
      </c>
      <c r="M52" s="10">
        <f t="shared" si="14"/>
        <v>0</v>
      </c>
      <c r="N52" s="10">
        <v>775.5</v>
      </c>
      <c r="P52" s="10">
        <v>775.5</v>
      </c>
      <c r="Q52" s="10">
        <f t="shared" si="14"/>
        <v>0</v>
      </c>
      <c r="R52" s="8">
        <v>0</v>
      </c>
      <c r="S52" s="10">
        <f t="shared" si="14"/>
        <v>0</v>
      </c>
    </row>
    <row r="53" spans="1:19" x14ac:dyDescent="0.15">
      <c r="A53" s="1">
        <f t="shared" si="4"/>
        <v>11000410</v>
      </c>
      <c r="B53" s="5">
        <f t="shared" si="2"/>
        <v>110004</v>
      </c>
      <c r="C53" s="9">
        <f t="shared" ref="C53:S53" si="15">C40</f>
        <v>10</v>
      </c>
      <c r="D53" s="7">
        <v>5000000</v>
      </c>
      <c r="E53" s="10">
        <v>500310</v>
      </c>
      <c r="F53" s="10">
        <v>500311</v>
      </c>
      <c r="G53" s="10">
        <v>500312</v>
      </c>
      <c r="H53" s="10">
        <f t="shared" si="12"/>
        <v>25612.5</v>
      </c>
      <c r="I53" s="10">
        <f t="shared" si="12"/>
        <v>2253.9000000000005</v>
      </c>
      <c r="J53" s="10">
        <f t="shared" si="12"/>
        <v>3415</v>
      </c>
      <c r="K53" s="10">
        <f t="shared" si="12"/>
        <v>3415</v>
      </c>
      <c r="L53" s="10">
        <f t="shared" si="15"/>
        <v>0</v>
      </c>
      <c r="M53" s="10">
        <f t="shared" si="15"/>
        <v>0</v>
      </c>
      <c r="N53" s="10">
        <v>1024.5</v>
      </c>
      <c r="P53" s="10">
        <v>1024.5</v>
      </c>
      <c r="Q53" s="10">
        <f t="shared" si="15"/>
        <v>0</v>
      </c>
      <c r="R53" s="8">
        <v>0</v>
      </c>
      <c r="S53" s="10">
        <f t="shared" si="15"/>
        <v>0</v>
      </c>
    </row>
    <row r="54" spans="1:19" x14ac:dyDescent="0.15">
      <c r="A54" s="1">
        <f t="shared" si="4"/>
        <v>11000411</v>
      </c>
      <c r="B54" s="5">
        <f t="shared" si="2"/>
        <v>110004</v>
      </c>
      <c r="C54" s="9">
        <f t="shared" ref="C54:S54" si="16">C41</f>
        <v>11</v>
      </c>
      <c r="D54" s="9">
        <v>6000000</v>
      </c>
      <c r="E54" s="10">
        <v>500340</v>
      </c>
      <c r="F54" s="10">
        <v>500341</v>
      </c>
      <c r="G54" s="10">
        <v>500342</v>
      </c>
      <c r="H54" s="10">
        <f t="shared" si="12"/>
        <v>33675</v>
      </c>
      <c r="I54" s="10">
        <f t="shared" si="12"/>
        <v>2963.4000000000005</v>
      </c>
      <c r="J54" s="10">
        <f t="shared" si="12"/>
        <v>4490</v>
      </c>
      <c r="K54" s="10">
        <f t="shared" si="12"/>
        <v>4490</v>
      </c>
      <c r="L54" s="10">
        <f t="shared" si="16"/>
        <v>0</v>
      </c>
      <c r="M54" s="10">
        <f t="shared" si="16"/>
        <v>0</v>
      </c>
      <c r="N54" s="10">
        <v>1347</v>
      </c>
      <c r="P54" s="10">
        <v>1347</v>
      </c>
      <c r="Q54" s="10">
        <f t="shared" si="16"/>
        <v>0</v>
      </c>
      <c r="R54" s="8">
        <v>0</v>
      </c>
      <c r="S54" s="10">
        <f t="shared" si="16"/>
        <v>0</v>
      </c>
    </row>
    <row r="55" spans="1:19" x14ac:dyDescent="0.15">
      <c r="A55" s="1">
        <v>11000412</v>
      </c>
      <c r="B55" s="5">
        <v>110004</v>
      </c>
      <c r="C55" s="9">
        <v>12</v>
      </c>
      <c r="D55" s="7">
        <v>0</v>
      </c>
      <c r="E55" s="10">
        <v>500370</v>
      </c>
      <c r="F55" s="10">
        <v>500371</v>
      </c>
      <c r="G55" s="10">
        <v>500372</v>
      </c>
      <c r="H55" s="10">
        <f t="shared" si="12"/>
        <v>44287.5</v>
      </c>
      <c r="I55" s="10">
        <f t="shared" si="12"/>
        <v>3897.3000000000006</v>
      </c>
      <c r="J55" s="10">
        <f t="shared" si="12"/>
        <v>5905</v>
      </c>
      <c r="K55" s="10">
        <f t="shared" si="12"/>
        <v>5905</v>
      </c>
      <c r="L55" s="10">
        <v>0</v>
      </c>
      <c r="M55" s="10">
        <v>0</v>
      </c>
      <c r="N55" s="10">
        <v>1771.5</v>
      </c>
      <c r="P55" s="10">
        <v>1771.5</v>
      </c>
      <c r="Q55" s="10">
        <v>0</v>
      </c>
      <c r="R55" s="8">
        <v>0</v>
      </c>
      <c r="S55" s="10">
        <v>0</v>
      </c>
    </row>
    <row r="56" spans="1:19" x14ac:dyDescent="0.15">
      <c r="A56" s="1">
        <f t="shared" si="4"/>
        <v>11000500</v>
      </c>
      <c r="B56" s="5">
        <f t="shared" ref="B56:B67" si="17">B43+1</f>
        <v>110005</v>
      </c>
      <c r="C56" s="9">
        <f t="shared" ref="C56:S56" si="18">C43</f>
        <v>0</v>
      </c>
      <c r="D56" s="7">
        <v>10000</v>
      </c>
      <c r="E56" s="10">
        <v>500016</v>
      </c>
      <c r="F56" s="10">
        <v>500017</v>
      </c>
      <c r="G56" s="10">
        <v>500018</v>
      </c>
      <c r="H56" s="10">
        <v>0</v>
      </c>
      <c r="I56" s="10">
        <v>0</v>
      </c>
      <c r="J56" s="10">
        <v>0</v>
      </c>
      <c r="K56" s="10">
        <v>0</v>
      </c>
      <c r="L56" s="10">
        <f t="shared" si="18"/>
        <v>0</v>
      </c>
      <c r="M56" s="10">
        <f t="shared" si="18"/>
        <v>0</v>
      </c>
      <c r="N56" s="8">
        <v>0</v>
      </c>
      <c r="O56" s="8"/>
      <c r="P56" s="8">
        <v>0</v>
      </c>
      <c r="Q56" s="10">
        <f t="shared" si="18"/>
        <v>0</v>
      </c>
      <c r="R56" s="8">
        <v>0</v>
      </c>
      <c r="S56" s="10">
        <f t="shared" si="18"/>
        <v>0</v>
      </c>
    </row>
    <row r="57" spans="1:19" x14ac:dyDescent="0.15">
      <c r="A57" s="1">
        <f t="shared" si="4"/>
        <v>11000501</v>
      </c>
      <c r="B57" s="5">
        <f t="shared" si="17"/>
        <v>110005</v>
      </c>
      <c r="C57" s="9">
        <f t="shared" ref="C57:S57" si="19">C44</f>
        <v>1</v>
      </c>
      <c r="D57" s="9">
        <v>25000</v>
      </c>
      <c r="E57" s="10">
        <v>500046</v>
      </c>
      <c r="F57" s="10">
        <v>500047</v>
      </c>
      <c r="G57" s="10">
        <v>500048</v>
      </c>
      <c r="H57" s="10">
        <v>504</v>
      </c>
      <c r="I57" s="10">
        <v>56</v>
      </c>
      <c r="J57" s="10">
        <v>56</v>
      </c>
      <c r="K57" s="8">
        <v>63</v>
      </c>
      <c r="L57" s="10">
        <f t="shared" si="19"/>
        <v>0</v>
      </c>
      <c r="M57" s="10">
        <f t="shared" si="19"/>
        <v>0</v>
      </c>
      <c r="N57" s="8">
        <v>28.5</v>
      </c>
      <c r="P57" s="8">
        <v>28.5</v>
      </c>
      <c r="Q57" s="10">
        <f t="shared" si="19"/>
        <v>0</v>
      </c>
      <c r="R57" s="8">
        <v>0</v>
      </c>
      <c r="S57" s="10">
        <f t="shared" si="19"/>
        <v>0</v>
      </c>
    </row>
    <row r="58" spans="1:19" x14ac:dyDescent="0.15">
      <c r="A58" s="1">
        <f t="shared" si="4"/>
        <v>11000502</v>
      </c>
      <c r="B58" s="5">
        <f t="shared" si="17"/>
        <v>110005</v>
      </c>
      <c r="C58" s="9">
        <f t="shared" ref="C58:S58" si="20">C45</f>
        <v>2</v>
      </c>
      <c r="D58" s="7">
        <v>50000</v>
      </c>
      <c r="E58" s="10">
        <v>500076</v>
      </c>
      <c r="F58" s="10">
        <v>500077</v>
      </c>
      <c r="G58" s="10">
        <v>500078</v>
      </c>
      <c r="H58" s="10">
        <v>1060</v>
      </c>
      <c r="I58" s="10">
        <v>120</v>
      </c>
      <c r="J58" s="10">
        <v>120</v>
      </c>
      <c r="K58" s="10">
        <v>132.5</v>
      </c>
      <c r="L58" s="10">
        <f t="shared" si="20"/>
        <v>0</v>
      </c>
      <c r="M58" s="10">
        <f t="shared" si="20"/>
        <v>0</v>
      </c>
      <c r="N58" s="10">
        <v>57</v>
      </c>
      <c r="P58" s="10">
        <v>57</v>
      </c>
      <c r="Q58" s="10">
        <f t="shared" si="20"/>
        <v>0</v>
      </c>
      <c r="R58" s="8">
        <v>0</v>
      </c>
      <c r="S58" s="10">
        <f t="shared" si="20"/>
        <v>0</v>
      </c>
    </row>
    <row r="59" spans="1:19" x14ac:dyDescent="0.15">
      <c r="A59" s="1">
        <f t="shared" si="4"/>
        <v>11000503</v>
      </c>
      <c r="B59" s="5">
        <f t="shared" si="17"/>
        <v>110005</v>
      </c>
      <c r="C59" s="9">
        <f t="shared" ref="C59:S59" si="21">C46</f>
        <v>3</v>
      </c>
      <c r="D59" s="7">
        <v>100000</v>
      </c>
      <c r="E59" s="10">
        <v>500106</v>
      </c>
      <c r="F59" s="10">
        <v>500107</v>
      </c>
      <c r="G59" s="10">
        <v>500108</v>
      </c>
      <c r="H59" s="10">
        <v>1760</v>
      </c>
      <c r="I59" s="10">
        <v>187.5</v>
      </c>
      <c r="J59" s="10">
        <v>187.5</v>
      </c>
      <c r="K59" s="10">
        <v>200</v>
      </c>
      <c r="L59" s="10">
        <f t="shared" si="21"/>
        <v>0</v>
      </c>
      <c r="M59" s="10">
        <f t="shared" si="21"/>
        <v>0</v>
      </c>
      <c r="N59" s="10">
        <v>100.5</v>
      </c>
      <c r="P59" s="10">
        <v>100.5</v>
      </c>
      <c r="Q59" s="10">
        <f t="shared" si="21"/>
        <v>0</v>
      </c>
      <c r="R59" s="8">
        <v>0</v>
      </c>
      <c r="S59" s="10">
        <f t="shared" si="21"/>
        <v>0</v>
      </c>
    </row>
    <row r="60" spans="1:19" x14ac:dyDescent="0.15">
      <c r="A60" s="1">
        <f t="shared" si="4"/>
        <v>11000504</v>
      </c>
      <c r="B60" s="5">
        <f t="shared" si="17"/>
        <v>110005</v>
      </c>
      <c r="C60" s="9">
        <f t="shared" ref="C60:S60" si="22">C47</f>
        <v>4</v>
      </c>
      <c r="D60" s="9">
        <v>200000</v>
      </c>
      <c r="E60" s="10">
        <v>500136</v>
      </c>
      <c r="F60" s="10">
        <v>500137</v>
      </c>
      <c r="G60" s="10">
        <v>500138</v>
      </c>
      <c r="H60" s="10">
        <v>2664</v>
      </c>
      <c r="I60" s="10">
        <v>265</v>
      </c>
      <c r="J60" s="10">
        <v>265</v>
      </c>
      <c r="K60" s="10">
        <v>277.5</v>
      </c>
      <c r="L60" s="10">
        <f t="shared" si="22"/>
        <v>0</v>
      </c>
      <c r="M60" s="10">
        <f t="shared" si="22"/>
        <v>0</v>
      </c>
      <c r="N60" s="10">
        <v>159</v>
      </c>
      <c r="P60" s="10">
        <v>159</v>
      </c>
      <c r="Q60" s="10">
        <f t="shared" si="22"/>
        <v>0</v>
      </c>
      <c r="R60" s="8">
        <v>0</v>
      </c>
      <c r="S60" s="10">
        <f t="shared" si="22"/>
        <v>0</v>
      </c>
    </row>
    <row r="61" spans="1:19" x14ac:dyDescent="0.15">
      <c r="A61" s="1">
        <f t="shared" si="4"/>
        <v>11000505</v>
      </c>
      <c r="B61" s="5">
        <f t="shared" si="17"/>
        <v>110005</v>
      </c>
      <c r="C61" s="9">
        <f t="shared" ref="C61:S61" si="23">C48</f>
        <v>5</v>
      </c>
      <c r="D61" s="7">
        <v>500000</v>
      </c>
      <c r="E61" s="10">
        <v>500166</v>
      </c>
      <c r="F61" s="10">
        <v>500167</v>
      </c>
      <c r="G61" s="10">
        <v>500168</v>
      </c>
      <c r="H61" s="10">
        <v>4030</v>
      </c>
      <c r="I61" s="10">
        <v>375</v>
      </c>
      <c r="J61" s="10">
        <v>375</v>
      </c>
      <c r="K61" s="10">
        <v>387.5</v>
      </c>
      <c r="L61" s="10">
        <f t="shared" si="23"/>
        <v>0</v>
      </c>
      <c r="M61" s="10">
        <f t="shared" si="23"/>
        <v>0</v>
      </c>
      <c r="N61" s="10">
        <v>232.5</v>
      </c>
      <c r="P61" s="10">
        <v>232.5</v>
      </c>
      <c r="Q61" s="10">
        <f t="shared" si="23"/>
        <v>0</v>
      </c>
      <c r="R61" s="8">
        <v>0</v>
      </c>
      <c r="S61" s="10">
        <f t="shared" si="23"/>
        <v>0</v>
      </c>
    </row>
    <row r="62" spans="1:19" x14ac:dyDescent="0.15">
      <c r="A62" s="1">
        <f t="shared" si="4"/>
        <v>11000506</v>
      </c>
      <c r="B62" s="5">
        <f t="shared" si="17"/>
        <v>110005</v>
      </c>
      <c r="C62" s="9">
        <f t="shared" ref="C62:S62" si="24">C49</f>
        <v>6</v>
      </c>
      <c r="D62" s="7">
        <v>1000000</v>
      </c>
      <c r="E62" s="10">
        <v>500196</v>
      </c>
      <c r="F62" s="10">
        <v>500197</v>
      </c>
      <c r="G62" s="10">
        <v>500198</v>
      </c>
      <c r="H62" s="10">
        <v>5740</v>
      </c>
      <c r="I62" s="10">
        <v>500</v>
      </c>
      <c r="J62" s="10">
        <v>500</v>
      </c>
      <c r="K62" s="10">
        <v>512.5</v>
      </c>
      <c r="L62" s="10">
        <f t="shared" si="24"/>
        <v>0</v>
      </c>
      <c r="M62" s="10">
        <f t="shared" si="24"/>
        <v>0</v>
      </c>
      <c r="N62" s="10">
        <v>321</v>
      </c>
      <c r="P62" s="10">
        <v>321</v>
      </c>
      <c r="Q62" s="10">
        <f t="shared" si="24"/>
        <v>0</v>
      </c>
      <c r="R62" s="8">
        <v>0</v>
      </c>
      <c r="S62" s="10">
        <f t="shared" si="24"/>
        <v>0</v>
      </c>
    </row>
    <row r="63" spans="1:19" s="20" customFormat="1" x14ac:dyDescent="0.15">
      <c r="A63" s="18">
        <f t="shared" si="4"/>
        <v>11000507</v>
      </c>
      <c r="B63" s="19">
        <f t="shared" si="17"/>
        <v>110005</v>
      </c>
      <c r="C63" s="20">
        <f t="shared" ref="C63:S63" si="25">C50</f>
        <v>7</v>
      </c>
      <c r="D63" s="20">
        <v>2000000</v>
      </c>
      <c r="E63" s="10">
        <v>500226</v>
      </c>
      <c r="F63" s="10">
        <v>500227</v>
      </c>
      <c r="G63" s="10">
        <v>500228</v>
      </c>
      <c r="H63" s="20">
        <f t="shared" ref="H63:K68" si="26">H37</f>
        <v>4818</v>
      </c>
      <c r="I63" s="20">
        <f t="shared" si="26"/>
        <v>2190</v>
      </c>
      <c r="J63" s="20">
        <f t="shared" si="26"/>
        <v>1460</v>
      </c>
      <c r="K63" s="20">
        <f t="shared" si="26"/>
        <v>1460</v>
      </c>
      <c r="L63" s="20">
        <f t="shared" si="25"/>
        <v>0</v>
      </c>
      <c r="M63" s="20">
        <f t="shared" si="25"/>
        <v>0</v>
      </c>
      <c r="N63" s="20">
        <v>438</v>
      </c>
      <c r="P63" s="20">
        <v>438</v>
      </c>
      <c r="Q63" s="20">
        <f t="shared" si="25"/>
        <v>0</v>
      </c>
      <c r="R63" s="21">
        <v>0</v>
      </c>
      <c r="S63" s="20">
        <f t="shared" si="25"/>
        <v>0</v>
      </c>
    </row>
    <row r="64" spans="1:19" x14ac:dyDescent="0.15">
      <c r="A64" s="1">
        <f t="shared" si="4"/>
        <v>11000508</v>
      </c>
      <c r="B64" s="5">
        <f t="shared" si="17"/>
        <v>110005</v>
      </c>
      <c r="C64" s="9">
        <f t="shared" ref="C64:S64" si="27">C51</f>
        <v>8</v>
      </c>
      <c r="D64" s="7">
        <v>3000000</v>
      </c>
      <c r="E64" s="10">
        <v>500256</v>
      </c>
      <c r="F64" s="10">
        <v>500257</v>
      </c>
      <c r="G64" s="10">
        <v>500258</v>
      </c>
      <c r="H64" s="10">
        <f t="shared" si="26"/>
        <v>6435</v>
      </c>
      <c r="I64" s="10">
        <f t="shared" si="26"/>
        <v>2925</v>
      </c>
      <c r="J64" s="10">
        <f t="shared" si="26"/>
        <v>1950</v>
      </c>
      <c r="K64" s="10">
        <f t="shared" si="26"/>
        <v>1950</v>
      </c>
      <c r="L64" s="10">
        <f t="shared" si="27"/>
        <v>0</v>
      </c>
      <c r="M64" s="10">
        <f t="shared" si="27"/>
        <v>0</v>
      </c>
      <c r="N64" s="10">
        <v>585</v>
      </c>
      <c r="P64" s="10">
        <v>585</v>
      </c>
      <c r="Q64" s="10">
        <f t="shared" si="27"/>
        <v>0</v>
      </c>
      <c r="R64" s="8">
        <v>0</v>
      </c>
      <c r="S64" s="10">
        <f t="shared" si="27"/>
        <v>0</v>
      </c>
    </row>
    <row r="65" spans="1:19" x14ac:dyDescent="0.15">
      <c r="A65" s="1">
        <f t="shared" si="4"/>
        <v>11000509</v>
      </c>
      <c r="B65" s="5">
        <f t="shared" si="17"/>
        <v>110005</v>
      </c>
      <c r="C65" s="9">
        <f t="shared" ref="C65:S65" si="28">C52</f>
        <v>9</v>
      </c>
      <c r="D65" s="9">
        <v>4000000</v>
      </c>
      <c r="E65" s="10">
        <v>500286</v>
      </c>
      <c r="F65" s="10">
        <v>500287</v>
      </c>
      <c r="G65" s="10">
        <v>500288</v>
      </c>
      <c r="H65" s="10">
        <f t="shared" si="26"/>
        <v>8530.5</v>
      </c>
      <c r="I65" s="10">
        <f t="shared" si="26"/>
        <v>3877.5</v>
      </c>
      <c r="J65" s="10">
        <f t="shared" si="26"/>
        <v>2585</v>
      </c>
      <c r="K65" s="10">
        <f t="shared" si="26"/>
        <v>2585</v>
      </c>
      <c r="L65" s="10">
        <f t="shared" si="28"/>
        <v>0</v>
      </c>
      <c r="M65" s="10">
        <f t="shared" si="28"/>
        <v>0</v>
      </c>
      <c r="N65" s="10">
        <v>775.5</v>
      </c>
      <c r="P65" s="10">
        <v>775.5</v>
      </c>
      <c r="Q65" s="10">
        <f t="shared" si="28"/>
        <v>0</v>
      </c>
      <c r="R65" s="8">
        <v>0</v>
      </c>
      <c r="S65" s="10">
        <f t="shared" si="28"/>
        <v>0</v>
      </c>
    </row>
    <row r="66" spans="1:19" x14ac:dyDescent="0.15">
      <c r="A66" s="1">
        <f t="shared" si="4"/>
        <v>11000510</v>
      </c>
      <c r="B66" s="5">
        <f t="shared" si="17"/>
        <v>110005</v>
      </c>
      <c r="C66" s="9">
        <f t="shared" ref="C66:S66" si="29">C53</f>
        <v>10</v>
      </c>
      <c r="D66" s="7">
        <v>5000000</v>
      </c>
      <c r="E66" s="10">
        <v>500316</v>
      </c>
      <c r="F66" s="10">
        <v>500317</v>
      </c>
      <c r="G66" s="10">
        <v>500318</v>
      </c>
      <c r="H66" s="10">
        <f t="shared" si="26"/>
        <v>11269.5</v>
      </c>
      <c r="I66" s="10">
        <f t="shared" si="26"/>
        <v>5122.5</v>
      </c>
      <c r="J66" s="10">
        <f t="shared" si="26"/>
        <v>3415</v>
      </c>
      <c r="K66" s="10">
        <f t="shared" si="26"/>
        <v>3415</v>
      </c>
      <c r="L66" s="10">
        <f t="shared" si="29"/>
        <v>0</v>
      </c>
      <c r="M66" s="10">
        <f t="shared" si="29"/>
        <v>0</v>
      </c>
      <c r="N66" s="10">
        <v>1024.5</v>
      </c>
      <c r="P66" s="10">
        <v>1024.5</v>
      </c>
      <c r="Q66" s="10">
        <f t="shared" si="29"/>
        <v>0</v>
      </c>
      <c r="R66" s="8">
        <v>0</v>
      </c>
      <c r="S66" s="10">
        <f t="shared" si="29"/>
        <v>0</v>
      </c>
    </row>
    <row r="67" spans="1:19" x14ac:dyDescent="0.15">
      <c r="A67" s="1">
        <f t="shared" si="4"/>
        <v>11000511</v>
      </c>
      <c r="B67" s="5">
        <f t="shared" si="17"/>
        <v>110005</v>
      </c>
      <c r="C67" s="9">
        <f t="shared" ref="C67:S67" si="30">C54</f>
        <v>11</v>
      </c>
      <c r="D67" s="9">
        <v>6000000</v>
      </c>
      <c r="E67" s="10">
        <v>500346</v>
      </c>
      <c r="F67" s="10">
        <v>500347</v>
      </c>
      <c r="G67" s="10">
        <v>500348</v>
      </c>
      <c r="H67" s="10">
        <f t="shared" si="26"/>
        <v>14817</v>
      </c>
      <c r="I67" s="10">
        <f t="shared" si="26"/>
        <v>6735</v>
      </c>
      <c r="J67" s="10">
        <f t="shared" si="26"/>
        <v>4490</v>
      </c>
      <c r="K67" s="10">
        <f t="shared" si="26"/>
        <v>4490</v>
      </c>
      <c r="L67" s="10">
        <f t="shared" si="30"/>
        <v>0</v>
      </c>
      <c r="M67" s="10">
        <f t="shared" si="30"/>
        <v>0</v>
      </c>
      <c r="N67" s="10">
        <v>1347</v>
      </c>
      <c r="P67" s="10">
        <v>1347</v>
      </c>
      <c r="Q67" s="10">
        <f t="shared" si="30"/>
        <v>0</v>
      </c>
      <c r="R67" s="8">
        <v>0</v>
      </c>
      <c r="S67" s="10">
        <f t="shared" si="30"/>
        <v>0</v>
      </c>
    </row>
    <row r="68" spans="1:19" x14ac:dyDescent="0.15">
      <c r="A68" s="1">
        <v>11000512</v>
      </c>
      <c r="B68" s="5">
        <v>110005</v>
      </c>
      <c r="C68" s="9">
        <v>12</v>
      </c>
      <c r="D68" s="7">
        <v>0</v>
      </c>
      <c r="E68" s="10">
        <v>500376</v>
      </c>
      <c r="F68" s="10">
        <v>500377</v>
      </c>
      <c r="G68" s="10">
        <v>500378</v>
      </c>
      <c r="H68" s="10">
        <f t="shared" si="26"/>
        <v>19486.5</v>
      </c>
      <c r="I68" s="10">
        <f t="shared" si="26"/>
        <v>8857.5</v>
      </c>
      <c r="J68" s="10">
        <f t="shared" si="26"/>
        <v>5905</v>
      </c>
      <c r="K68" s="10">
        <f t="shared" si="26"/>
        <v>5905</v>
      </c>
      <c r="L68" s="10">
        <v>0</v>
      </c>
      <c r="M68" s="10">
        <v>0</v>
      </c>
      <c r="N68" s="10">
        <v>1771.5</v>
      </c>
      <c r="P68" s="10">
        <v>1771.5</v>
      </c>
      <c r="Q68" s="10">
        <v>0</v>
      </c>
      <c r="R68" s="8">
        <v>0</v>
      </c>
      <c r="S68" s="10">
        <v>0</v>
      </c>
    </row>
    <row r="69" spans="1:19" x14ac:dyDescent="0.15">
      <c r="A69" s="1">
        <f t="shared" si="4"/>
        <v>11000600</v>
      </c>
      <c r="B69" s="5">
        <f t="shared" ref="B69:B80" si="31">B56+1</f>
        <v>110006</v>
      </c>
      <c r="C69" s="9">
        <f t="shared" ref="C69:S69" si="32">C56</f>
        <v>0</v>
      </c>
      <c r="D69" s="7">
        <v>10000</v>
      </c>
      <c r="E69" s="10">
        <v>500019</v>
      </c>
      <c r="F69" s="10">
        <v>500020</v>
      </c>
      <c r="G69" s="10">
        <v>500021</v>
      </c>
      <c r="H69" s="10">
        <v>0</v>
      </c>
      <c r="I69" s="10">
        <v>0</v>
      </c>
      <c r="J69" s="10">
        <v>0</v>
      </c>
      <c r="K69" s="10">
        <v>0</v>
      </c>
      <c r="L69" s="10">
        <f t="shared" si="32"/>
        <v>0</v>
      </c>
      <c r="M69" s="10">
        <f t="shared" si="32"/>
        <v>0</v>
      </c>
      <c r="N69" s="8">
        <v>0</v>
      </c>
      <c r="O69" s="8"/>
      <c r="P69" s="8">
        <v>0</v>
      </c>
      <c r="Q69" s="10">
        <f t="shared" si="32"/>
        <v>0</v>
      </c>
      <c r="R69" s="8">
        <v>0</v>
      </c>
      <c r="S69" s="10">
        <f t="shared" si="32"/>
        <v>0</v>
      </c>
    </row>
    <row r="70" spans="1:19" x14ac:dyDescent="0.15">
      <c r="A70" s="1">
        <f t="shared" si="4"/>
        <v>11000601</v>
      </c>
      <c r="B70" s="5">
        <f t="shared" si="31"/>
        <v>110006</v>
      </c>
      <c r="C70" s="9">
        <f t="shared" ref="C70:S70" si="33">C57</f>
        <v>1</v>
      </c>
      <c r="D70" s="9">
        <v>25000</v>
      </c>
      <c r="E70" s="10">
        <v>500049</v>
      </c>
      <c r="F70" s="10">
        <v>500050</v>
      </c>
      <c r="G70" s="10">
        <v>500051</v>
      </c>
      <c r="H70" s="10">
        <v>630</v>
      </c>
      <c r="I70" s="10">
        <v>56</v>
      </c>
      <c r="J70" s="10">
        <v>56</v>
      </c>
      <c r="K70" s="8">
        <v>63</v>
      </c>
      <c r="L70" s="10">
        <f t="shared" si="33"/>
        <v>0</v>
      </c>
      <c r="M70" s="10">
        <f t="shared" si="33"/>
        <v>0</v>
      </c>
      <c r="N70" s="8">
        <v>28.5</v>
      </c>
      <c r="P70" s="8">
        <v>28.5</v>
      </c>
      <c r="Q70" s="10">
        <f t="shared" si="33"/>
        <v>0</v>
      </c>
      <c r="R70" s="8">
        <v>0</v>
      </c>
      <c r="S70" s="10">
        <f t="shared" si="33"/>
        <v>0</v>
      </c>
    </row>
    <row r="71" spans="1:19" x14ac:dyDescent="0.15">
      <c r="A71" s="1">
        <f t="shared" si="4"/>
        <v>11000602</v>
      </c>
      <c r="B71" s="5">
        <f t="shared" si="31"/>
        <v>110006</v>
      </c>
      <c r="C71" s="9">
        <f t="shared" ref="C71:S71" si="34">C58</f>
        <v>2</v>
      </c>
      <c r="D71" s="7">
        <v>50000</v>
      </c>
      <c r="E71" s="10">
        <v>500079</v>
      </c>
      <c r="F71" s="10">
        <v>500080</v>
      </c>
      <c r="G71" s="10">
        <v>500081</v>
      </c>
      <c r="H71" s="10">
        <v>1325</v>
      </c>
      <c r="I71" s="10">
        <v>120</v>
      </c>
      <c r="J71" s="10">
        <v>120</v>
      </c>
      <c r="K71" s="10">
        <v>132.5</v>
      </c>
      <c r="L71" s="10">
        <f t="shared" si="34"/>
        <v>0</v>
      </c>
      <c r="M71" s="10">
        <f t="shared" si="34"/>
        <v>0</v>
      </c>
      <c r="N71" s="10">
        <v>57</v>
      </c>
      <c r="P71" s="10">
        <v>57</v>
      </c>
      <c r="Q71" s="10">
        <f t="shared" si="34"/>
        <v>0</v>
      </c>
      <c r="R71" s="8">
        <v>0</v>
      </c>
      <c r="S71" s="10">
        <f t="shared" si="34"/>
        <v>0</v>
      </c>
    </row>
    <row r="72" spans="1:19" x14ac:dyDescent="0.15">
      <c r="A72" s="1">
        <f t="shared" si="4"/>
        <v>11000603</v>
      </c>
      <c r="B72" s="5">
        <f t="shared" si="31"/>
        <v>110006</v>
      </c>
      <c r="C72" s="9">
        <f t="shared" ref="C72:S72" si="35">C59</f>
        <v>3</v>
      </c>
      <c r="D72" s="7">
        <v>100000</v>
      </c>
      <c r="E72" s="10">
        <v>500109</v>
      </c>
      <c r="F72" s="10">
        <v>500110</v>
      </c>
      <c r="G72" s="10">
        <v>500111</v>
      </c>
      <c r="H72" s="10">
        <v>2200</v>
      </c>
      <c r="I72" s="10">
        <v>187.5</v>
      </c>
      <c r="J72" s="10">
        <v>187.5</v>
      </c>
      <c r="K72" s="10">
        <v>200</v>
      </c>
      <c r="L72" s="10">
        <f t="shared" si="35"/>
        <v>0</v>
      </c>
      <c r="M72" s="10">
        <f t="shared" si="35"/>
        <v>0</v>
      </c>
      <c r="N72" s="10">
        <v>100.5</v>
      </c>
      <c r="P72" s="10">
        <v>100.5</v>
      </c>
      <c r="Q72" s="10">
        <f t="shared" si="35"/>
        <v>0</v>
      </c>
      <c r="R72" s="8">
        <v>0</v>
      </c>
      <c r="S72" s="10">
        <f t="shared" si="35"/>
        <v>0</v>
      </c>
    </row>
    <row r="73" spans="1:19" x14ac:dyDescent="0.15">
      <c r="A73" s="1">
        <f t="shared" si="4"/>
        <v>11000604</v>
      </c>
      <c r="B73" s="5">
        <f t="shared" si="31"/>
        <v>110006</v>
      </c>
      <c r="C73" s="9">
        <f t="shared" ref="C73:S73" si="36">C60</f>
        <v>4</v>
      </c>
      <c r="D73" s="9">
        <v>200000</v>
      </c>
      <c r="E73" s="10">
        <v>500139</v>
      </c>
      <c r="F73" s="10">
        <v>500140</v>
      </c>
      <c r="G73" s="10">
        <v>500141</v>
      </c>
      <c r="H73" s="10">
        <v>3330</v>
      </c>
      <c r="I73" s="10">
        <v>265</v>
      </c>
      <c r="J73" s="10">
        <v>265</v>
      </c>
      <c r="K73" s="10">
        <v>277.5</v>
      </c>
      <c r="L73" s="10">
        <f t="shared" si="36"/>
        <v>0</v>
      </c>
      <c r="M73" s="10">
        <f t="shared" si="36"/>
        <v>0</v>
      </c>
      <c r="N73" s="10">
        <v>159</v>
      </c>
      <c r="P73" s="10">
        <v>159</v>
      </c>
      <c r="Q73" s="10">
        <f t="shared" si="36"/>
        <v>0</v>
      </c>
      <c r="R73" s="8">
        <v>0</v>
      </c>
      <c r="S73" s="10">
        <f t="shared" si="36"/>
        <v>0</v>
      </c>
    </row>
    <row r="74" spans="1:19" x14ac:dyDescent="0.15">
      <c r="A74" s="1">
        <f t="shared" si="4"/>
        <v>11000605</v>
      </c>
      <c r="B74" s="5">
        <f t="shared" si="31"/>
        <v>110006</v>
      </c>
      <c r="C74" s="9">
        <f t="shared" ref="C74:S74" si="37">C61</f>
        <v>5</v>
      </c>
      <c r="D74" s="7">
        <v>500000</v>
      </c>
      <c r="E74" s="10">
        <v>500169</v>
      </c>
      <c r="F74" s="10">
        <v>500170</v>
      </c>
      <c r="G74" s="10">
        <v>500171</v>
      </c>
      <c r="H74" s="10">
        <v>5037.5</v>
      </c>
      <c r="I74" s="10">
        <v>375</v>
      </c>
      <c r="J74" s="10">
        <v>375</v>
      </c>
      <c r="K74" s="10">
        <v>387.5</v>
      </c>
      <c r="L74" s="10">
        <f t="shared" si="37"/>
        <v>0</v>
      </c>
      <c r="M74" s="10">
        <f t="shared" si="37"/>
        <v>0</v>
      </c>
      <c r="N74" s="10">
        <v>232.5</v>
      </c>
      <c r="P74" s="10">
        <v>232.5</v>
      </c>
      <c r="Q74" s="10">
        <f t="shared" si="37"/>
        <v>0</v>
      </c>
      <c r="R74" s="8">
        <v>0</v>
      </c>
      <c r="S74" s="10">
        <f t="shared" si="37"/>
        <v>0</v>
      </c>
    </row>
    <row r="75" spans="1:19" x14ac:dyDescent="0.15">
      <c r="A75" s="1">
        <f t="shared" si="4"/>
        <v>11000606</v>
      </c>
      <c r="B75" s="5">
        <f t="shared" si="31"/>
        <v>110006</v>
      </c>
      <c r="C75" s="9">
        <f t="shared" ref="C75:S75" si="38">C62</f>
        <v>6</v>
      </c>
      <c r="D75" s="7">
        <v>1000000</v>
      </c>
      <c r="E75" s="10">
        <v>500199</v>
      </c>
      <c r="F75" s="10">
        <v>500200</v>
      </c>
      <c r="G75" s="10">
        <v>500201</v>
      </c>
      <c r="H75" s="10">
        <v>7175</v>
      </c>
      <c r="I75" s="10">
        <v>500</v>
      </c>
      <c r="J75" s="10">
        <v>500</v>
      </c>
      <c r="K75" s="10">
        <v>512.5</v>
      </c>
      <c r="L75" s="10">
        <f t="shared" si="38"/>
        <v>0</v>
      </c>
      <c r="M75" s="10">
        <f t="shared" si="38"/>
        <v>0</v>
      </c>
      <c r="N75" s="10">
        <v>321</v>
      </c>
      <c r="P75" s="10">
        <v>321</v>
      </c>
      <c r="Q75" s="10">
        <f t="shared" si="38"/>
        <v>0</v>
      </c>
      <c r="R75" s="8">
        <v>0</v>
      </c>
      <c r="S75" s="10">
        <f t="shared" si="38"/>
        <v>0</v>
      </c>
    </row>
    <row r="76" spans="1:19" s="20" customFormat="1" x14ac:dyDescent="0.15">
      <c r="A76" s="18">
        <f t="shared" si="4"/>
        <v>11000607</v>
      </c>
      <c r="B76" s="19">
        <f t="shared" si="31"/>
        <v>110006</v>
      </c>
      <c r="C76" s="20">
        <f t="shared" ref="C76:S76" si="39">C63</f>
        <v>7</v>
      </c>
      <c r="D76" s="20">
        <v>2000000</v>
      </c>
      <c r="E76" s="20">
        <v>500229</v>
      </c>
      <c r="F76" s="20">
        <v>500230</v>
      </c>
      <c r="G76" s="20">
        <v>500231</v>
      </c>
      <c r="H76" s="20">
        <v>7300</v>
      </c>
      <c r="I76" s="20">
        <v>1460</v>
      </c>
      <c r="J76" s="20">
        <v>1460</v>
      </c>
      <c r="K76" s="20">
        <v>1460</v>
      </c>
      <c r="L76" s="20">
        <f t="shared" si="39"/>
        <v>0</v>
      </c>
      <c r="M76" s="20">
        <f t="shared" si="39"/>
        <v>0</v>
      </c>
      <c r="N76" s="20">
        <v>438</v>
      </c>
      <c r="P76" s="20">
        <v>438</v>
      </c>
      <c r="Q76" s="20">
        <f t="shared" si="39"/>
        <v>0</v>
      </c>
      <c r="R76" s="21">
        <v>0</v>
      </c>
      <c r="S76" s="20">
        <f t="shared" si="39"/>
        <v>0</v>
      </c>
    </row>
    <row r="77" spans="1:19" x14ac:dyDescent="0.15">
      <c r="A77" s="1">
        <f t="shared" si="4"/>
        <v>11000608</v>
      </c>
      <c r="B77" s="5">
        <f t="shared" si="31"/>
        <v>110006</v>
      </c>
      <c r="C77" s="9">
        <f t="shared" ref="C77:S77" si="40">C64</f>
        <v>8</v>
      </c>
      <c r="D77" s="7">
        <v>3000000</v>
      </c>
      <c r="E77" s="10">
        <v>500259</v>
      </c>
      <c r="F77" s="10">
        <v>500260</v>
      </c>
      <c r="G77" s="10">
        <v>500261</v>
      </c>
      <c r="H77" s="10">
        <v>9750</v>
      </c>
      <c r="I77" s="10">
        <v>1950</v>
      </c>
      <c r="J77" s="10">
        <v>1950</v>
      </c>
      <c r="K77" s="10">
        <v>1950</v>
      </c>
      <c r="L77" s="10">
        <f t="shared" si="40"/>
        <v>0</v>
      </c>
      <c r="M77" s="10">
        <f t="shared" si="40"/>
        <v>0</v>
      </c>
      <c r="N77" s="10">
        <v>585</v>
      </c>
      <c r="P77" s="10">
        <v>585</v>
      </c>
      <c r="Q77" s="10">
        <f t="shared" si="40"/>
        <v>0</v>
      </c>
      <c r="R77" s="8">
        <v>0</v>
      </c>
      <c r="S77" s="10">
        <f t="shared" si="40"/>
        <v>0</v>
      </c>
    </row>
    <row r="78" spans="1:19" x14ac:dyDescent="0.15">
      <c r="A78" s="1">
        <f t="shared" si="4"/>
        <v>11000609</v>
      </c>
      <c r="B78" s="5">
        <f t="shared" si="31"/>
        <v>110006</v>
      </c>
      <c r="C78" s="9">
        <f t="shared" ref="C78:S78" si="41">C65</f>
        <v>9</v>
      </c>
      <c r="D78" s="9">
        <v>4000000</v>
      </c>
      <c r="E78" s="10">
        <v>500289</v>
      </c>
      <c r="F78" s="10">
        <v>500290</v>
      </c>
      <c r="G78" s="10">
        <v>500291</v>
      </c>
      <c r="H78" s="10">
        <v>12925</v>
      </c>
      <c r="I78" s="10">
        <v>2585</v>
      </c>
      <c r="J78" s="10">
        <v>2585</v>
      </c>
      <c r="K78" s="10">
        <v>2585</v>
      </c>
      <c r="L78" s="10">
        <f t="shared" si="41"/>
        <v>0</v>
      </c>
      <c r="M78" s="10">
        <f t="shared" si="41"/>
        <v>0</v>
      </c>
      <c r="N78" s="10">
        <v>775.5</v>
      </c>
      <c r="P78" s="10">
        <v>775.5</v>
      </c>
      <c r="Q78" s="10">
        <f t="shared" si="41"/>
        <v>0</v>
      </c>
      <c r="R78" s="8">
        <v>0</v>
      </c>
      <c r="S78" s="10">
        <f t="shared" si="41"/>
        <v>0</v>
      </c>
    </row>
    <row r="79" spans="1:19" x14ac:dyDescent="0.15">
      <c r="A79" s="1">
        <f t="shared" si="4"/>
        <v>11000610</v>
      </c>
      <c r="B79" s="5">
        <f t="shared" si="31"/>
        <v>110006</v>
      </c>
      <c r="C79" s="9">
        <f t="shared" ref="C79:S79" si="42">C66</f>
        <v>10</v>
      </c>
      <c r="D79" s="7">
        <v>5000000</v>
      </c>
      <c r="E79" s="10">
        <v>500319</v>
      </c>
      <c r="F79" s="10">
        <v>500320</v>
      </c>
      <c r="G79" s="10">
        <v>500321</v>
      </c>
      <c r="H79" s="10">
        <v>17075</v>
      </c>
      <c r="I79" s="10">
        <v>3415</v>
      </c>
      <c r="J79" s="10">
        <v>3415</v>
      </c>
      <c r="K79" s="10">
        <v>3415</v>
      </c>
      <c r="L79" s="10">
        <f t="shared" si="42"/>
        <v>0</v>
      </c>
      <c r="M79" s="10">
        <f t="shared" si="42"/>
        <v>0</v>
      </c>
      <c r="N79" s="10">
        <v>1024.5</v>
      </c>
      <c r="P79" s="10">
        <v>1024.5</v>
      </c>
      <c r="Q79" s="10">
        <f t="shared" si="42"/>
        <v>0</v>
      </c>
      <c r="R79" s="8">
        <v>0</v>
      </c>
      <c r="S79" s="10">
        <f t="shared" si="42"/>
        <v>0</v>
      </c>
    </row>
    <row r="80" spans="1:19" x14ac:dyDescent="0.15">
      <c r="A80" s="1">
        <f t="shared" si="4"/>
        <v>11000611</v>
      </c>
      <c r="B80" s="5">
        <f t="shared" si="31"/>
        <v>110006</v>
      </c>
      <c r="C80" s="9">
        <f t="shared" ref="C80:S80" si="43">C67</f>
        <v>11</v>
      </c>
      <c r="D80" s="9">
        <v>6000000</v>
      </c>
      <c r="E80" s="10">
        <v>500349</v>
      </c>
      <c r="F80" s="10">
        <v>500350</v>
      </c>
      <c r="G80" s="10">
        <v>500351</v>
      </c>
      <c r="H80" s="10">
        <v>22450</v>
      </c>
      <c r="I80" s="10">
        <v>4490</v>
      </c>
      <c r="J80" s="10">
        <v>4490</v>
      </c>
      <c r="K80" s="10">
        <v>4490</v>
      </c>
      <c r="L80" s="10">
        <f t="shared" si="43"/>
        <v>0</v>
      </c>
      <c r="M80" s="10">
        <f t="shared" si="43"/>
        <v>0</v>
      </c>
      <c r="N80" s="10">
        <v>1347</v>
      </c>
      <c r="P80" s="10">
        <v>1347</v>
      </c>
      <c r="Q80" s="10">
        <f t="shared" si="43"/>
        <v>0</v>
      </c>
      <c r="R80" s="8">
        <v>0</v>
      </c>
      <c r="S80" s="10">
        <f t="shared" si="43"/>
        <v>0</v>
      </c>
    </row>
    <row r="81" spans="1:19" x14ac:dyDescent="0.15">
      <c r="A81" s="1">
        <v>11000612</v>
      </c>
      <c r="B81" s="5">
        <v>110006</v>
      </c>
      <c r="C81" s="9">
        <v>12</v>
      </c>
      <c r="D81" s="7">
        <v>0</v>
      </c>
      <c r="E81" s="10">
        <v>500379</v>
      </c>
      <c r="F81" s="10">
        <v>500380</v>
      </c>
      <c r="G81" s="10">
        <v>500381</v>
      </c>
      <c r="H81" s="10">
        <v>29525</v>
      </c>
      <c r="I81" s="10">
        <v>5905</v>
      </c>
      <c r="J81" s="10">
        <v>5905</v>
      </c>
      <c r="K81" s="10">
        <v>5905</v>
      </c>
      <c r="L81" s="10">
        <v>0</v>
      </c>
      <c r="M81" s="10">
        <v>0</v>
      </c>
      <c r="N81" s="10">
        <v>1771.5</v>
      </c>
      <c r="P81" s="10">
        <v>1771.5</v>
      </c>
      <c r="Q81" s="10">
        <v>0</v>
      </c>
      <c r="R81" s="8">
        <v>0</v>
      </c>
      <c r="S81" s="10">
        <v>0</v>
      </c>
    </row>
    <row r="82" spans="1:19" x14ac:dyDescent="0.15">
      <c r="A82" s="1">
        <f t="shared" si="4"/>
        <v>11000700</v>
      </c>
      <c r="B82" s="5">
        <f t="shared" ref="B82:B93" si="44">B69+1</f>
        <v>110007</v>
      </c>
      <c r="C82" s="9">
        <f t="shared" ref="C82:S82" si="45">C69</f>
        <v>0</v>
      </c>
      <c r="D82" s="7">
        <v>10000</v>
      </c>
      <c r="E82" s="10">
        <v>500022</v>
      </c>
      <c r="F82" s="10">
        <f>SUM(E82+1)</f>
        <v>500023</v>
      </c>
      <c r="G82" s="10">
        <f>SUM(F82+1)</f>
        <v>500024</v>
      </c>
      <c r="H82" s="10">
        <v>0</v>
      </c>
      <c r="I82" s="10">
        <v>0</v>
      </c>
      <c r="J82" s="10">
        <v>0</v>
      </c>
      <c r="K82" s="10">
        <v>0</v>
      </c>
      <c r="L82" s="10">
        <f t="shared" si="45"/>
        <v>0</v>
      </c>
      <c r="M82" s="10">
        <f t="shared" si="45"/>
        <v>0</v>
      </c>
      <c r="N82" s="8">
        <v>0</v>
      </c>
      <c r="O82" s="8"/>
      <c r="P82" s="8">
        <v>0</v>
      </c>
      <c r="Q82" s="10">
        <f t="shared" si="45"/>
        <v>0</v>
      </c>
      <c r="R82" s="8">
        <v>0</v>
      </c>
      <c r="S82" s="10">
        <f t="shared" si="45"/>
        <v>0</v>
      </c>
    </row>
    <row r="83" spans="1:19" x14ac:dyDescent="0.15">
      <c r="A83" s="1">
        <f t="shared" si="4"/>
        <v>11000701</v>
      </c>
      <c r="B83" s="5">
        <f t="shared" si="44"/>
        <v>110007</v>
      </c>
      <c r="C83" s="9">
        <f t="shared" ref="C83:S83" si="46">C70</f>
        <v>1</v>
      </c>
      <c r="D83" s="9">
        <v>25000</v>
      </c>
      <c r="E83" s="10">
        <f>SUM(E82+30)</f>
        <v>500052</v>
      </c>
      <c r="F83" s="10">
        <f t="shared" ref="F83:G94" si="47">SUM(E83+1)</f>
        <v>500053</v>
      </c>
      <c r="G83" s="10">
        <f t="shared" si="47"/>
        <v>500054</v>
      </c>
      <c r="H83" s="10">
        <v>630</v>
      </c>
      <c r="I83" s="10">
        <v>56</v>
      </c>
      <c r="J83" s="10">
        <v>56</v>
      </c>
      <c r="K83" s="8">
        <v>63</v>
      </c>
      <c r="L83" s="10">
        <f t="shared" si="46"/>
        <v>0</v>
      </c>
      <c r="M83" s="10">
        <f t="shared" si="46"/>
        <v>0</v>
      </c>
      <c r="N83" s="8">
        <v>28.5</v>
      </c>
      <c r="P83" s="8">
        <v>28.5</v>
      </c>
      <c r="Q83" s="10">
        <f t="shared" si="46"/>
        <v>0</v>
      </c>
      <c r="R83" s="8">
        <v>0</v>
      </c>
      <c r="S83" s="10">
        <f t="shared" si="46"/>
        <v>0</v>
      </c>
    </row>
    <row r="84" spans="1:19" x14ac:dyDescent="0.15">
      <c r="A84" s="1">
        <f t="shared" si="4"/>
        <v>11000702</v>
      </c>
      <c r="B84" s="5">
        <f t="shared" si="44"/>
        <v>110007</v>
      </c>
      <c r="C84" s="9">
        <f t="shared" ref="C84:S84" si="48">C71</f>
        <v>2</v>
      </c>
      <c r="D84" s="7">
        <v>50000</v>
      </c>
      <c r="E84" s="10">
        <f t="shared" ref="E84:E94" si="49">SUM(E83+30)</f>
        <v>500082</v>
      </c>
      <c r="F84" s="10">
        <f t="shared" si="47"/>
        <v>500083</v>
      </c>
      <c r="G84" s="10">
        <f t="shared" si="47"/>
        <v>500084</v>
      </c>
      <c r="H84" s="10">
        <v>1325</v>
      </c>
      <c r="I84" s="10">
        <v>120</v>
      </c>
      <c r="J84" s="10">
        <v>120</v>
      </c>
      <c r="K84" s="10">
        <v>132.5</v>
      </c>
      <c r="L84" s="10">
        <f t="shared" si="48"/>
        <v>0</v>
      </c>
      <c r="M84" s="10">
        <f t="shared" si="48"/>
        <v>0</v>
      </c>
      <c r="N84" s="10">
        <v>57</v>
      </c>
      <c r="P84" s="10">
        <v>57</v>
      </c>
      <c r="Q84" s="10">
        <f t="shared" si="48"/>
        <v>0</v>
      </c>
      <c r="R84" s="8">
        <v>0</v>
      </c>
      <c r="S84" s="10">
        <f t="shared" si="48"/>
        <v>0</v>
      </c>
    </row>
    <row r="85" spans="1:19" x14ac:dyDescent="0.15">
      <c r="A85" s="1">
        <f t="shared" si="4"/>
        <v>11000703</v>
      </c>
      <c r="B85" s="5">
        <f t="shared" si="44"/>
        <v>110007</v>
      </c>
      <c r="C85" s="9">
        <f t="shared" ref="C85:S85" si="50">C72</f>
        <v>3</v>
      </c>
      <c r="D85" s="7">
        <v>100000</v>
      </c>
      <c r="E85" s="10">
        <f t="shared" si="49"/>
        <v>500112</v>
      </c>
      <c r="F85" s="10">
        <f t="shared" si="47"/>
        <v>500113</v>
      </c>
      <c r="G85" s="10">
        <f t="shared" si="47"/>
        <v>500114</v>
      </c>
      <c r="H85" s="10">
        <v>2200</v>
      </c>
      <c r="I85" s="10">
        <v>187.5</v>
      </c>
      <c r="J85" s="10">
        <v>187.5</v>
      </c>
      <c r="K85" s="10">
        <v>200</v>
      </c>
      <c r="L85" s="10">
        <f t="shared" si="50"/>
        <v>0</v>
      </c>
      <c r="M85" s="10">
        <f t="shared" si="50"/>
        <v>0</v>
      </c>
      <c r="N85" s="10">
        <v>100.5</v>
      </c>
      <c r="P85" s="10">
        <v>100.5</v>
      </c>
      <c r="Q85" s="10">
        <f t="shared" si="50"/>
        <v>0</v>
      </c>
      <c r="R85" s="8">
        <v>0</v>
      </c>
      <c r="S85" s="10">
        <f t="shared" si="50"/>
        <v>0</v>
      </c>
    </row>
    <row r="86" spans="1:19" x14ac:dyDescent="0.15">
      <c r="A86" s="1">
        <f t="shared" si="4"/>
        <v>11000704</v>
      </c>
      <c r="B86" s="5">
        <f t="shared" si="44"/>
        <v>110007</v>
      </c>
      <c r="C86" s="9">
        <f t="shared" ref="C86:S86" si="51">C73</f>
        <v>4</v>
      </c>
      <c r="D86" s="9">
        <v>200000</v>
      </c>
      <c r="E86" s="10">
        <f t="shared" si="49"/>
        <v>500142</v>
      </c>
      <c r="F86" s="10">
        <f t="shared" si="47"/>
        <v>500143</v>
      </c>
      <c r="G86" s="10">
        <f t="shared" si="47"/>
        <v>500144</v>
      </c>
      <c r="H86" s="10">
        <v>3330</v>
      </c>
      <c r="I86" s="10">
        <v>265</v>
      </c>
      <c r="J86" s="10">
        <v>265</v>
      </c>
      <c r="K86" s="10">
        <v>277.5</v>
      </c>
      <c r="L86" s="10">
        <f t="shared" si="51"/>
        <v>0</v>
      </c>
      <c r="M86" s="10">
        <f t="shared" si="51"/>
        <v>0</v>
      </c>
      <c r="N86" s="10">
        <v>159</v>
      </c>
      <c r="P86" s="10">
        <v>159</v>
      </c>
      <c r="Q86" s="10">
        <f t="shared" si="51"/>
        <v>0</v>
      </c>
      <c r="R86" s="8">
        <v>0</v>
      </c>
      <c r="S86" s="10">
        <f t="shared" si="51"/>
        <v>0</v>
      </c>
    </row>
    <row r="87" spans="1:19" x14ac:dyDescent="0.15">
      <c r="A87" s="1">
        <f t="shared" si="4"/>
        <v>11000705</v>
      </c>
      <c r="B87" s="5">
        <f t="shared" si="44"/>
        <v>110007</v>
      </c>
      <c r="C87" s="9">
        <f t="shared" ref="C87:S87" si="52">C74</f>
        <v>5</v>
      </c>
      <c r="D87" s="7">
        <v>500000</v>
      </c>
      <c r="E87" s="10">
        <f t="shared" si="49"/>
        <v>500172</v>
      </c>
      <c r="F87" s="10">
        <f t="shared" si="47"/>
        <v>500173</v>
      </c>
      <c r="G87" s="10">
        <f t="shared" si="47"/>
        <v>500174</v>
      </c>
      <c r="H87" s="10">
        <v>5037.5</v>
      </c>
      <c r="I87" s="10">
        <v>375</v>
      </c>
      <c r="J87" s="10">
        <v>375</v>
      </c>
      <c r="K87" s="10">
        <v>387.5</v>
      </c>
      <c r="L87" s="10">
        <f t="shared" si="52"/>
        <v>0</v>
      </c>
      <c r="M87" s="10">
        <f t="shared" si="52"/>
        <v>0</v>
      </c>
      <c r="N87" s="10">
        <v>232.5</v>
      </c>
      <c r="P87" s="10">
        <v>232.5</v>
      </c>
      <c r="Q87" s="10">
        <f t="shared" si="52"/>
        <v>0</v>
      </c>
      <c r="R87" s="8">
        <v>0</v>
      </c>
      <c r="S87" s="10">
        <f t="shared" si="52"/>
        <v>0</v>
      </c>
    </row>
    <row r="88" spans="1:19" x14ac:dyDescent="0.15">
      <c r="A88" s="1">
        <f t="shared" si="4"/>
        <v>11000706</v>
      </c>
      <c r="B88" s="5">
        <f t="shared" si="44"/>
        <v>110007</v>
      </c>
      <c r="C88" s="9">
        <f t="shared" ref="C88:S88" si="53">C75</f>
        <v>6</v>
      </c>
      <c r="D88" s="7">
        <v>1000000</v>
      </c>
      <c r="E88" s="10">
        <f t="shared" si="49"/>
        <v>500202</v>
      </c>
      <c r="F88" s="10">
        <f t="shared" si="47"/>
        <v>500203</v>
      </c>
      <c r="G88" s="10">
        <f t="shared" si="47"/>
        <v>500204</v>
      </c>
      <c r="H88" s="10">
        <v>7175</v>
      </c>
      <c r="I88" s="10">
        <v>500</v>
      </c>
      <c r="J88" s="10">
        <v>500</v>
      </c>
      <c r="K88" s="10">
        <v>512.5</v>
      </c>
      <c r="L88" s="10">
        <f t="shared" si="53"/>
        <v>0</v>
      </c>
      <c r="M88" s="10">
        <f t="shared" si="53"/>
        <v>0</v>
      </c>
      <c r="N88" s="10">
        <v>321</v>
      </c>
      <c r="P88" s="10">
        <v>321</v>
      </c>
      <c r="Q88" s="10">
        <f t="shared" si="53"/>
        <v>0</v>
      </c>
      <c r="R88" s="8">
        <v>0</v>
      </c>
      <c r="S88" s="10">
        <f t="shared" si="53"/>
        <v>0</v>
      </c>
    </row>
    <row r="89" spans="1:19" s="20" customFormat="1" x14ac:dyDescent="0.15">
      <c r="A89" s="18">
        <f t="shared" si="4"/>
        <v>11000707</v>
      </c>
      <c r="B89" s="19">
        <f t="shared" si="44"/>
        <v>110007</v>
      </c>
      <c r="C89" s="20">
        <f t="shared" ref="C89:S89" si="54">C76</f>
        <v>7</v>
      </c>
      <c r="D89" s="20">
        <v>2000000</v>
      </c>
      <c r="E89" s="10">
        <f t="shared" si="49"/>
        <v>500232</v>
      </c>
      <c r="F89" s="10">
        <f t="shared" si="47"/>
        <v>500233</v>
      </c>
      <c r="G89" s="10">
        <f t="shared" si="47"/>
        <v>500234</v>
      </c>
      <c r="H89" s="20">
        <v>7300</v>
      </c>
      <c r="I89" s="20">
        <v>1460</v>
      </c>
      <c r="J89" s="20">
        <v>1460</v>
      </c>
      <c r="K89" s="20">
        <v>1460</v>
      </c>
      <c r="L89" s="20">
        <f t="shared" si="54"/>
        <v>0</v>
      </c>
      <c r="M89" s="20">
        <f t="shared" si="54"/>
        <v>0</v>
      </c>
      <c r="N89" s="20">
        <v>438</v>
      </c>
      <c r="P89" s="20">
        <v>438</v>
      </c>
      <c r="Q89" s="20">
        <f t="shared" si="54"/>
        <v>0</v>
      </c>
      <c r="R89" s="21">
        <v>0</v>
      </c>
      <c r="S89" s="20">
        <f t="shared" si="54"/>
        <v>0</v>
      </c>
    </row>
    <row r="90" spans="1:19" x14ac:dyDescent="0.15">
      <c r="A90" s="1">
        <f t="shared" si="4"/>
        <v>11000708</v>
      </c>
      <c r="B90" s="5">
        <f t="shared" si="44"/>
        <v>110007</v>
      </c>
      <c r="C90" s="9">
        <f t="shared" ref="C90:S90" si="55">C77</f>
        <v>8</v>
      </c>
      <c r="D90" s="7">
        <v>3000000</v>
      </c>
      <c r="E90" s="10">
        <f t="shared" si="49"/>
        <v>500262</v>
      </c>
      <c r="F90" s="10">
        <f t="shared" si="47"/>
        <v>500263</v>
      </c>
      <c r="G90" s="10">
        <f t="shared" si="47"/>
        <v>500264</v>
      </c>
      <c r="H90" s="10">
        <v>9750</v>
      </c>
      <c r="I90" s="10">
        <v>1950</v>
      </c>
      <c r="J90" s="10">
        <v>1950</v>
      </c>
      <c r="K90" s="10">
        <v>1950</v>
      </c>
      <c r="L90" s="10">
        <f t="shared" si="55"/>
        <v>0</v>
      </c>
      <c r="M90" s="10">
        <f t="shared" si="55"/>
        <v>0</v>
      </c>
      <c r="N90" s="10">
        <v>585</v>
      </c>
      <c r="P90" s="10">
        <v>585</v>
      </c>
      <c r="Q90" s="10">
        <f t="shared" si="55"/>
        <v>0</v>
      </c>
      <c r="R90" s="8">
        <v>0</v>
      </c>
      <c r="S90" s="10">
        <f t="shared" si="55"/>
        <v>0</v>
      </c>
    </row>
    <row r="91" spans="1:19" x14ac:dyDescent="0.15">
      <c r="A91" s="1">
        <f t="shared" si="4"/>
        <v>11000709</v>
      </c>
      <c r="B91" s="5">
        <f t="shared" si="44"/>
        <v>110007</v>
      </c>
      <c r="C91" s="9">
        <f t="shared" ref="C91:S91" si="56">C78</f>
        <v>9</v>
      </c>
      <c r="D91" s="9">
        <v>4000000</v>
      </c>
      <c r="E91" s="10">
        <f t="shared" si="49"/>
        <v>500292</v>
      </c>
      <c r="F91" s="10">
        <f t="shared" si="47"/>
        <v>500293</v>
      </c>
      <c r="G91" s="10">
        <f t="shared" si="47"/>
        <v>500294</v>
      </c>
      <c r="H91" s="10">
        <v>12925</v>
      </c>
      <c r="I91" s="10">
        <v>2585</v>
      </c>
      <c r="J91" s="10">
        <v>2585</v>
      </c>
      <c r="K91" s="10">
        <v>2585</v>
      </c>
      <c r="L91" s="10">
        <f t="shared" si="56"/>
        <v>0</v>
      </c>
      <c r="M91" s="10">
        <f t="shared" si="56"/>
        <v>0</v>
      </c>
      <c r="N91" s="10">
        <v>775.5</v>
      </c>
      <c r="P91" s="10">
        <v>775.5</v>
      </c>
      <c r="Q91" s="10">
        <f t="shared" si="56"/>
        <v>0</v>
      </c>
      <c r="R91" s="8">
        <v>0</v>
      </c>
      <c r="S91" s="10">
        <f t="shared" si="56"/>
        <v>0</v>
      </c>
    </row>
    <row r="92" spans="1:19" x14ac:dyDescent="0.15">
      <c r="A92" s="1">
        <f t="shared" si="4"/>
        <v>11000710</v>
      </c>
      <c r="B92" s="5">
        <f t="shared" si="44"/>
        <v>110007</v>
      </c>
      <c r="C92" s="9">
        <f t="shared" ref="C92:S92" si="57">C79</f>
        <v>10</v>
      </c>
      <c r="D92" s="7">
        <v>5000000</v>
      </c>
      <c r="E92" s="10">
        <f t="shared" si="49"/>
        <v>500322</v>
      </c>
      <c r="F92" s="10">
        <f t="shared" si="47"/>
        <v>500323</v>
      </c>
      <c r="G92" s="10">
        <f t="shared" si="47"/>
        <v>500324</v>
      </c>
      <c r="H92" s="10">
        <v>17075</v>
      </c>
      <c r="I92" s="10">
        <v>3415</v>
      </c>
      <c r="J92" s="10">
        <v>3415</v>
      </c>
      <c r="K92" s="10">
        <v>3415</v>
      </c>
      <c r="L92" s="10">
        <f t="shared" si="57"/>
        <v>0</v>
      </c>
      <c r="M92" s="10">
        <f t="shared" si="57"/>
        <v>0</v>
      </c>
      <c r="N92" s="10">
        <v>1024.5</v>
      </c>
      <c r="P92" s="10">
        <v>1024.5</v>
      </c>
      <c r="Q92" s="10">
        <f t="shared" si="57"/>
        <v>0</v>
      </c>
      <c r="R92" s="8">
        <v>0</v>
      </c>
      <c r="S92" s="10">
        <f t="shared" si="57"/>
        <v>0</v>
      </c>
    </row>
    <row r="93" spans="1:19" x14ac:dyDescent="0.15">
      <c r="A93" s="1">
        <f t="shared" si="4"/>
        <v>11000711</v>
      </c>
      <c r="B93" s="5">
        <f t="shared" si="44"/>
        <v>110007</v>
      </c>
      <c r="C93" s="9">
        <f t="shared" ref="C93:S93" si="58">C80</f>
        <v>11</v>
      </c>
      <c r="D93" s="9">
        <v>6000000</v>
      </c>
      <c r="E93" s="10">
        <f t="shared" si="49"/>
        <v>500352</v>
      </c>
      <c r="F93" s="10">
        <f t="shared" si="47"/>
        <v>500353</v>
      </c>
      <c r="G93" s="10">
        <f t="shared" si="47"/>
        <v>500354</v>
      </c>
      <c r="H93" s="10">
        <v>22450</v>
      </c>
      <c r="I93" s="10">
        <v>4490</v>
      </c>
      <c r="J93" s="10">
        <v>4490</v>
      </c>
      <c r="K93" s="10">
        <v>4490</v>
      </c>
      <c r="L93" s="10">
        <f t="shared" si="58"/>
        <v>0</v>
      </c>
      <c r="M93" s="10">
        <f t="shared" si="58"/>
        <v>0</v>
      </c>
      <c r="N93" s="10">
        <v>1347</v>
      </c>
      <c r="P93" s="10">
        <v>1347</v>
      </c>
      <c r="Q93" s="10">
        <f t="shared" si="58"/>
        <v>0</v>
      </c>
      <c r="R93" s="8">
        <v>0</v>
      </c>
      <c r="S93" s="10">
        <f t="shared" si="58"/>
        <v>0</v>
      </c>
    </row>
    <row r="94" spans="1:19" x14ac:dyDescent="0.15">
      <c r="A94" s="1">
        <v>11000712</v>
      </c>
      <c r="B94" s="5">
        <v>110007</v>
      </c>
      <c r="C94" s="9">
        <v>12</v>
      </c>
      <c r="D94" s="7">
        <v>0</v>
      </c>
      <c r="E94" s="10">
        <f t="shared" si="49"/>
        <v>500382</v>
      </c>
      <c r="F94" s="10">
        <f t="shared" si="47"/>
        <v>500383</v>
      </c>
      <c r="G94" s="10">
        <f t="shared" si="47"/>
        <v>500384</v>
      </c>
      <c r="H94" s="10">
        <v>29525</v>
      </c>
      <c r="I94" s="10">
        <v>5905</v>
      </c>
      <c r="J94" s="10">
        <v>5905</v>
      </c>
      <c r="K94" s="10">
        <v>5905</v>
      </c>
      <c r="L94" s="10">
        <v>0</v>
      </c>
      <c r="M94" s="10">
        <v>0</v>
      </c>
      <c r="N94" s="10">
        <v>1771.5</v>
      </c>
      <c r="P94" s="10">
        <v>1771.5</v>
      </c>
      <c r="Q94" s="10">
        <v>0</v>
      </c>
      <c r="R94" s="8">
        <v>0</v>
      </c>
      <c r="S94" s="10">
        <v>0</v>
      </c>
    </row>
    <row r="95" spans="1:19" x14ac:dyDescent="0.15">
      <c r="A95" s="1">
        <f t="shared" si="4"/>
        <v>11000800</v>
      </c>
      <c r="B95" s="5">
        <f t="shared" ref="B95:B106" si="59">B82+1</f>
        <v>110008</v>
      </c>
      <c r="C95" s="9">
        <f t="shared" ref="C95:S95" si="60">C82</f>
        <v>0</v>
      </c>
      <c r="D95" s="7">
        <v>10000</v>
      </c>
      <c r="E95" s="10">
        <v>500025</v>
      </c>
      <c r="F95" s="10">
        <f>SUM(E95+1)</f>
        <v>500026</v>
      </c>
      <c r="G95" s="10">
        <f>SUM(F95+1)</f>
        <v>500027</v>
      </c>
      <c r="H95" s="10">
        <v>0</v>
      </c>
      <c r="I95" s="10">
        <v>0</v>
      </c>
      <c r="J95" s="10">
        <v>0</v>
      </c>
      <c r="K95" s="10">
        <v>0</v>
      </c>
      <c r="L95" s="10">
        <f t="shared" si="60"/>
        <v>0</v>
      </c>
      <c r="M95" s="10">
        <f t="shared" si="60"/>
        <v>0</v>
      </c>
      <c r="N95" s="8">
        <v>0</v>
      </c>
      <c r="O95" s="8"/>
      <c r="P95" s="8">
        <v>0</v>
      </c>
      <c r="Q95" s="10">
        <f t="shared" si="60"/>
        <v>0</v>
      </c>
      <c r="R95" s="8">
        <v>0</v>
      </c>
      <c r="S95" s="10">
        <f t="shared" si="60"/>
        <v>0</v>
      </c>
    </row>
    <row r="96" spans="1:19" x14ac:dyDescent="0.15">
      <c r="A96" s="1">
        <f t="shared" si="4"/>
        <v>11000801</v>
      </c>
      <c r="B96" s="5">
        <f t="shared" si="59"/>
        <v>110008</v>
      </c>
      <c r="C96" s="9">
        <f t="shared" ref="C96:S96" si="61">C83</f>
        <v>1</v>
      </c>
      <c r="D96" s="9">
        <v>25000</v>
      </c>
      <c r="E96" s="10">
        <f>SUM(E95+30)</f>
        <v>500055</v>
      </c>
      <c r="F96" s="10">
        <f t="shared" ref="F96:G107" si="62">SUM(E96+1)</f>
        <v>500056</v>
      </c>
      <c r="G96" s="10">
        <f t="shared" si="62"/>
        <v>500057</v>
      </c>
      <c r="H96" s="10">
        <v>504</v>
      </c>
      <c r="I96" s="10">
        <v>56</v>
      </c>
      <c r="J96" s="10">
        <v>56</v>
      </c>
      <c r="K96" s="8">
        <v>63</v>
      </c>
      <c r="L96" s="10">
        <f t="shared" si="61"/>
        <v>0</v>
      </c>
      <c r="M96" s="10">
        <f t="shared" si="61"/>
        <v>0</v>
      </c>
      <c r="N96" s="8">
        <v>28.5</v>
      </c>
      <c r="P96" s="8">
        <v>28.5</v>
      </c>
      <c r="Q96" s="10">
        <f t="shared" si="61"/>
        <v>0</v>
      </c>
      <c r="R96" s="8">
        <v>0</v>
      </c>
      <c r="S96" s="10">
        <f t="shared" si="61"/>
        <v>0</v>
      </c>
    </row>
    <row r="97" spans="1:19" x14ac:dyDescent="0.15">
      <c r="A97" s="1">
        <f t="shared" si="4"/>
        <v>11000802</v>
      </c>
      <c r="B97" s="5">
        <f t="shared" si="59"/>
        <v>110008</v>
      </c>
      <c r="C97" s="9">
        <f t="shared" ref="C97:S97" si="63">C84</f>
        <v>2</v>
      </c>
      <c r="D97" s="7">
        <v>50000</v>
      </c>
      <c r="E97" s="10">
        <f t="shared" ref="E97:E107" si="64">SUM(E96+30)</f>
        <v>500085</v>
      </c>
      <c r="F97" s="10">
        <f t="shared" si="62"/>
        <v>500086</v>
      </c>
      <c r="G97" s="10">
        <f t="shared" si="62"/>
        <v>500087</v>
      </c>
      <c r="H97" s="10">
        <v>1060</v>
      </c>
      <c r="I97" s="10">
        <v>120</v>
      </c>
      <c r="J97" s="10">
        <v>120</v>
      </c>
      <c r="K97" s="10">
        <v>132.5</v>
      </c>
      <c r="L97" s="10">
        <f t="shared" si="63"/>
        <v>0</v>
      </c>
      <c r="M97" s="10">
        <f t="shared" si="63"/>
        <v>0</v>
      </c>
      <c r="N97" s="10">
        <v>57</v>
      </c>
      <c r="P97" s="10">
        <v>57</v>
      </c>
      <c r="Q97" s="10">
        <f t="shared" si="63"/>
        <v>0</v>
      </c>
      <c r="R97" s="8">
        <v>0</v>
      </c>
      <c r="S97" s="10">
        <f t="shared" si="63"/>
        <v>0</v>
      </c>
    </row>
    <row r="98" spans="1:19" x14ac:dyDescent="0.15">
      <c r="A98" s="1">
        <f t="shared" si="4"/>
        <v>11000803</v>
      </c>
      <c r="B98" s="5">
        <f t="shared" si="59"/>
        <v>110008</v>
      </c>
      <c r="C98" s="9">
        <f t="shared" ref="C98:S98" si="65">C85</f>
        <v>3</v>
      </c>
      <c r="D98" s="7">
        <v>100000</v>
      </c>
      <c r="E98" s="10">
        <f t="shared" si="64"/>
        <v>500115</v>
      </c>
      <c r="F98" s="10">
        <f t="shared" si="62"/>
        <v>500116</v>
      </c>
      <c r="G98" s="10">
        <f t="shared" si="62"/>
        <v>500117</v>
      </c>
      <c r="H98" s="10">
        <v>1760</v>
      </c>
      <c r="I98" s="10">
        <v>187.5</v>
      </c>
      <c r="J98" s="10">
        <v>187.5</v>
      </c>
      <c r="K98" s="10">
        <v>200</v>
      </c>
      <c r="L98" s="10">
        <f t="shared" si="65"/>
        <v>0</v>
      </c>
      <c r="M98" s="10">
        <f t="shared" si="65"/>
        <v>0</v>
      </c>
      <c r="N98" s="10">
        <v>100.5</v>
      </c>
      <c r="P98" s="10">
        <v>100.5</v>
      </c>
      <c r="Q98" s="10">
        <f t="shared" si="65"/>
        <v>0</v>
      </c>
      <c r="R98" s="8">
        <v>0</v>
      </c>
      <c r="S98" s="10">
        <f t="shared" si="65"/>
        <v>0</v>
      </c>
    </row>
    <row r="99" spans="1:19" x14ac:dyDescent="0.15">
      <c r="A99" s="1">
        <f t="shared" si="4"/>
        <v>11000804</v>
      </c>
      <c r="B99" s="5">
        <f t="shared" si="59"/>
        <v>110008</v>
      </c>
      <c r="C99" s="9">
        <f t="shared" ref="C99:S99" si="66">C86</f>
        <v>4</v>
      </c>
      <c r="D99" s="9">
        <v>200000</v>
      </c>
      <c r="E99" s="10">
        <f t="shared" si="64"/>
        <v>500145</v>
      </c>
      <c r="F99" s="10">
        <f t="shared" si="62"/>
        <v>500146</v>
      </c>
      <c r="G99" s="10">
        <f t="shared" si="62"/>
        <v>500147</v>
      </c>
      <c r="H99" s="10">
        <v>2664</v>
      </c>
      <c r="I99" s="10">
        <v>265</v>
      </c>
      <c r="J99" s="10">
        <v>265</v>
      </c>
      <c r="K99" s="10">
        <v>277.5</v>
      </c>
      <c r="L99" s="10">
        <f t="shared" si="66"/>
        <v>0</v>
      </c>
      <c r="M99" s="10">
        <f t="shared" si="66"/>
        <v>0</v>
      </c>
      <c r="N99" s="10">
        <v>159</v>
      </c>
      <c r="P99" s="10">
        <v>159</v>
      </c>
      <c r="Q99" s="10">
        <f t="shared" si="66"/>
        <v>0</v>
      </c>
      <c r="R99" s="8">
        <v>0</v>
      </c>
      <c r="S99" s="10">
        <f t="shared" si="66"/>
        <v>0</v>
      </c>
    </row>
    <row r="100" spans="1:19" x14ac:dyDescent="0.15">
      <c r="A100" s="1">
        <f t="shared" si="4"/>
        <v>11000805</v>
      </c>
      <c r="B100" s="5">
        <f t="shared" si="59"/>
        <v>110008</v>
      </c>
      <c r="C100" s="9">
        <f t="shared" ref="C100:S100" si="67">C87</f>
        <v>5</v>
      </c>
      <c r="D100" s="7">
        <v>500000</v>
      </c>
      <c r="E100" s="10">
        <f t="shared" si="64"/>
        <v>500175</v>
      </c>
      <c r="F100" s="10">
        <f t="shared" si="62"/>
        <v>500176</v>
      </c>
      <c r="G100" s="10">
        <f t="shared" si="62"/>
        <v>500177</v>
      </c>
      <c r="H100" s="10">
        <v>4030</v>
      </c>
      <c r="I100" s="10">
        <v>375</v>
      </c>
      <c r="J100" s="10">
        <v>375</v>
      </c>
      <c r="K100" s="10">
        <v>387.5</v>
      </c>
      <c r="L100" s="10">
        <f t="shared" si="67"/>
        <v>0</v>
      </c>
      <c r="M100" s="10">
        <f t="shared" si="67"/>
        <v>0</v>
      </c>
      <c r="N100" s="10">
        <v>232.5</v>
      </c>
      <c r="P100" s="10">
        <v>232.5</v>
      </c>
      <c r="Q100" s="10">
        <f t="shared" si="67"/>
        <v>0</v>
      </c>
      <c r="R100" s="8">
        <v>0</v>
      </c>
      <c r="S100" s="10">
        <f t="shared" si="67"/>
        <v>0</v>
      </c>
    </row>
    <row r="101" spans="1:19" x14ac:dyDescent="0.15">
      <c r="A101" s="1">
        <f t="shared" si="4"/>
        <v>11000806</v>
      </c>
      <c r="B101" s="5">
        <f t="shared" si="59"/>
        <v>110008</v>
      </c>
      <c r="C101" s="9">
        <f t="shared" ref="C101:S101" si="68">C88</f>
        <v>6</v>
      </c>
      <c r="D101" s="7">
        <v>1000000</v>
      </c>
      <c r="E101" s="10">
        <f t="shared" si="64"/>
        <v>500205</v>
      </c>
      <c r="F101" s="10">
        <f t="shared" si="62"/>
        <v>500206</v>
      </c>
      <c r="G101" s="10">
        <f t="shared" si="62"/>
        <v>500207</v>
      </c>
      <c r="H101" s="10">
        <v>5740</v>
      </c>
      <c r="I101" s="10">
        <v>500</v>
      </c>
      <c r="J101" s="10">
        <v>500</v>
      </c>
      <c r="K101" s="10">
        <v>512.5</v>
      </c>
      <c r="L101" s="10">
        <f t="shared" si="68"/>
        <v>0</v>
      </c>
      <c r="M101" s="10">
        <f t="shared" si="68"/>
        <v>0</v>
      </c>
      <c r="N101" s="10">
        <v>321</v>
      </c>
      <c r="P101" s="10">
        <v>321</v>
      </c>
      <c r="Q101" s="10">
        <f t="shared" si="68"/>
        <v>0</v>
      </c>
      <c r="R101" s="8">
        <v>0</v>
      </c>
      <c r="S101" s="10">
        <f t="shared" si="68"/>
        <v>0</v>
      </c>
    </row>
    <row r="102" spans="1:19" s="20" customFormat="1" x14ac:dyDescent="0.15">
      <c r="A102" s="18">
        <f t="shared" si="4"/>
        <v>11000807</v>
      </c>
      <c r="B102" s="19">
        <f t="shared" si="59"/>
        <v>110008</v>
      </c>
      <c r="C102" s="20">
        <f t="shared" ref="C102:S102" si="69">C89</f>
        <v>7</v>
      </c>
      <c r="D102" s="20">
        <v>2000000</v>
      </c>
      <c r="E102" s="10">
        <f t="shared" si="64"/>
        <v>500235</v>
      </c>
      <c r="F102" s="10">
        <f t="shared" si="62"/>
        <v>500236</v>
      </c>
      <c r="G102" s="10">
        <f t="shared" si="62"/>
        <v>500237</v>
      </c>
      <c r="H102" s="20">
        <f t="shared" ref="H102:K107" si="70">H37</f>
        <v>4818</v>
      </c>
      <c r="I102" s="20">
        <f t="shared" si="70"/>
        <v>2190</v>
      </c>
      <c r="J102" s="20">
        <f t="shared" si="70"/>
        <v>1460</v>
      </c>
      <c r="K102" s="20">
        <f t="shared" si="70"/>
        <v>1460</v>
      </c>
      <c r="L102" s="20">
        <f t="shared" si="69"/>
        <v>0</v>
      </c>
      <c r="M102" s="20">
        <f t="shared" si="69"/>
        <v>0</v>
      </c>
      <c r="N102" s="20">
        <v>438</v>
      </c>
      <c r="P102" s="20">
        <v>438</v>
      </c>
      <c r="Q102" s="20">
        <f t="shared" si="69"/>
        <v>0</v>
      </c>
      <c r="R102" s="21">
        <v>0</v>
      </c>
      <c r="S102" s="20">
        <f t="shared" si="69"/>
        <v>0</v>
      </c>
    </row>
    <row r="103" spans="1:19" x14ac:dyDescent="0.15">
      <c r="A103" s="1">
        <f t="shared" si="4"/>
        <v>11000808</v>
      </c>
      <c r="B103" s="5">
        <f t="shared" si="59"/>
        <v>110008</v>
      </c>
      <c r="C103" s="9">
        <f t="shared" ref="C103:S103" si="71">C90</f>
        <v>8</v>
      </c>
      <c r="D103" s="7">
        <v>3000000</v>
      </c>
      <c r="E103" s="10">
        <f t="shared" si="64"/>
        <v>500265</v>
      </c>
      <c r="F103" s="10">
        <f t="shared" si="62"/>
        <v>500266</v>
      </c>
      <c r="G103" s="10">
        <f t="shared" si="62"/>
        <v>500267</v>
      </c>
      <c r="H103" s="10">
        <f t="shared" si="70"/>
        <v>6435</v>
      </c>
      <c r="I103" s="10">
        <f t="shared" si="70"/>
        <v>2925</v>
      </c>
      <c r="J103" s="10">
        <f t="shared" si="70"/>
        <v>1950</v>
      </c>
      <c r="K103" s="10">
        <f t="shared" si="70"/>
        <v>1950</v>
      </c>
      <c r="L103" s="10">
        <f t="shared" si="71"/>
        <v>0</v>
      </c>
      <c r="M103" s="10">
        <f t="shared" si="71"/>
        <v>0</v>
      </c>
      <c r="N103" s="10">
        <v>585</v>
      </c>
      <c r="P103" s="10">
        <v>585</v>
      </c>
      <c r="Q103" s="10">
        <f t="shared" si="71"/>
        <v>0</v>
      </c>
      <c r="R103" s="8">
        <v>0</v>
      </c>
      <c r="S103" s="10">
        <f t="shared" si="71"/>
        <v>0</v>
      </c>
    </row>
    <row r="104" spans="1:19" x14ac:dyDescent="0.15">
      <c r="A104" s="1">
        <f t="shared" si="4"/>
        <v>11000809</v>
      </c>
      <c r="B104" s="5">
        <f t="shared" si="59"/>
        <v>110008</v>
      </c>
      <c r="C104" s="9">
        <f t="shared" ref="C104:S104" si="72">C91</f>
        <v>9</v>
      </c>
      <c r="D104" s="9">
        <v>4000000</v>
      </c>
      <c r="E104" s="10">
        <f t="shared" si="64"/>
        <v>500295</v>
      </c>
      <c r="F104" s="10">
        <f t="shared" si="62"/>
        <v>500296</v>
      </c>
      <c r="G104" s="10">
        <f t="shared" si="62"/>
        <v>500297</v>
      </c>
      <c r="H104" s="10">
        <f t="shared" si="70"/>
        <v>8530.5</v>
      </c>
      <c r="I104" s="10">
        <f t="shared" si="70"/>
        <v>3877.5</v>
      </c>
      <c r="J104" s="10">
        <f t="shared" si="70"/>
        <v>2585</v>
      </c>
      <c r="K104" s="10">
        <f t="shared" si="70"/>
        <v>2585</v>
      </c>
      <c r="L104" s="10">
        <f t="shared" si="72"/>
        <v>0</v>
      </c>
      <c r="M104" s="10">
        <f t="shared" si="72"/>
        <v>0</v>
      </c>
      <c r="N104" s="10">
        <v>775.5</v>
      </c>
      <c r="P104" s="10">
        <v>775.5</v>
      </c>
      <c r="Q104" s="10">
        <f t="shared" si="72"/>
        <v>0</v>
      </c>
      <c r="R104" s="8">
        <v>0</v>
      </c>
      <c r="S104" s="10">
        <f t="shared" si="72"/>
        <v>0</v>
      </c>
    </row>
    <row r="105" spans="1:19" x14ac:dyDescent="0.15">
      <c r="A105" s="1">
        <f t="shared" si="4"/>
        <v>11000810</v>
      </c>
      <c r="B105" s="5">
        <f t="shared" si="59"/>
        <v>110008</v>
      </c>
      <c r="C105" s="9">
        <f t="shared" ref="C105:S105" si="73">C92</f>
        <v>10</v>
      </c>
      <c r="D105" s="7">
        <v>5000000</v>
      </c>
      <c r="E105" s="10">
        <f t="shared" si="64"/>
        <v>500325</v>
      </c>
      <c r="F105" s="10">
        <f t="shared" si="62"/>
        <v>500326</v>
      </c>
      <c r="G105" s="10">
        <f t="shared" si="62"/>
        <v>500327</v>
      </c>
      <c r="H105" s="10">
        <f t="shared" si="70"/>
        <v>11269.5</v>
      </c>
      <c r="I105" s="10">
        <f t="shared" si="70"/>
        <v>5122.5</v>
      </c>
      <c r="J105" s="10">
        <f t="shared" si="70"/>
        <v>3415</v>
      </c>
      <c r="K105" s="10">
        <f t="shared" si="70"/>
        <v>3415</v>
      </c>
      <c r="L105" s="10">
        <f t="shared" si="73"/>
        <v>0</v>
      </c>
      <c r="M105" s="10">
        <f t="shared" si="73"/>
        <v>0</v>
      </c>
      <c r="N105" s="10">
        <v>1024.5</v>
      </c>
      <c r="P105" s="10">
        <v>1024.5</v>
      </c>
      <c r="Q105" s="10">
        <f t="shared" si="73"/>
        <v>0</v>
      </c>
      <c r="R105" s="8">
        <v>0</v>
      </c>
      <c r="S105" s="10">
        <f t="shared" si="73"/>
        <v>0</v>
      </c>
    </row>
    <row r="106" spans="1:19" x14ac:dyDescent="0.15">
      <c r="A106" s="1">
        <f t="shared" si="4"/>
        <v>11000811</v>
      </c>
      <c r="B106" s="5">
        <f t="shared" si="59"/>
        <v>110008</v>
      </c>
      <c r="C106" s="9">
        <f t="shared" ref="C106:S106" si="74">C93</f>
        <v>11</v>
      </c>
      <c r="D106" s="9">
        <v>6000000</v>
      </c>
      <c r="E106" s="10">
        <f t="shared" si="64"/>
        <v>500355</v>
      </c>
      <c r="F106" s="10">
        <f t="shared" si="62"/>
        <v>500356</v>
      </c>
      <c r="G106" s="10">
        <f t="shared" si="62"/>
        <v>500357</v>
      </c>
      <c r="H106" s="10">
        <f t="shared" si="70"/>
        <v>14817</v>
      </c>
      <c r="I106" s="10">
        <f t="shared" si="70"/>
        <v>6735</v>
      </c>
      <c r="J106" s="10">
        <f t="shared" si="70"/>
        <v>4490</v>
      </c>
      <c r="K106" s="10">
        <f t="shared" si="70"/>
        <v>4490</v>
      </c>
      <c r="L106" s="10">
        <f t="shared" si="74"/>
        <v>0</v>
      </c>
      <c r="M106" s="10">
        <f t="shared" si="74"/>
        <v>0</v>
      </c>
      <c r="N106" s="10">
        <v>1347</v>
      </c>
      <c r="P106" s="10">
        <v>1347</v>
      </c>
      <c r="Q106" s="10">
        <f t="shared" si="74"/>
        <v>0</v>
      </c>
      <c r="R106" s="8">
        <v>0</v>
      </c>
      <c r="S106" s="10">
        <f t="shared" si="74"/>
        <v>0</v>
      </c>
    </row>
    <row r="107" spans="1:19" x14ac:dyDescent="0.15">
      <c r="A107" s="1">
        <v>11000812</v>
      </c>
      <c r="B107" s="5">
        <v>110008</v>
      </c>
      <c r="C107" s="9">
        <v>12</v>
      </c>
      <c r="D107" s="7">
        <v>0</v>
      </c>
      <c r="E107" s="10">
        <f t="shared" si="64"/>
        <v>500385</v>
      </c>
      <c r="F107" s="10">
        <f t="shared" si="62"/>
        <v>500386</v>
      </c>
      <c r="G107" s="10">
        <f t="shared" si="62"/>
        <v>500387</v>
      </c>
      <c r="H107" s="10">
        <f t="shared" si="70"/>
        <v>19486.5</v>
      </c>
      <c r="I107" s="10">
        <f t="shared" si="70"/>
        <v>8857.5</v>
      </c>
      <c r="J107" s="10">
        <f t="shared" si="70"/>
        <v>5905</v>
      </c>
      <c r="K107" s="10">
        <f t="shared" si="70"/>
        <v>5905</v>
      </c>
      <c r="L107" s="10">
        <v>0</v>
      </c>
      <c r="M107" s="10">
        <v>0</v>
      </c>
      <c r="N107" s="10">
        <v>1771.5</v>
      </c>
      <c r="P107" s="10">
        <v>1771.5</v>
      </c>
      <c r="Q107" s="10">
        <v>0</v>
      </c>
      <c r="R107" s="8">
        <v>0</v>
      </c>
      <c r="S107" s="10">
        <v>0</v>
      </c>
    </row>
    <row r="108" spans="1:19" x14ac:dyDescent="0.15">
      <c r="A108" s="1">
        <v>11000900</v>
      </c>
      <c r="B108" s="5">
        <v>110009</v>
      </c>
      <c r="C108" s="9">
        <v>0</v>
      </c>
      <c r="D108" s="9">
        <v>10000</v>
      </c>
      <c r="E108" s="10">
        <v>500028</v>
      </c>
      <c r="F108" s="10">
        <v>500008</v>
      </c>
      <c r="G108" s="10">
        <v>500009</v>
      </c>
      <c r="H108" s="10">
        <v>0</v>
      </c>
      <c r="I108" s="10">
        <v>0</v>
      </c>
      <c r="J108" s="10">
        <v>0</v>
      </c>
      <c r="K108" s="10">
        <v>0</v>
      </c>
      <c r="N108" s="8">
        <v>0</v>
      </c>
      <c r="O108" s="8"/>
      <c r="P108" s="8">
        <v>0</v>
      </c>
      <c r="R108" s="10">
        <v>0</v>
      </c>
      <c r="S108" s="10">
        <v>0</v>
      </c>
    </row>
    <row r="109" spans="1:19" x14ac:dyDescent="0.15">
      <c r="A109" s="1">
        <v>11000901</v>
      </c>
      <c r="B109" s="5">
        <v>110009</v>
      </c>
      <c r="C109" s="9">
        <v>1</v>
      </c>
      <c r="D109" s="9">
        <v>25000</v>
      </c>
      <c r="E109" s="10">
        <f>SUM(E108+30)</f>
        <v>500058</v>
      </c>
      <c r="F109" s="10">
        <f>SUM(E109+1)</f>
        <v>500059</v>
      </c>
      <c r="G109" s="10">
        <f>SUM(F109+1)</f>
        <v>500060</v>
      </c>
      <c r="H109" s="10">
        <v>504</v>
      </c>
      <c r="I109" s="10">
        <v>84</v>
      </c>
      <c r="J109" s="10">
        <v>56</v>
      </c>
      <c r="K109" s="8">
        <v>63</v>
      </c>
      <c r="N109" s="8">
        <v>28.5</v>
      </c>
      <c r="P109" s="8">
        <v>28.5</v>
      </c>
      <c r="R109" s="10">
        <v>0</v>
      </c>
      <c r="S109" s="10">
        <v>0</v>
      </c>
    </row>
    <row r="110" spans="1:19" x14ac:dyDescent="0.15">
      <c r="A110" s="1">
        <v>11000902</v>
      </c>
      <c r="B110" s="5">
        <v>110009</v>
      </c>
      <c r="C110" s="9">
        <v>2</v>
      </c>
      <c r="D110" s="9">
        <v>50000</v>
      </c>
      <c r="E110" s="10">
        <f t="shared" ref="E110:E120" si="75">SUM(E109+30)</f>
        <v>500088</v>
      </c>
      <c r="F110" s="10">
        <f t="shared" ref="F110:G120" si="76">SUM(E110+1)</f>
        <v>500089</v>
      </c>
      <c r="G110" s="10">
        <f t="shared" si="76"/>
        <v>500090</v>
      </c>
      <c r="H110" s="10">
        <v>1060</v>
      </c>
      <c r="I110" s="10">
        <v>180</v>
      </c>
      <c r="J110" s="10">
        <v>120</v>
      </c>
      <c r="K110" s="10">
        <v>132.5</v>
      </c>
      <c r="N110" s="10">
        <v>57</v>
      </c>
      <c r="P110" s="10">
        <v>57</v>
      </c>
      <c r="R110" s="10">
        <v>0</v>
      </c>
      <c r="S110" s="10">
        <v>0</v>
      </c>
    </row>
    <row r="111" spans="1:19" x14ac:dyDescent="0.15">
      <c r="A111" s="1">
        <v>11000903</v>
      </c>
      <c r="B111" s="5">
        <v>110009</v>
      </c>
      <c r="C111" s="9">
        <v>3</v>
      </c>
      <c r="D111" s="9">
        <v>100000</v>
      </c>
      <c r="E111" s="10">
        <f t="shared" si="75"/>
        <v>500118</v>
      </c>
      <c r="F111" s="10">
        <f t="shared" si="76"/>
        <v>500119</v>
      </c>
      <c r="G111" s="10">
        <f t="shared" si="76"/>
        <v>500120</v>
      </c>
      <c r="H111" s="10">
        <v>1760</v>
      </c>
      <c r="I111" s="10">
        <v>281.25</v>
      </c>
      <c r="J111" s="10">
        <v>187.5</v>
      </c>
      <c r="K111" s="10">
        <v>200</v>
      </c>
      <c r="N111" s="10">
        <v>100.5</v>
      </c>
      <c r="P111" s="10">
        <v>100.5</v>
      </c>
      <c r="R111" s="10">
        <v>0</v>
      </c>
      <c r="S111" s="10">
        <v>0</v>
      </c>
    </row>
    <row r="112" spans="1:19" x14ac:dyDescent="0.15">
      <c r="A112" s="1">
        <v>11000904</v>
      </c>
      <c r="B112" s="5">
        <v>110009</v>
      </c>
      <c r="C112" s="9">
        <v>4</v>
      </c>
      <c r="D112" s="9">
        <v>200000</v>
      </c>
      <c r="E112" s="10">
        <f t="shared" si="75"/>
        <v>500148</v>
      </c>
      <c r="F112" s="10">
        <f t="shared" si="76"/>
        <v>500149</v>
      </c>
      <c r="G112" s="10">
        <f t="shared" si="76"/>
        <v>500150</v>
      </c>
      <c r="H112" s="10">
        <v>2664</v>
      </c>
      <c r="I112" s="10">
        <v>397.5</v>
      </c>
      <c r="J112" s="10">
        <v>265</v>
      </c>
      <c r="K112" s="10">
        <v>277.5</v>
      </c>
      <c r="N112" s="10">
        <v>159</v>
      </c>
      <c r="P112" s="10">
        <v>159</v>
      </c>
      <c r="R112" s="10">
        <v>0</v>
      </c>
      <c r="S112" s="10">
        <v>0</v>
      </c>
    </row>
    <row r="113" spans="1:19" x14ac:dyDescent="0.15">
      <c r="A113" s="1">
        <v>11000905</v>
      </c>
      <c r="B113" s="5">
        <v>110009</v>
      </c>
      <c r="C113" s="9">
        <v>5</v>
      </c>
      <c r="D113" s="9">
        <v>500000</v>
      </c>
      <c r="E113" s="10">
        <f t="shared" si="75"/>
        <v>500178</v>
      </c>
      <c r="F113" s="10">
        <f t="shared" si="76"/>
        <v>500179</v>
      </c>
      <c r="G113" s="10">
        <f t="shared" si="76"/>
        <v>500180</v>
      </c>
      <c r="H113" s="10">
        <v>4030</v>
      </c>
      <c r="I113" s="10">
        <v>562.5</v>
      </c>
      <c r="J113" s="10">
        <v>375</v>
      </c>
      <c r="K113" s="10">
        <v>387.5</v>
      </c>
      <c r="N113" s="10">
        <v>232.5</v>
      </c>
      <c r="P113" s="10">
        <v>232.5</v>
      </c>
      <c r="R113" s="10">
        <v>0</v>
      </c>
      <c r="S113" s="10">
        <v>0</v>
      </c>
    </row>
    <row r="114" spans="1:19" x14ac:dyDescent="0.15">
      <c r="A114" s="1">
        <v>11000906</v>
      </c>
      <c r="B114" s="5">
        <v>110009</v>
      </c>
      <c r="C114" s="9">
        <v>6</v>
      </c>
      <c r="D114" s="9">
        <v>1000000</v>
      </c>
      <c r="E114" s="10">
        <f t="shared" si="75"/>
        <v>500208</v>
      </c>
      <c r="F114" s="10">
        <f t="shared" si="76"/>
        <v>500209</v>
      </c>
      <c r="G114" s="10">
        <f t="shared" si="76"/>
        <v>500210</v>
      </c>
      <c r="H114" s="10">
        <v>5740</v>
      </c>
      <c r="I114" s="10">
        <v>750</v>
      </c>
      <c r="J114" s="10">
        <v>500</v>
      </c>
      <c r="K114" s="10">
        <v>512.5</v>
      </c>
      <c r="N114" s="10">
        <v>321</v>
      </c>
      <c r="P114" s="10">
        <v>321</v>
      </c>
      <c r="R114" s="10">
        <v>0</v>
      </c>
      <c r="S114" s="10">
        <v>0</v>
      </c>
    </row>
    <row r="115" spans="1:19" s="20" customFormat="1" x14ac:dyDescent="0.15">
      <c r="A115" s="18">
        <v>11000907</v>
      </c>
      <c r="B115" s="19">
        <v>110009</v>
      </c>
      <c r="C115" s="20">
        <v>7</v>
      </c>
      <c r="D115" s="20">
        <v>2000000</v>
      </c>
      <c r="E115" s="10">
        <f t="shared" si="75"/>
        <v>500238</v>
      </c>
      <c r="F115" s="10">
        <f t="shared" si="76"/>
        <v>500239</v>
      </c>
      <c r="G115" s="10">
        <f t="shared" si="76"/>
        <v>500240</v>
      </c>
      <c r="H115" s="20">
        <v>4818</v>
      </c>
      <c r="I115" s="20">
        <v>2190</v>
      </c>
      <c r="J115" s="20">
        <v>1460</v>
      </c>
      <c r="K115" s="20">
        <v>1460</v>
      </c>
      <c r="N115" s="20">
        <v>438</v>
      </c>
      <c r="P115" s="20">
        <v>438</v>
      </c>
      <c r="R115" s="20">
        <v>0</v>
      </c>
      <c r="S115" s="20">
        <v>0</v>
      </c>
    </row>
    <row r="116" spans="1:19" x14ac:dyDescent="0.15">
      <c r="A116" s="1">
        <v>11000908</v>
      </c>
      <c r="B116" s="5">
        <v>110009</v>
      </c>
      <c r="C116" s="9">
        <v>8</v>
      </c>
      <c r="D116" s="9">
        <v>3000000</v>
      </c>
      <c r="E116" s="10">
        <f t="shared" si="75"/>
        <v>500268</v>
      </c>
      <c r="F116" s="10">
        <f t="shared" si="76"/>
        <v>500269</v>
      </c>
      <c r="G116" s="10">
        <f t="shared" si="76"/>
        <v>500270</v>
      </c>
      <c r="H116" s="10">
        <v>6435</v>
      </c>
      <c r="I116" s="10">
        <v>2925</v>
      </c>
      <c r="J116" s="10">
        <v>1950</v>
      </c>
      <c r="K116" s="10">
        <v>1950</v>
      </c>
      <c r="N116" s="10">
        <v>585</v>
      </c>
      <c r="P116" s="10">
        <v>585</v>
      </c>
      <c r="R116" s="10">
        <v>0</v>
      </c>
      <c r="S116" s="10">
        <v>0</v>
      </c>
    </row>
    <row r="117" spans="1:19" x14ac:dyDescent="0.15">
      <c r="A117" s="1">
        <v>11000909</v>
      </c>
      <c r="B117" s="5">
        <v>110009</v>
      </c>
      <c r="C117" s="9">
        <v>9</v>
      </c>
      <c r="D117" s="9">
        <v>4000000</v>
      </c>
      <c r="E117" s="10">
        <f t="shared" si="75"/>
        <v>500298</v>
      </c>
      <c r="F117" s="10">
        <f t="shared" si="76"/>
        <v>500299</v>
      </c>
      <c r="G117" s="10">
        <f t="shared" si="76"/>
        <v>500300</v>
      </c>
      <c r="H117" s="10">
        <v>8530.5</v>
      </c>
      <c r="I117" s="10">
        <v>3877.5</v>
      </c>
      <c r="J117" s="10">
        <v>2585</v>
      </c>
      <c r="K117" s="10">
        <v>2585</v>
      </c>
      <c r="N117" s="10">
        <v>775.5</v>
      </c>
      <c r="P117" s="10">
        <v>775.5</v>
      </c>
      <c r="R117" s="10">
        <v>0</v>
      </c>
      <c r="S117" s="10">
        <v>0</v>
      </c>
    </row>
    <row r="118" spans="1:19" x14ac:dyDescent="0.15">
      <c r="A118" s="1">
        <v>11000910</v>
      </c>
      <c r="B118" s="5">
        <v>110009</v>
      </c>
      <c r="C118" s="9">
        <v>10</v>
      </c>
      <c r="D118" s="9">
        <v>5000000</v>
      </c>
      <c r="E118" s="10">
        <f t="shared" si="75"/>
        <v>500328</v>
      </c>
      <c r="F118" s="10">
        <f t="shared" si="76"/>
        <v>500329</v>
      </c>
      <c r="G118" s="10">
        <f t="shared" si="76"/>
        <v>500330</v>
      </c>
      <c r="H118" s="10">
        <v>11269.5</v>
      </c>
      <c r="I118" s="10">
        <v>5122.5</v>
      </c>
      <c r="J118" s="10">
        <v>3415</v>
      </c>
      <c r="K118" s="10">
        <v>3415</v>
      </c>
      <c r="N118" s="10">
        <v>1024.5</v>
      </c>
      <c r="P118" s="10">
        <v>1024.5</v>
      </c>
      <c r="R118" s="10">
        <v>0</v>
      </c>
      <c r="S118" s="10">
        <v>0</v>
      </c>
    </row>
    <row r="119" spans="1:19" x14ac:dyDescent="0.15">
      <c r="A119" s="1">
        <v>11000911</v>
      </c>
      <c r="B119" s="5">
        <v>110009</v>
      </c>
      <c r="C119" s="9">
        <v>11</v>
      </c>
      <c r="D119" s="9">
        <v>6000000</v>
      </c>
      <c r="E119" s="10">
        <f t="shared" si="75"/>
        <v>500358</v>
      </c>
      <c r="F119" s="10">
        <f t="shared" si="76"/>
        <v>500359</v>
      </c>
      <c r="G119" s="10">
        <f t="shared" si="76"/>
        <v>500360</v>
      </c>
      <c r="H119" s="10">
        <v>14817</v>
      </c>
      <c r="I119" s="10">
        <v>6735</v>
      </c>
      <c r="J119" s="10">
        <v>4490</v>
      </c>
      <c r="K119" s="10">
        <v>4490</v>
      </c>
      <c r="N119" s="10">
        <v>1347</v>
      </c>
      <c r="P119" s="10">
        <v>1347</v>
      </c>
      <c r="R119" s="10">
        <v>0</v>
      </c>
      <c r="S119" s="10">
        <v>0</v>
      </c>
    </row>
    <row r="120" spans="1:19" x14ac:dyDescent="0.15">
      <c r="A120" s="1">
        <v>11000912</v>
      </c>
      <c r="B120" s="5">
        <v>110009</v>
      </c>
      <c r="C120" s="9">
        <v>12</v>
      </c>
      <c r="D120" s="9">
        <v>0</v>
      </c>
      <c r="E120" s="10">
        <f t="shared" si="75"/>
        <v>500388</v>
      </c>
      <c r="F120" s="10">
        <f t="shared" si="76"/>
        <v>500389</v>
      </c>
      <c r="G120" s="10">
        <f t="shared" si="76"/>
        <v>500390</v>
      </c>
      <c r="H120" s="10">
        <v>19486.5</v>
      </c>
      <c r="I120" s="10">
        <v>8857.5</v>
      </c>
      <c r="J120" s="10">
        <v>5905</v>
      </c>
      <c r="K120" s="10">
        <v>5905</v>
      </c>
      <c r="N120" s="10">
        <v>1771.5</v>
      </c>
      <c r="P120" s="10">
        <v>1771.5</v>
      </c>
      <c r="R120" s="10">
        <v>0</v>
      </c>
      <c r="S120" s="10">
        <v>0</v>
      </c>
    </row>
    <row r="121" spans="1:19" x14ac:dyDescent="0.15">
      <c r="A121" s="1">
        <f t="shared" ref="A121:A133" si="77">B121*100+C121</f>
        <v>11001000</v>
      </c>
      <c r="B121" s="5">
        <f t="shared" ref="B121:B132" si="78">B108+1</f>
        <v>110010</v>
      </c>
      <c r="C121" s="9">
        <f t="shared" ref="C121" si="79">C108</f>
        <v>0</v>
      </c>
      <c r="D121" s="7">
        <v>10000</v>
      </c>
      <c r="E121" s="10">
        <v>500013</v>
      </c>
      <c r="F121" s="10">
        <f>SUM(E121+1)</f>
        <v>500014</v>
      </c>
      <c r="G121" s="10">
        <f>SUM(F121+1)</f>
        <v>500015</v>
      </c>
      <c r="H121" s="10">
        <v>0</v>
      </c>
      <c r="I121" s="10">
        <v>0</v>
      </c>
      <c r="J121" s="10">
        <v>0</v>
      </c>
      <c r="K121" s="10">
        <v>0</v>
      </c>
      <c r="L121" s="10">
        <f t="shared" ref="L121:M121" si="80">L108</f>
        <v>0</v>
      </c>
      <c r="M121" s="10">
        <f t="shared" si="80"/>
        <v>0</v>
      </c>
      <c r="N121" s="8">
        <v>0</v>
      </c>
      <c r="O121" s="8"/>
      <c r="P121" s="8">
        <v>0</v>
      </c>
      <c r="Q121" s="10">
        <f t="shared" ref="Q121" si="81">Q108</f>
        <v>0</v>
      </c>
      <c r="R121" s="8">
        <v>0</v>
      </c>
      <c r="S121" s="10">
        <f t="shared" ref="S121" si="82">S108</f>
        <v>0</v>
      </c>
    </row>
    <row r="122" spans="1:19" x14ac:dyDescent="0.15">
      <c r="A122" s="1">
        <f t="shared" si="77"/>
        <v>11001001</v>
      </c>
      <c r="B122" s="5">
        <f t="shared" si="78"/>
        <v>110010</v>
      </c>
      <c r="C122" s="9">
        <f t="shared" ref="C122" si="83">C109</f>
        <v>1</v>
      </c>
      <c r="D122" s="9">
        <v>25000</v>
      </c>
      <c r="E122" s="10">
        <f>SUM(E121+30)</f>
        <v>500043</v>
      </c>
      <c r="F122" s="10">
        <f t="shared" ref="F122:G133" si="84">SUM(E122+1)</f>
        <v>500044</v>
      </c>
      <c r="G122" s="10">
        <f t="shared" si="84"/>
        <v>500045</v>
      </c>
      <c r="H122" s="10">
        <v>630</v>
      </c>
      <c r="I122" s="10">
        <v>56</v>
      </c>
      <c r="J122" s="10">
        <v>56</v>
      </c>
      <c r="K122" s="8">
        <v>63</v>
      </c>
      <c r="L122" s="10">
        <f t="shared" ref="L122:M122" si="85">L109</f>
        <v>0</v>
      </c>
      <c r="M122" s="10">
        <f t="shared" si="85"/>
        <v>0</v>
      </c>
      <c r="N122" s="8">
        <v>28.5</v>
      </c>
      <c r="P122" s="8">
        <v>28.5</v>
      </c>
      <c r="Q122" s="10">
        <f t="shared" ref="Q122" si="86">Q109</f>
        <v>0</v>
      </c>
      <c r="R122" s="8">
        <v>0</v>
      </c>
      <c r="S122" s="10">
        <f t="shared" ref="S122" si="87">S109</f>
        <v>0</v>
      </c>
    </row>
    <row r="123" spans="1:19" x14ac:dyDescent="0.15">
      <c r="A123" s="1">
        <f t="shared" si="77"/>
        <v>11001002</v>
      </c>
      <c r="B123" s="5">
        <f t="shared" si="78"/>
        <v>110010</v>
      </c>
      <c r="C123" s="9">
        <f t="shared" ref="C123" si="88">C110</f>
        <v>2</v>
      </c>
      <c r="D123" s="7">
        <v>50000</v>
      </c>
      <c r="E123" s="10">
        <f t="shared" ref="E123:E133" si="89">SUM(E122+30)</f>
        <v>500073</v>
      </c>
      <c r="F123" s="10">
        <f t="shared" si="84"/>
        <v>500074</v>
      </c>
      <c r="G123" s="10">
        <f t="shared" si="84"/>
        <v>500075</v>
      </c>
      <c r="H123" s="10">
        <v>1325</v>
      </c>
      <c r="I123" s="10">
        <v>120</v>
      </c>
      <c r="J123" s="10">
        <v>120</v>
      </c>
      <c r="K123" s="10">
        <v>132.5</v>
      </c>
      <c r="L123" s="10">
        <f t="shared" ref="L123:M123" si="90">L110</f>
        <v>0</v>
      </c>
      <c r="M123" s="10">
        <f t="shared" si="90"/>
        <v>0</v>
      </c>
      <c r="N123" s="10">
        <v>57</v>
      </c>
      <c r="P123" s="10">
        <v>57</v>
      </c>
      <c r="Q123" s="10">
        <f t="shared" ref="Q123" si="91">Q110</f>
        <v>0</v>
      </c>
      <c r="R123" s="8">
        <v>0</v>
      </c>
      <c r="S123" s="10">
        <f t="shared" ref="S123" si="92">S110</f>
        <v>0</v>
      </c>
    </row>
    <row r="124" spans="1:19" x14ac:dyDescent="0.15">
      <c r="A124" s="1">
        <f t="shared" si="77"/>
        <v>11001003</v>
      </c>
      <c r="B124" s="5">
        <f t="shared" si="78"/>
        <v>110010</v>
      </c>
      <c r="C124" s="9">
        <f t="shared" ref="C124" si="93">C111</f>
        <v>3</v>
      </c>
      <c r="D124" s="7">
        <v>100000</v>
      </c>
      <c r="E124" s="10">
        <f t="shared" si="89"/>
        <v>500103</v>
      </c>
      <c r="F124" s="10">
        <f t="shared" si="84"/>
        <v>500104</v>
      </c>
      <c r="G124" s="10">
        <f t="shared" si="84"/>
        <v>500105</v>
      </c>
      <c r="H124" s="10">
        <v>2200</v>
      </c>
      <c r="I124" s="10">
        <v>187.5</v>
      </c>
      <c r="J124" s="10">
        <v>187.5</v>
      </c>
      <c r="K124" s="10">
        <v>200</v>
      </c>
      <c r="L124" s="10">
        <f t="shared" ref="L124:M124" si="94">L111</f>
        <v>0</v>
      </c>
      <c r="M124" s="10">
        <f t="shared" si="94"/>
        <v>0</v>
      </c>
      <c r="N124" s="10">
        <v>100.5</v>
      </c>
      <c r="P124" s="10">
        <v>100.5</v>
      </c>
      <c r="Q124" s="10">
        <f t="shared" ref="Q124" si="95">Q111</f>
        <v>0</v>
      </c>
      <c r="R124" s="8">
        <v>0</v>
      </c>
      <c r="S124" s="10">
        <f t="shared" ref="S124" si="96">S111</f>
        <v>0</v>
      </c>
    </row>
    <row r="125" spans="1:19" x14ac:dyDescent="0.15">
      <c r="A125" s="1">
        <f t="shared" si="77"/>
        <v>11001004</v>
      </c>
      <c r="B125" s="5">
        <f t="shared" si="78"/>
        <v>110010</v>
      </c>
      <c r="C125" s="9">
        <f t="shared" ref="C125" si="97">C112</f>
        <v>4</v>
      </c>
      <c r="D125" s="9">
        <v>200000</v>
      </c>
      <c r="E125" s="10">
        <f t="shared" si="89"/>
        <v>500133</v>
      </c>
      <c r="F125" s="10">
        <f t="shared" si="84"/>
        <v>500134</v>
      </c>
      <c r="G125" s="10">
        <f t="shared" si="84"/>
        <v>500135</v>
      </c>
      <c r="H125" s="10">
        <v>3330</v>
      </c>
      <c r="I125" s="10">
        <v>265</v>
      </c>
      <c r="J125" s="10">
        <v>265</v>
      </c>
      <c r="K125" s="10">
        <v>277.5</v>
      </c>
      <c r="L125" s="10">
        <f t="shared" ref="L125:M125" si="98">L112</f>
        <v>0</v>
      </c>
      <c r="M125" s="10">
        <f t="shared" si="98"/>
        <v>0</v>
      </c>
      <c r="N125" s="10">
        <v>159</v>
      </c>
      <c r="P125" s="10">
        <v>159</v>
      </c>
      <c r="Q125" s="10">
        <f t="shared" ref="Q125" si="99">Q112</f>
        <v>0</v>
      </c>
      <c r="R125" s="8">
        <v>0</v>
      </c>
      <c r="S125" s="10">
        <f t="shared" ref="S125" si="100">S112</f>
        <v>0</v>
      </c>
    </row>
    <row r="126" spans="1:19" x14ac:dyDescent="0.15">
      <c r="A126" s="1">
        <f t="shared" si="77"/>
        <v>11001005</v>
      </c>
      <c r="B126" s="5">
        <f t="shared" si="78"/>
        <v>110010</v>
      </c>
      <c r="C126" s="9">
        <f t="shared" ref="C126" si="101">C113</f>
        <v>5</v>
      </c>
      <c r="D126" s="7">
        <v>500000</v>
      </c>
      <c r="E126" s="10">
        <f t="shared" si="89"/>
        <v>500163</v>
      </c>
      <c r="F126" s="10">
        <f t="shared" si="84"/>
        <v>500164</v>
      </c>
      <c r="G126" s="10">
        <f t="shared" si="84"/>
        <v>500165</v>
      </c>
      <c r="H126" s="10">
        <v>5037.5</v>
      </c>
      <c r="I126" s="10">
        <v>375</v>
      </c>
      <c r="J126" s="10">
        <v>375</v>
      </c>
      <c r="K126" s="10">
        <v>387.5</v>
      </c>
      <c r="L126" s="10">
        <f t="shared" ref="L126:M126" si="102">L113</f>
        <v>0</v>
      </c>
      <c r="M126" s="10">
        <f t="shared" si="102"/>
        <v>0</v>
      </c>
      <c r="N126" s="10">
        <v>232.5</v>
      </c>
      <c r="P126" s="10">
        <v>232.5</v>
      </c>
      <c r="Q126" s="10">
        <f t="shared" ref="Q126" si="103">Q113</f>
        <v>0</v>
      </c>
      <c r="R126" s="8">
        <v>0</v>
      </c>
      <c r="S126" s="10">
        <f t="shared" ref="S126" si="104">S113</f>
        <v>0</v>
      </c>
    </row>
    <row r="127" spans="1:19" x14ac:dyDescent="0.15">
      <c r="A127" s="1">
        <f t="shared" si="77"/>
        <v>11001006</v>
      </c>
      <c r="B127" s="5">
        <f t="shared" si="78"/>
        <v>110010</v>
      </c>
      <c r="C127" s="9">
        <f t="shared" ref="C127" si="105">C114</f>
        <v>6</v>
      </c>
      <c r="D127" s="7">
        <v>1000000</v>
      </c>
      <c r="E127" s="10">
        <f t="shared" si="89"/>
        <v>500193</v>
      </c>
      <c r="F127" s="10">
        <f t="shared" si="84"/>
        <v>500194</v>
      </c>
      <c r="G127" s="10">
        <f t="shared" si="84"/>
        <v>500195</v>
      </c>
      <c r="H127" s="10">
        <v>7175</v>
      </c>
      <c r="I127" s="10">
        <v>500</v>
      </c>
      <c r="J127" s="10">
        <v>500</v>
      </c>
      <c r="K127" s="10">
        <v>512.5</v>
      </c>
      <c r="L127" s="10">
        <f t="shared" ref="L127:M127" si="106">L114</f>
        <v>0</v>
      </c>
      <c r="M127" s="10">
        <f t="shared" si="106"/>
        <v>0</v>
      </c>
      <c r="N127" s="10">
        <v>321</v>
      </c>
      <c r="P127" s="10">
        <v>321</v>
      </c>
      <c r="Q127" s="10">
        <f t="shared" ref="Q127" si="107">Q114</f>
        <v>0</v>
      </c>
      <c r="R127" s="8">
        <v>0</v>
      </c>
      <c r="S127" s="10">
        <f t="shared" ref="S127" si="108">S114</f>
        <v>0</v>
      </c>
    </row>
    <row r="128" spans="1:19" s="20" customFormat="1" x14ac:dyDescent="0.15">
      <c r="A128" s="18">
        <f t="shared" si="77"/>
        <v>11001007</v>
      </c>
      <c r="B128" s="19">
        <f t="shared" si="78"/>
        <v>110010</v>
      </c>
      <c r="C128" s="20">
        <f t="shared" ref="C128" si="109">C115</f>
        <v>7</v>
      </c>
      <c r="D128" s="20">
        <v>2000000</v>
      </c>
      <c r="E128" s="10">
        <f t="shared" si="89"/>
        <v>500223</v>
      </c>
      <c r="F128" s="10">
        <f t="shared" si="84"/>
        <v>500224</v>
      </c>
      <c r="G128" s="10">
        <f t="shared" si="84"/>
        <v>500225</v>
      </c>
      <c r="H128" s="20">
        <v>7300</v>
      </c>
      <c r="I128" s="20">
        <v>1460</v>
      </c>
      <c r="J128" s="20">
        <v>1460</v>
      </c>
      <c r="K128" s="20">
        <v>1460</v>
      </c>
      <c r="L128" s="20">
        <f t="shared" ref="L128:M128" si="110">L115</f>
        <v>0</v>
      </c>
      <c r="M128" s="20">
        <f t="shared" si="110"/>
        <v>0</v>
      </c>
      <c r="N128" s="20">
        <v>438</v>
      </c>
      <c r="P128" s="20">
        <v>438</v>
      </c>
      <c r="Q128" s="20">
        <f t="shared" ref="Q128" si="111">Q115</f>
        <v>0</v>
      </c>
      <c r="R128" s="21">
        <v>0</v>
      </c>
      <c r="S128" s="20">
        <f t="shared" ref="S128" si="112">S115</f>
        <v>0</v>
      </c>
    </row>
    <row r="129" spans="1:19" x14ac:dyDescent="0.15">
      <c r="A129" s="1">
        <f t="shared" si="77"/>
        <v>11001008</v>
      </c>
      <c r="B129" s="5">
        <f t="shared" si="78"/>
        <v>110010</v>
      </c>
      <c r="C129" s="9">
        <f t="shared" ref="C129" si="113">C116</f>
        <v>8</v>
      </c>
      <c r="D129" s="7">
        <v>3000000</v>
      </c>
      <c r="E129" s="10">
        <f t="shared" si="89"/>
        <v>500253</v>
      </c>
      <c r="F129" s="10">
        <f t="shared" si="84"/>
        <v>500254</v>
      </c>
      <c r="G129" s="10">
        <f t="shared" si="84"/>
        <v>500255</v>
      </c>
      <c r="H129" s="10">
        <v>9750</v>
      </c>
      <c r="I129" s="10">
        <v>1950</v>
      </c>
      <c r="J129" s="10">
        <v>1950</v>
      </c>
      <c r="K129" s="10">
        <v>1950</v>
      </c>
      <c r="L129" s="10">
        <f t="shared" ref="L129:M129" si="114">L116</f>
        <v>0</v>
      </c>
      <c r="M129" s="10">
        <f t="shared" si="114"/>
        <v>0</v>
      </c>
      <c r="N129" s="10">
        <v>585</v>
      </c>
      <c r="P129" s="10">
        <v>585</v>
      </c>
      <c r="Q129" s="10">
        <f t="shared" ref="Q129" si="115">Q116</f>
        <v>0</v>
      </c>
      <c r="R129" s="8">
        <v>0</v>
      </c>
      <c r="S129" s="10">
        <f t="shared" ref="S129" si="116">S116</f>
        <v>0</v>
      </c>
    </row>
    <row r="130" spans="1:19" x14ac:dyDescent="0.15">
      <c r="A130" s="1">
        <f t="shared" si="77"/>
        <v>11001009</v>
      </c>
      <c r="B130" s="5">
        <f t="shared" si="78"/>
        <v>110010</v>
      </c>
      <c r="C130" s="9">
        <f t="shared" ref="C130" si="117">C117</f>
        <v>9</v>
      </c>
      <c r="D130" s="9">
        <v>4000000</v>
      </c>
      <c r="E130" s="10">
        <f t="shared" si="89"/>
        <v>500283</v>
      </c>
      <c r="F130" s="10">
        <f t="shared" si="84"/>
        <v>500284</v>
      </c>
      <c r="G130" s="10">
        <f t="shared" si="84"/>
        <v>500285</v>
      </c>
      <c r="H130" s="10">
        <v>12925</v>
      </c>
      <c r="I130" s="10">
        <v>2585</v>
      </c>
      <c r="J130" s="10">
        <v>2585</v>
      </c>
      <c r="K130" s="10">
        <v>2585</v>
      </c>
      <c r="L130" s="10">
        <f t="shared" ref="L130:M130" si="118">L117</f>
        <v>0</v>
      </c>
      <c r="M130" s="10">
        <f t="shared" si="118"/>
        <v>0</v>
      </c>
      <c r="N130" s="10">
        <v>775.5</v>
      </c>
      <c r="P130" s="10">
        <v>775.5</v>
      </c>
      <c r="Q130" s="10">
        <f t="shared" ref="Q130" si="119">Q117</f>
        <v>0</v>
      </c>
      <c r="R130" s="8">
        <v>0</v>
      </c>
      <c r="S130" s="10">
        <f t="shared" ref="S130" si="120">S117</f>
        <v>0</v>
      </c>
    </row>
    <row r="131" spans="1:19" x14ac:dyDescent="0.15">
      <c r="A131" s="1">
        <f t="shared" si="77"/>
        <v>11001010</v>
      </c>
      <c r="B131" s="5">
        <f t="shared" si="78"/>
        <v>110010</v>
      </c>
      <c r="C131" s="9">
        <f t="shared" ref="C131" si="121">C118</f>
        <v>10</v>
      </c>
      <c r="D131" s="7">
        <v>5000000</v>
      </c>
      <c r="E131" s="10">
        <f t="shared" si="89"/>
        <v>500313</v>
      </c>
      <c r="F131" s="10">
        <f t="shared" si="84"/>
        <v>500314</v>
      </c>
      <c r="G131" s="10">
        <f t="shared" si="84"/>
        <v>500315</v>
      </c>
      <c r="H131" s="10">
        <v>17075</v>
      </c>
      <c r="I131" s="10">
        <v>3415</v>
      </c>
      <c r="J131" s="10">
        <v>3415</v>
      </c>
      <c r="K131" s="10">
        <v>3415</v>
      </c>
      <c r="L131" s="10">
        <f t="shared" ref="L131:M131" si="122">L118</f>
        <v>0</v>
      </c>
      <c r="M131" s="10">
        <f t="shared" si="122"/>
        <v>0</v>
      </c>
      <c r="N131" s="10">
        <v>1024.5</v>
      </c>
      <c r="P131" s="10">
        <v>1024.5</v>
      </c>
      <c r="Q131" s="10">
        <f t="shared" ref="Q131" si="123">Q118</f>
        <v>0</v>
      </c>
      <c r="R131" s="8">
        <v>0</v>
      </c>
      <c r="S131" s="10">
        <f t="shared" ref="S131" si="124">S118</f>
        <v>0</v>
      </c>
    </row>
    <row r="132" spans="1:19" x14ac:dyDescent="0.15">
      <c r="A132" s="1">
        <f t="shared" si="77"/>
        <v>11001011</v>
      </c>
      <c r="B132" s="5">
        <f t="shared" si="78"/>
        <v>110010</v>
      </c>
      <c r="C132" s="9">
        <f t="shared" ref="C132" si="125">C119</f>
        <v>11</v>
      </c>
      <c r="D132" s="9">
        <v>6000000</v>
      </c>
      <c r="E132" s="10">
        <f t="shared" si="89"/>
        <v>500343</v>
      </c>
      <c r="F132" s="10">
        <f t="shared" si="84"/>
        <v>500344</v>
      </c>
      <c r="G132" s="10">
        <f t="shared" si="84"/>
        <v>500345</v>
      </c>
      <c r="H132" s="10">
        <v>22450</v>
      </c>
      <c r="I132" s="10">
        <v>4490</v>
      </c>
      <c r="J132" s="10">
        <v>4490</v>
      </c>
      <c r="K132" s="10">
        <v>4490</v>
      </c>
      <c r="L132" s="10">
        <f t="shared" ref="L132:M132" si="126">L119</f>
        <v>0</v>
      </c>
      <c r="M132" s="10">
        <f t="shared" si="126"/>
        <v>0</v>
      </c>
      <c r="N132" s="10">
        <v>1347</v>
      </c>
      <c r="P132" s="10">
        <v>1347</v>
      </c>
      <c r="Q132" s="10">
        <f t="shared" ref="Q132" si="127">Q119</f>
        <v>0</v>
      </c>
      <c r="R132" s="8">
        <v>0</v>
      </c>
      <c r="S132" s="10">
        <f t="shared" ref="S132" si="128">S119</f>
        <v>0</v>
      </c>
    </row>
    <row r="133" spans="1:19" x14ac:dyDescent="0.15">
      <c r="A133" s="1">
        <f t="shared" si="77"/>
        <v>11001012</v>
      </c>
      <c r="B133" s="5">
        <v>110010</v>
      </c>
      <c r="C133" s="9">
        <v>12</v>
      </c>
      <c r="D133" s="7">
        <v>0</v>
      </c>
      <c r="E133" s="10">
        <f t="shared" si="89"/>
        <v>500373</v>
      </c>
      <c r="F133" s="10">
        <f t="shared" si="84"/>
        <v>500374</v>
      </c>
      <c r="G133" s="10">
        <f t="shared" si="84"/>
        <v>500375</v>
      </c>
      <c r="H133" s="10">
        <v>29525</v>
      </c>
      <c r="I133" s="10">
        <v>5905</v>
      </c>
      <c r="J133" s="10">
        <v>5905</v>
      </c>
      <c r="K133" s="10">
        <v>5905</v>
      </c>
      <c r="L133" s="10">
        <v>0</v>
      </c>
      <c r="M133" s="10">
        <v>0</v>
      </c>
      <c r="N133" s="10">
        <v>1771.5</v>
      </c>
      <c r="P133" s="10">
        <v>1771.5</v>
      </c>
      <c r="Q133" s="10">
        <v>0</v>
      </c>
      <c r="R133" s="8">
        <v>0</v>
      </c>
      <c r="S133" s="10">
        <v>0</v>
      </c>
    </row>
    <row r="134" spans="1:19" x14ac:dyDescent="0.15">
      <c r="A134" s="1"/>
      <c r="B134" s="5"/>
    </row>
    <row r="135" spans="1:19" x14ac:dyDescent="0.15">
      <c r="A135" s="1"/>
      <c r="B135" s="5"/>
    </row>
    <row r="136" spans="1:19" x14ac:dyDescent="0.15">
      <c r="A136" s="1"/>
      <c r="B136" s="5"/>
    </row>
    <row r="137" spans="1:19" x14ac:dyDescent="0.15">
      <c r="A137" s="1"/>
      <c r="B137" s="5"/>
    </row>
    <row r="138" spans="1:19" x14ac:dyDescent="0.15">
      <c r="A138" s="1"/>
      <c r="B138" s="5"/>
    </row>
    <row r="139" spans="1:19" x14ac:dyDescent="0.15">
      <c r="A139" s="1"/>
      <c r="B139" s="5"/>
    </row>
    <row r="140" spans="1:19" x14ac:dyDescent="0.15">
      <c r="A140" s="1"/>
      <c r="B140" s="5"/>
    </row>
    <row r="141" spans="1:19" x14ac:dyDescent="0.15">
      <c r="A141" s="1"/>
      <c r="B141" s="5"/>
    </row>
    <row r="142" spans="1:19" x14ac:dyDescent="0.15">
      <c r="A142" s="1"/>
      <c r="B142" s="5"/>
    </row>
    <row r="143" spans="1:19" x14ac:dyDescent="0.15">
      <c r="A143" s="1"/>
      <c r="B143" s="5"/>
    </row>
    <row r="144" spans="1:19" x14ac:dyDescent="0.15">
      <c r="A144" s="1"/>
      <c r="B144" s="5"/>
    </row>
    <row r="145" spans="1:2" x14ac:dyDescent="0.15">
      <c r="A145" s="1"/>
      <c r="B145" s="5"/>
    </row>
    <row r="146" spans="1:2" x14ac:dyDescent="0.15">
      <c r="A146" s="1"/>
      <c r="B146" s="5"/>
    </row>
    <row r="147" spans="1:2" x14ac:dyDescent="0.15">
      <c r="A147" s="1"/>
      <c r="B147" s="5"/>
    </row>
    <row r="148" spans="1:2" x14ac:dyDescent="0.15">
      <c r="A148" s="1"/>
      <c r="B148" s="5"/>
    </row>
    <row r="149" spans="1:2" x14ac:dyDescent="0.15">
      <c r="A149" s="1"/>
      <c r="B149" s="5"/>
    </row>
    <row r="150" spans="1:2" x14ac:dyDescent="0.15">
      <c r="A150" s="1"/>
      <c r="B150" s="5"/>
    </row>
    <row r="151" spans="1:2" x14ac:dyDescent="0.15">
      <c r="A151" s="1"/>
      <c r="B151" s="5"/>
    </row>
    <row r="152" spans="1:2" x14ac:dyDescent="0.15">
      <c r="A152" s="1"/>
      <c r="B152" s="5"/>
    </row>
    <row r="153" spans="1:2" x14ac:dyDescent="0.15">
      <c r="A153" s="1"/>
      <c r="B153" s="5"/>
    </row>
    <row r="154" spans="1:2" x14ac:dyDescent="0.15">
      <c r="A154" s="1"/>
      <c r="B154" s="5"/>
    </row>
    <row r="155" spans="1:2" x14ac:dyDescent="0.15">
      <c r="A155" s="1"/>
      <c r="B155" s="5"/>
    </row>
    <row r="156" spans="1:2" x14ac:dyDescent="0.15">
      <c r="A156" s="1"/>
      <c r="B156" s="5"/>
    </row>
    <row r="157" spans="1:2" x14ac:dyDescent="0.15">
      <c r="A157" s="1"/>
      <c r="B157" s="5"/>
    </row>
    <row r="158" spans="1:2" x14ac:dyDescent="0.15">
      <c r="A158" s="1"/>
      <c r="B158" s="5"/>
    </row>
    <row r="159" spans="1:2" x14ac:dyDescent="0.15">
      <c r="A159" s="1"/>
      <c r="B159" s="5"/>
    </row>
    <row r="160" spans="1:2" x14ac:dyDescent="0.15">
      <c r="A160" s="1"/>
    </row>
    <row r="161" spans="1:1" x14ac:dyDescent="0.15">
      <c r="A161" s="1"/>
    </row>
    <row r="162" spans="1:1" x14ac:dyDescent="0.15">
      <c r="A162" s="1"/>
    </row>
    <row r="163" spans="1:1" x14ac:dyDescent="0.15">
      <c r="A163" s="1"/>
    </row>
    <row r="164" spans="1:1" x14ac:dyDescent="0.15">
      <c r="A164" s="1"/>
    </row>
    <row r="165" spans="1:1" x14ac:dyDescent="0.15">
      <c r="A165" s="1"/>
    </row>
    <row r="166" spans="1:1" x14ac:dyDescent="0.15">
      <c r="A166" s="1"/>
    </row>
    <row r="167" spans="1:1" x14ac:dyDescent="0.15">
      <c r="A167" s="1"/>
    </row>
    <row r="168" spans="1:1" x14ac:dyDescent="0.15">
      <c r="A168" s="1"/>
    </row>
    <row r="169" spans="1:1" x14ac:dyDescent="0.15">
      <c r="A169" s="1"/>
    </row>
    <row r="170" spans="1:1" x14ac:dyDescent="0.15">
      <c r="A170" s="1"/>
    </row>
    <row r="171" spans="1:1" x14ac:dyDescent="0.15">
      <c r="A171" s="1"/>
    </row>
    <row r="172" spans="1:1" x14ac:dyDescent="0.15">
      <c r="A172" s="1"/>
    </row>
    <row r="173" spans="1:1" x14ac:dyDescent="0.15">
      <c r="A173" s="1"/>
    </row>
    <row r="174" spans="1:1" x14ac:dyDescent="0.15">
      <c r="A174" s="1"/>
    </row>
    <row r="175" spans="1:1" x14ac:dyDescent="0.15">
      <c r="A175" s="1"/>
    </row>
    <row r="176" spans="1:1" x14ac:dyDescent="0.15">
      <c r="A176" s="1"/>
    </row>
    <row r="177" spans="1:1" x14ac:dyDescent="0.15">
      <c r="A177" s="1"/>
    </row>
    <row r="178" spans="1:1" x14ac:dyDescent="0.15">
      <c r="A178" s="1"/>
    </row>
    <row r="179" spans="1:1" x14ac:dyDescent="0.15">
      <c r="A179" s="1"/>
    </row>
    <row r="180" spans="1:1" x14ac:dyDescent="0.15">
      <c r="A180" s="1"/>
    </row>
    <row r="181" spans="1:1" x14ac:dyDescent="0.15">
      <c r="A181" s="1"/>
    </row>
    <row r="182" spans="1:1" x14ac:dyDescent="0.15">
      <c r="A182" s="1"/>
    </row>
    <row r="183" spans="1:1" x14ac:dyDescent="0.15">
      <c r="A183" s="1"/>
    </row>
    <row r="184" spans="1:1" x14ac:dyDescent="0.15">
      <c r="A184" s="1"/>
    </row>
    <row r="185" spans="1:1" x14ac:dyDescent="0.15">
      <c r="A185" s="1"/>
    </row>
    <row r="186" spans="1:1" x14ac:dyDescent="0.15">
      <c r="A186" s="1"/>
    </row>
    <row r="187" spans="1:1" x14ac:dyDescent="0.15">
      <c r="A187" s="1"/>
    </row>
    <row r="188" spans="1:1" x14ac:dyDescent="0.15">
      <c r="A188" s="1"/>
    </row>
    <row r="189" spans="1:1" x14ac:dyDescent="0.15">
      <c r="A189" s="1"/>
    </row>
    <row r="190" spans="1:1" x14ac:dyDescent="0.15">
      <c r="A190" s="1"/>
    </row>
    <row r="191" spans="1:1" x14ac:dyDescent="0.15">
      <c r="A191" s="1"/>
    </row>
    <row r="192" spans="1:1" x14ac:dyDescent="0.15">
      <c r="A192" s="1"/>
    </row>
    <row r="193" spans="1:1" x14ac:dyDescent="0.15">
      <c r="A193" s="1"/>
    </row>
    <row r="194" spans="1:1" x14ac:dyDescent="0.15">
      <c r="A194" s="1"/>
    </row>
    <row r="195" spans="1:1" x14ac:dyDescent="0.15">
      <c r="A195" s="1"/>
    </row>
    <row r="196" spans="1:1" x14ac:dyDescent="0.15">
      <c r="A196" s="1"/>
    </row>
    <row r="197" spans="1:1" x14ac:dyDescent="0.15">
      <c r="A197" s="1"/>
    </row>
    <row r="198" spans="1:1" x14ac:dyDescent="0.15">
      <c r="A198" s="1"/>
    </row>
    <row r="199" spans="1:1" x14ac:dyDescent="0.15">
      <c r="A199" s="1"/>
    </row>
    <row r="200" spans="1:1" x14ac:dyDescent="0.15">
      <c r="A200" s="1"/>
    </row>
    <row r="201" spans="1:1" x14ac:dyDescent="0.15">
      <c r="A201" s="1"/>
    </row>
    <row r="202" spans="1:1" x14ac:dyDescent="0.15">
      <c r="A202" s="1"/>
    </row>
    <row r="203" spans="1:1" x14ac:dyDescent="0.15">
      <c r="A203" s="1"/>
    </row>
    <row r="204" spans="1:1" x14ac:dyDescent="0.15">
      <c r="A204" s="1"/>
    </row>
    <row r="205" spans="1:1" x14ac:dyDescent="0.15">
      <c r="A205" s="1"/>
    </row>
    <row r="206" spans="1:1" x14ac:dyDescent="0.15">
      <c r="A206" s="1"/>
    </row>
    <row r="207" spans="1:1" x14ac:dyDescent="0.15">
      <c r="A207" s="1"/>
    </row>
    <row r="208" spans="1:1" x14ac:dyDescent="0.15">
      <c r="A208" s="1"/>
    </row>
    <row r="209" spans="1:1" x14ac:dyDescent="0.15">
      <c r="A209" s="1"/>
    </row>
    <row r="210" spans="1:1" x14ac:dyDescent="0.15">
      <c r="A210" s="1"/>
    </row>
    <row r="211" spans="1:1" x14ac:dyDescent="0.15">
      <c r="A211" s="1"/>
    </row>
    <row r="212" spans="1:1" x14ac:dyDescent="0.15">
      <c r="A212" s="1"/>
    </row>
    <row r="213" spans="1:1" x14ac:dyDescent="0.15">
      <c r="A213" s="1"/>
    </row>
    <row r="214" spans="1:1" x14ac:dyDescent="0.15">
      <c r="A214" s="1"/>
    </row>
    <row r="215" spans="1:1" x14ac:dyDescent="0.15">
      <c r="A215" s="1"/>
    </row>
    <row r="216" spans="1:1" x14ac:dyDescent="0.15">
      <c r="A216" s="1"/>
    </row>
    <row r="217" spans="1:1" x14ac:dyDescent="0.15">
      <c r="A217" s="1"/>
    </row>
    <row r="218" spans="1:1" x14ac:dyDescent="0.15">
      <c r="A21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2013-04-09T09:35:21Z</dcterms:created>
  <dcterms:modified xsi:type="dcterms:W3CDTF">2016-10-08T06:34:01Z</dcterms:modified>
</cp:coreProperties>
</file>