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4050" yWindow="585" windowWidth="15630" windowHeight="1209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5" i="2" l="1"/>
  <c r="F5" i="2"/>
  <c r="G5" i="2"/>
  <c r="H5" i="2"/>
  <c r="E6" i="2"/>
  <c r="F6" i="2"/>
  <c r="G6" i="2"/>
  <c r="H6" i="2"/>
  <c r="E7" i="2"/>
  <c r="F7" i="2"/>
  <c r="G7" i="2"/>
  <c r="H7" i="2"/>
  <c r="E8" i="2"/>
  <c r="F8" i="2"/>
  <c r="G8" i="2"/>
  <c r="H8" i="2"/>
  <c r="E9" i="2"/>
  <c r="F9" i="2"/>
  <c r="G9" i="2"/>
  <c r="H9" i="2"/>
  <c r="E10" i="2"/>
  <c r="F10" i="2"/>
  <c r="G10" i="2"/>
  <c r="H10" i="2"/>
  <c r="E11" i="2"/>
  <c r="F11" i="2"/>
  <c r="G11" i="2"/>
  <c r="H11" i="2"/>
  <c r="E12" i="2"/>
  <c r="F12" i="2"/>
  <c r="G12" i="2"/>
  <c r="H12" i="2"/>
  <c r="E13" i="2"/>
  <c r="F13" i="2"/>
  <c r="G13" i="2"/>
  <c r="H13" i="2"/>
  <c r="H4" i="2"/>
  <c r="G4" i="2"/>
  <c r="F4" i="2"/>
  <c r="E4" i="2"/>
  <c r="R127" i="2" l="1"/>
  <c r="R128" i="2" s="1"/>
  <c r="R129" i="2" s="1"/>
  <c r="R130" i="2" s="1"/>
  <c r="R131" i="2" s="1"/>
  <c r="R132" i="2" s="1"/>
  <c r="R133" i="2" s="1"/>
  <c r="R134" i="2" s="1"/>
  <c r="R135" i="2" s="1"/>
  <c r="R136" i="2" s="1"/>
  <c r="R137" i="2" s="1"/>
  <c r="R138" i="2" s="1"/>
  <c r="R139" i="2" s="1"/>
  <c r="R140" i="2" s="1"/>
  <c r="R141" i="2" s="1"/>
  <c r="R142" i="2" s="1"/>
  <c r="R143" i="2" s="1"/>
  <c r="R144" i="2" s="1"/>
  <c r="R145" i="2" s="1"/>
  <c r="R146" i="2" s="1"/>
  <c r="R147" i="2" s="1"/>
  <c r="R148" i="2" s="1"/>
  <c r="R149" i="2" s="1"/>
  <c r="R150" i="2" s="1"/>
  <c r="R151" i="2" s="1"/>
  <c r="R152" i="2" s="1"/>
  <c r="R153" i="2" s="1"/>
  <c r="R154" i="2" s="1"/>
  <c r="R155" i="2" s="1"/>
  <c r="R156" i="2" s="1"/>
  <c r="R157" i="2" s="1"/>
  <c r="R158" i="2" s="1"/>
  <c r="R159" i="2" s="1"/>
  <c r="R160" i="2" s="1"/>
  <c r="R161" i="2" s="1"/>
  <c r="R162" i="2" s="1"/>
  <c r="R163" i="2" s="1"/>
  <c r="R164" i="2" s="1"/>
  <c r="R165" i="2" s="1"/>
  <c r="R166" i="2" s="1"/>
  <c r="R167" i="2" s="1"/>
  <c r="R168" i="2" s="1"/>
  <c r="R169" i="2" s="1"/>
  <c r="R170" i="2" s="1"/>
  <c r="R171" i="2" s="1"/>
  <c r="R172" i="2" s="1"/>
  <c r="R173" i="2" s="1"/>
  <c r="R174" i="2" s="1"/>
  <c r="R175" i="2" s="1"/>
  <c r="R176" i="2" s="1"/>
  <c r="R177" i="2" s="1"/>
  <c r="R178" i="2" s="1"/>
  <c r="R179" i="2" s="1"/>
  <c r="R180" i="2" s="1"/>
  <c r="R181" i="2" s="1"/>
  <c r="R182" i="2" s="1"/>
  <c r="R183" i="2" s="1"/>
  <c r="R184" i="2" s="1"/>
  <c r="R185" i="2" s="1"/>
  <c r="R186" i="2" s="1"/>
  <c r="R187" i="2" s="1"/>
  <c r="R188" i="2" s="1"/>
  <c r="R189" i="2" s="1"/>
  <c r="R190" i="2" s="1"/>
  <c r="R191" i="2" s="1"/>
  <c r="R192" i="2" s="1"/>
  <c r="R193" i="2" s="1"/>
  <c r="R194" i="2" s="1"/>
  <c r="R195" i="2" s="1"/>
  <c r="R196" i="2" s="1"/>
  <c r="R197" i="2" s="1"/>
  <c r="R198" i="2" s="1"/>
  <c r="R199" i="2" s="1"/>
  <c r="R200" i="2" s="1"/>
  <c r="R201" i="2" s="1"/>
  <c r="R202" i="2" s="1"/>
  <c r="R203" i="2" s="1"/>
  <c r="R204" i="2" s="1"/>
  <c r="R205" i="2" s="1"/>
  <c r="R206" i="2" s="1"/>
  <c r="R207" i="2" s="1"/>
  <c r="R208" i="2" s="1"/>
  <c r="R209" i="2" s="1"/>
  <c r="R210" i="2" s="1"/>
  <c r="R211" i="2" s="1"/>
  <c r="R212" i="2" s="1"/>
  <c r="R213" i="2" s="1"/>
  <c r="R214" i="2" s="1"/>
  <c r="R215" i="2" s="1"/>
  <c r="R216" i="2" s="1"/>
  <c r="R217" i="2" s="1"/>
  <c r="R218" i="2" s="1"/>
  <c r="R219" i="2" s="1"/>
  <c r="R220" i="2" s="1"/>
  <c r="R221" i="2" s="1"/>
  <c r="R222" i="2" s="1"/>
  <c r="R223" i="2" s="1"/>
  <c r="R224" i="2" s="1"/>
  <c r="R225" i="2" s="1"/>
  <c r="R226" i="2" s="1"/>
  <c r="R227" i="2" s="1"/>
  <c r="R228" i="2" s="1"/>
  <c r="R229" i="2" s="1"/>
  <c r="R230" i="2" s="1"/>
  <c r="R231" i="2" s="1"/>
  <c r="R232" i="2" s="1"/>
  <c r="R233" i="2" s="1"/>
  <c r="R234" i="2" s="1"/>
  <c r="R235" i="2" s="1"/>
  <c r="R236" i="2" s="1"/>
  <c r="R237" i="2" s="1"/>
  <c r="R238" i="2" s="1"/>
  <c r="R239" i="2" s="1"/>
  <c r="R240" i="2" s="1"/>
  <c r="R241" i="2" s="1"/>
  <c r="R242" i="2" s="1"/>
  <c r="R243" i="2" s="1"/>
  <c r="R244" i="2" s="1"/>
  <c r="J126" i="2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N126" i="2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R126" i="2"/>
  <c r="I125" i="2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J125" i="2"/>
  <c r="L125" i="2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L235" i="2" s="1"/>
  <c r="L236" i="2" s="1"/>
  <c r="L237" i="2" s="1"/>
  <c r="L238" i="2" s="1"/>
  <c r="L239" i="2" s="1"/>
  <c r="L240" i="2" s="1"/>
  <c r="L241" i="2" s="1"/>
  <c r="L242" i="2" s="1"/>
  <c r="L243" i="2" s="1"/>
  <c r="L244" i="2" s="1"/>
  <c r="N125" i="2"/>
  <c r="P125" i="2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Q125" i="2"/>
  <c r="Q126" i="2" s="1"/>
  <c r="Q127" i="2" s="1"/>
  <c r="Q128" i="2" s="1"/>
  <c r="Q129" i="2" s="1"/>
  <c r="Q130" i="2" s="1"/>
  <c r="Q131" i="2" s="1"/>
  <c r="Q132" i="2" s="1"/>
  <c r="Q133" i="2" s="1"/>
  <c r="Q134" i="2" s="1"/>
  <c r="Q135" i="2" s="1"/>
  <c r="Q136" i="2" s="1"/>
  <c r="Q137" i="2" s="1"/>
  <c r="Q138" i="2" s="1"/>
  <c r="Q139" i="2" s="1"/>
  <c r="Q140" i="2" s="1"/>
  <c r="Q141" i="2" s="1"/>
  <c r="Q142" i="2" s="1"/>
  <c r="Q143" i="2" s="1"/>
  <c r="Q144" i="2" s="1"/>
  <c r="Q145" i="2" s="1"/>
  <c r="Q146" i="2" s="1"/>
  <c r="Q147" i="2" s="1"/>
  <c r="Q148" i="2" s="1"/>
  <c r="Q149" i="2" s="1"/>
  <c r="Q150" i="2" s="1"/>
  <c r="Q151" i="2" s="1"/>
  <c r="Q152" i="2" s="1"/>
  <c r="Q153" i="2" s="1"/>
  <c r="Q154" i="2" s="1"/>
  <c r="Q155" i="2" s="1"/>
  <c r="Q156" i="2" s="1"/>
  <c r="Q157" i="2" s="1"/>
  <c r="Q158" i="2" s="1"/>
  <c r="Q159" i="2" s="1"/>
  <c r="Q160" i="2" s="1"/>
  <c r="Q161" i="2" s="1"/>
  <c r="Q162" i="2" s="1"/>
  <c r="Q163" i="2" s="1"/>
  <c r="Q164" i="2" s="1"/>
  <c r="Q165" i="2" s="1"/>
  <c r="Q166" i="2" s="1"/>
  <c r="Q167" i="2" s="1"/>
  <c r="Q168" i="2" s="1"/>
  <c r="Q169" i="2" s="1"/>
  <c r="Q170" i="2" s="1"/>
  <c r="Q171" i="2" s="1"/>
  <c r="Q172" i="2" s="1"/>
  <c r="Q173" i="2" s="1"/>
  <c r="Q174" i="2" s="1"/>
  <c r="Q175" i="2" s="1"/>
  <c r="Q176" i="2" s="1"/>
  <c r="Q177" i="2" s="1"/>
  <c r="Q178" i="2" s="1"/>
  <c r="Q179" i="2" s="1"/>
  <c r="Q180" i="2" s="1"/>
  <c r="Q181" i="2" s="1"/>
  <c r="Q182" i="2" s="1"/>
  <c r="Q183" i="2" s="1"/>
  <c r="Q184" i="2" s="1"/>
  <c r="Q185" i="2" s="1"/>
  <c r="Q186" i="2" s="1"/>
  <c r="Q187" i="2" s="1"/>
  <c r="Q188" i="2" s="1"/>
  <c r="Q189" i="2" s="1"/>
  <c r="Q190" i="2" s="1"/>
  <c r="Q191" i="2" s="1"/>
  <c r="Q192" i="2" s="1"/>
  <c r="Q193" i="2" s="1"/>
  <c r="Q194" i="2" s="1"/>
  <c r="Q195" i="2" s="1"/>
  <c r="Q196" i="2" s="1"/>
  <c r="Q197" i="2" s="1"/>
  <c r="Q198" i="2" s="1"/>
  <c r="Q199" i="2" s="1"/>
  <c r="Q200" i="2" s="1"/>
  <c r="Q201" i="2" s="1"/>
  <c r="Q202" i="2" s="1"/>
  <c r="Q203" i="2" s="1"/>
  <c r="Q204" i="2" s="1"/>
  <c r="Q205" i="2" s="1"/>
  <c r="Q206" i="2" s="1"/>
  <c r="Q207" i="2" s="1"/>
  <c r="Q208" i="2" s="1"/>
  <c r="Q209" i="2" s="1"/>
  <c r="Q210" i="2" s="1"/>
  <c r="Q211" i="2" s="1"/>
  <c r="Q212" i="2" s="1"/>
  <c r="Q213" i="2" s="1"/>
  <c r="Q214" i="2" s="1"/>
  <c r="Q215" i="2" s="1"/>
  <c r="Q216" i="2" s="1"/>
  <c r="Q217" i="2" s="1"/>
  <c r="Q218" i="2" s="1"/>
  <c r="Q219" i="2" s="1"/>
  <c r="Q220" i="2" s="1"/>
  <c r="Q221" i="2" s="1"/>
  <c r="Q222" i="2" s="1"/>
  <c r="Q223" i="2" s="1"/>
  <c r="Q224" i="2" s="1"/>
  <c r="Q225" i="2" s="1"/>
  <c r="Q226" i="2" s="1"/>
  <c r="Q227" i="2" s="1"/>
  <c r="Q228" i="2" s="1"/>
  <c r="Q229" i="2" s="1"/>
  <c r="Q230" i="2" s="1"/>
  <c r="Q231" i="2" s="1"/>
  <c r="Q232" i="2" s="1"/>
  <c r="Q233" i="2" s="1"/>
  <c r="Q234" i="2" s="1"/>
  <c r="Q235" i="2" s="1"/>
  <c r="Q236" i="2" s="1"/>
  <c r="Q237" i="2" s="1"/>
  <c r="Q238" i="2" s="1"/>
  <c r="Q239" i="2" s="1"/>
  <c r="Q240" i="2" s="1"/>
  <c r="Q241" i="2" s="1"/>
  <c r="Q242" i="2" s="1"/>
  <c r="Q243" i="2" s="1"/>
  <c r="Q244" i="2" s="1"/>
  <c r="R125" i="2"/>
  <c r="E125" i="2"/>
  <c r="AA23" i="2" l="1"/>
  <c r="AB23" i="2"/>
  <c r="AA24" i="2"/>
  <c r="AB24" i="2"/>
  <c r="AA25" i="2"/>
  <c r="AB25" i="2"/>
  <c r="AA26" i="2"/>
  <c r="AB26" i="2"/>
  <c r="AA27" i="2"/>
  <c r="AB27" i="2"/>
  <c r="AA28" i="2"/>
  <c r="AB28" i="2"/>
  <c r="AA29" i="2"/>
  <c r="AB29" i="2"/>
  <c r="AA30" i="2"/>
  <c r="AB30" i="2"/>
  <c r="AA31" i="2"/>
  <c r="AB31" i="2"/>
  <c r="AA32" i="2"/>
  <c r="AB32" i="2"/>
  <c r="AA33" i="2"/>
  <c r="AB33" i="2"/>
  <c r="AA34" i="2"/>
  <c r="AB34" i="2"/>
  <c r="AA35" i="2"/>
  <c r="AB35" i="2"/>
  <c r="AA36" i="2"/>
  <c r="AB36" i="2"/>
  <c r="AA37" i="2"/>
  <c r="AB37" i="2"/>
  <c r="AA38" i="2"/>
  <c r="AB38" i="2"/>
  <c r="AA39" i="2"/>
  <c r="AB39" i="2"/>
  <c r="AA41" i="2"/>
  <c r="AB41" i="2"/>
  <c r="AA42" i="2"/>
  <c r="AB42" i="2"/>
  <c r="AA43" i="2"/>
  <c r="AB43" i="2"/>
  <c r="AA44" i="2"/>
  <c r="AB44" i="2"/>
  <c r="AA45" i="2"/>
  <c r="AB45" i="2"/>
  <c r="AA46" i="2"/>
  <c r="AB46" i="2"/>
  <c r="AA47" i="2"/>
  <c r="AB47" i="2"/>
  <c r="AA48" i="2"/>
  <c r="AB48" i="2"/>
  <c r="AA49" i="2"/>
  <c r="AB49" i="2"/>
  <c r="AA50" i="2"/>
  <c r="AB50" i="2"/>
  <c r="AA51" i="2"/>
  <c r="AB51" i="2"/>
  <c r="AA52" i="2"/>
  <c r="AB52" i="2"/>
  <c r="AA53" i="2"/>
  <c r="AB53" i="2"/>
  <c r="AA54" i="2"/>
  <c r="AB54" i="2"/>
  <c r="AA55" i="2"/>
  <c r="AB55" i="2"/>
  <c r="AA56" i="2"/>
  <c r="AB56" i="2"/>
  <c r="AB74" i="2" s="1"/>
  <c r="AB92" i="2" s="1"/>
  <c r="AB110" i="2" s="1"/>
  <c r="AA57" i="2"/>
  <c r="AB57" i="2"/>
  <c r="AB75" i="2" s="1"/>
  <c r="AB93" i="2" s="1"/>
  <c r="AB111" i="2" s="1"/>
  <c r="AA59" i="2"/>
  <c r="AB59" i="2"/>
  <c r="AB77" i="2" s="1"/>
  <c r="AB95" i="2" s="1"/>
  <c r="AB113" i="2" s="1"/>
  <c r="AA60" i="2"/>
  <c r="AB60" i="2"/>
  <c r="AA61" i="2"/>
  <c r="AB61" i="2"/>
  <c r="AB79" i="2" s="1"/>
  <c r="AB97" i="2" s="1"/>
  <c r="AB115" i="2" s="1"/>
  <c r="AA62" i="2"/>
  <c r="AB62" i="2"/>
  <c r="AA63" i="2"/>
  <c r="AB63" i="2"/>
  <c r="AB81" i="2" s="1"/>
  <c r="AB99" i="2" s="1"/>
  <c r="AB117" i="2" s="1"/>
  <c r="AA64" i="2"/>
  <c r="AB64" i="2"/>
  <c r="AA65" i="2"/>
  <c r="AB65" i="2"/>
  <c r="AB83" i="2" s="1"/>
  <c r="AB101" i="2" s="1"/>
  <c r="AB119" i="2" s="1"/>
  <c r="AA66" i="2"/>
  <c r="AB66" i="2"/>
  <c r="AB84" i="2" s="1"/>
  <c r="AB102" i="2" s="1"/>
  <c r="AB120" i="2" s="1"/>
  <c r="AA67" i="2"/>
  <c r="AB67" i="2"/>
  <c r="AB85" i="2" s="1"/>
  <c r="AB103" i="2" s="1"/>
  <c r="AB121" i="2" s="1"/>
  <c r="AA68" i="2"/>
  <c r="AB68" i="2"/>
  <c r="AA69" i="2"/>
  <c r="AB69" i="2"/>
  <c r="AB87" i="2" s="1"/>
  <c r="AB105" i="2" s="1"/>
  <c r="AB123" i="2" s="1"/>
  <c r="AA70" i="2"/>
  <c r="AB70" i="2"/>
  <c r="AA71" i="2"/>
  <c r="AB71" i="2"/>
  <c r="AB89" i="2" s="1"/>
  <c r="AB107" i="2" s="1"/>
  <c r="AA72" i="2"/>
  <c r="AB72" i="2"/>
  <c r="AA73" i="2"/>
  <c r="AB73" i="2"/>
  <c r="AB91" i="2" s="1"/>
  <c r="AB109" i="2" s="1"/>
  <c r="AA74" i="2"/>
  <c r="AA75" i="2"/>
  <c r="AA77" i="2"/>
  <c r="AA78" i="2"/>
  <c r="AA96" i="2" s="1"/>
  <c r="AA114" i="2" s="1"/>
  <c r="AB78" i="2"/>
  <c r="AA79" i="2"/>
  <c r="AA80" i="2"/>
  <c r="AA98" i="2" s="1"/>
  <c r="AA116" i="2" s="1"/>
  <c r="AB80" i="2"/>
  <c r="AA81" i="2"/>
  <c r="AA82" i="2"/>
  <c r="AA100" i="2" s="1"/>
  <c r="AA118" i="2" s="1"/>
  <c r="AB82" i="2"/>
  <c r="AA83" i="2"/>
  <c r="AA84" i="2"/>
  <c r="AA102" i="2" s="1"/>
  <c r="AA120" i="2" s="1"/>
  <c r="AA85" i="2"/>
  <c r="AA86" i="2"/>
  <c r="AB86" i="2"/>
  <c r="AB104" i="2" s="1"/>
  <c r="AB122" i="2" s="1"/>
  <c r="AA87" i="2"/>
  <c r="AA88" i="2"/>
  <c r="AB88" i="2"/>
  <c r="AB106" i="2" s="1"/>
  <c r="AA89" i="2"/>
  <c r="AA90" i="2"/>
  <c r="AB90" i="2"/>
  <c r="AB108" i="2" s="1"/>
  <c r="AA91" i="2"/>
  <c r="AA92" i="2"/>
  <c r="AA93" i="2"/>
  <c r="AA111" i="2" s="1"/>
  <c r="AA95" i="2"/>
  <c r="AA113" i="2" s="1"/>
  <c r="AB96" i="2"/>
  <c r="AA97" i="2"/>
  <c r="AA115" i="2" s="1"/>
  <c r="AB98" i="2"/>
  <c r="AA99" i="2"/>
  <c r="AA117" i="2" s="1"/>
  <c r="AB100" i="2"/>
  <c r="AA101" i="2"/>
  <c r="AA119" i="2" s="1"/>
  <c r="AA103" i="2"/>
  <c r="AA104" i="2"/>
  <c r="AA105" i="2"/>
  <c r="AA106" i="2"/>
  <c r="AA107" i="2"/>
  <c r="AA108" i="2"/>
  <c r="AA109" i="2"/>
  <c r="AA110" i="2"/>
  <c r="AB114" i="2"/>
  <c r="AB116" i="2"/>
  <c r="AB118" i="2"/>
  <c r="AA121" i="2"/>
  <c r="AA122" i="2"/>
  <c r="AA123" i="2"/>
  <c r="AB22" i="2"/>
  <c r="AB40" i="2" s="1"/>
  <c r="AB58" i="2" s="1"/>
  <c r="AB76" i="2" s="1"/>
  <c r="AB94" i="2" s="1"/>
  <c r="AB112" i="2" s="1"/>
  <c r="AA22" i="2"/>
  <c r="AA40" i="2" s="1"/>
  <c r="AA58" i="2" s="1"/>
  <c r="AA76" i="2" s="1"/>
  <c r="AA94" i="2" s="1"/>
  <c r="AA112" i="2" s="1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4" i="2"/>
  <c r="E126" i="2"/>
  <c r="M125" i="2"/>
  <c r="M126" i="2" s="1"/>
  <c r="M127" i="2" s="1"/>
  <c r="M128" i="2" s="1"/>
  <c r="M129" i="2" s="1"/>
  <c r="M130" i="2" s="1"/>
  <c r="M131" i="2" s="1"/>
  <c r="M132" i="2" s="1"/>
  <c r="M133" i="2" s="1"/>
  <c r="M134" i="2" s="1"/>
  <c r="O125" i="2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K125" i="2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H125" i="2"/>
  <c r="G125" i="2"/>
  <c r="G126" i="2" s="1"/>
  <c r="G127" i="2" s="1"/>
  <c r="G128" i="2" s="1"/>
  <c r="G129" i="2" s="1"/>
  <c r="G130" i="2" s="1"/>
  <c r="G131" i="2" s="1"/>
  <c r="G132" i="2" s="1"/>
  <c r="G133" i="2" s="1"/>
  <c r="G134" i="2" s="1"/>
  <c r="F125" i="2"/>
  <c r="F126" i="2" s="1"/>
  <c r="F127" i="2" s="1"/>
  <c r="F128" i="2" s="1"/>
  <c r="F129" i="2" s="1"/>
  <c r="F130" i="2" s="1"/>
  <c r="F131" i="2" s="1"/>
  <c r="F132" i="2" s="1"/>
  <c r="F133" i="2" s="1"/>
  <c r="F134" i="2" s="1"/>
  <c r="B33" i="2"/>
  <c r="B43" i="2" s="1"/>
  <c r="B53" i="2" s="1"/>
  <c r="B63" i="2" s="1"/>
  <c r="B73" i="2" s="1"/>
  <c r="B83" i="2" s="1"/>
  <c r="B93" i="2" s="1"/>
  <c r="B103" i="2" s="1"/>
  <c r="B113" i="2" s="1"/>
  <c r="B123" i="2" s="1"/>
  <c r="C23" i="2"/>
  <c r="B23" i="2"/>
  <c r="C22" i="2"/>
  <c r="B22" i="2"/>
  <c r="B32" i="2" s="1"/>
  <c r="B42" i="2" s="1"/>
  <c r="B52" i="2" s="1"/>
  <c r="B62" i="2" s="1"/>
  <c r="B72" i="2" s="1"/>
  <c r="B82" i="2" s="1"/>
  <c r="B92" i="2" s="1"/>
  <c r="B102" i="2" s="1"/>
  <c r="B112" i="2" s="1"/>
  <c r="B122" i="2" s="1"/>
  <c r="C21" i="2"/>
  <c r="B21" i="2"/>
  <c r="B31" i="2" s="1"/>
  <c r="B41" i="2" s="1"/>
  <c r="B51" i="2" s="1"/>
  <c r="B61" i="2" s="1"/>
  <c r="B71" i="2" s="1"/>
  <c r="B81" i="2" s="1"/>
  <c r="B91" i="2" s="1"/>
  <c r="B101" i="2" s="1"/>
  <c r="B111" i="2" s="1"/>
  <c r="B121" i="2" s="1"/>
  <c r="C20" i="2"/>
  <c r="B20" i="2"/>
  <c r="B30" i="2" s="1"/>
  <c r="B40" i="2" s="1"/>
  <c r="B50" i="2" s="1"/>
  <c r="B60" i="2" s="1"/>
  <c r="B70" i="2" s="1"/>
  <c r="B80" i="2" s="1"/>
  <c r="B90" i="2" s="1"/>
  <c r="B100" i="2" s="1"/>
  <c r="B110" i="2" s="1"/>
  <c r="B120" i="2" s="1"/>
  <c r="C19" i="2"/>
  <c r="B19" i="2"/>
  <c r="B29" i="2" s="1"/>
  <c r="B39" i="2" s="1"/>
  <c r="B49" i="2" s="1"/>
  <c r="B59" i="2" s="1"/>
  <c r="B69" i="2" s="1"/>
  <c r="B79" i="2" s="1"/>
  <c r="B89" i="2" s="1"/>
  <c r="B99" i="2" s="1"/>
  <c r="B109" i="2" s="1"/>
  <c r="B119" i="2" s="1"/>
  <c r="C18" i="2"/>
  <c r="B18" i="2"/>
  <c r="B28" i="2" s="1"/>
  <c r="B38" i="2" s="1"/>
  <c r="B48" i="2" s="1"/>
  <c r="B58" i="2" s="1"/>
  <c r="B68" i="2" s="1"/>
  <c r="B78" i="2" s="1"/>
  <c r="B88" i="2" s="1"/>
  <c r="B98" i="2" s="1"/>
  <c r="B108" i="2" s="1"/>
  <c r="B118" i="2" s="1"/>
  <c r="C17" i="2"/>
  <c r="B17" i="2"/>
  <c r="B27" i="2" s="1"/>
  <c r="B37" i="2" s="1"/>
  <c r="B47" i="2" s="1"/>
  <c r="B57" i="2" s="1"/>
  <c r="B67" i="2" s="1"/>
  <c r="B77" i="2" s="1"/>
  <c r="B87" i="2" s="1"/>
  <c r="B97" i="2" s="1"/>
  <c r="B107" i="2" s="1"/>
  <c r="B117" i="2" s="1"/>
  <c r="C16" i="2"/>
  <c r="B16" i="2"/>
  <c r="B26" i="2" s="1"/>
  <c r="B36" i="2" s="1"/>
  <c r="B46" i="2" s="1"/>
  <c r="B56" i="2" s="1"/>
  <c r="B66" i="2" s="1"/>
  <c r="B76" i="2" s="1"/>
  <c r="B86" i="2" s="1"/>
  <c r="B96" i="2" s="1"/>
  <c r="B106" i="2" s="1"/>
  <c r="B116" i="2" s="1"/>
  <c r="C15" i="2"/>
  <c r="C25" i="2" s="1"/>
  <c r="B15" i="2"/>
  <c r="B25" i="2" s="1"/>
  <c r="B35" i="2" s="1"/>
  <c r="B45" i="2" s="1"/>
  <c r="B55" i="2" s="1"/>
  <c r="B65" i="2" s="1"/>
  <c r="B75" i="2" s="1"/>
  <c r="B85" i="2" s="1"/>
  <c r="B95" i="2" s="1"/>
  <c r="B105" i="2" s="1"/>
  <c r="B115" i="2" s="1"/>
  <c r="C14" i="2"/>
  <c r="B14" i="2"/>
  <c r="B24" i="2" s="1"/>
  <c r="B34" i="2" s="1"/>
  <c r="B44" i="2" s="1"/>
  <c r="B54" i="2" s="1"/>
  <c r="B64" i="2" s="1"/>
  <c r="B74" i="2" s="1"/>
  <c r="B84" i="2" s="1"/>
  <c r="B94" i="2" s="1"/>
  <c r="B104" i="2" s="1"/>
  <c r="B114" i="2" s="1"/>
  <c r="A4" i="2"/>
  <c r="E25" i="2" l="1"/>
  <c r="F25" i="2"/>
  <c r="G25" i="2"/>
  <c r="H25" i="2"/>
  <c r="C35" i="2"/>
  <c r="E17" i="2"/>
  <c r="F17" i="2"/>
  <c r="G17" i="2"/>
  <c r="H17" i="2"/>
  <c r="C29" i="2"/>
  <c r="E19" i="2"/>
  <c r="F19" i="2"/>
  <c r="G19" i="2"/>
  <c r="H19" i="2"/>
  <c r="E23" i="2"/>
  <c r="F23" i="2"/>
  <c r="G23" i="2"/>
  <c r="H23" i="2"/>
  <c r="C33" i="2"/>
  <c r="C24" i="2"/>
  <c r="E14" i="2"/>
  <c r="F14" i="2"/>
  <c r="G14" i="2"/>
  <c r="H14" i="2"/>
  <c r="C26" i="2"/>
  <c r="E16" i="2"/>
  <c r="F16" i="2"/>
  <c r="G16" i="2"/>
  <c r="H16" i="2"/>
  <c r="C28" i="2"/>
  <c r="E18" i="2"/>
  <c r="F18" i="2"/>
  <c r="G18" i="2"/>
  <c r="H18" i="2"/>
  <c r="C30" i="2"/>
  <c r="E20" i="2"/>
  <c r="F20" i="2"/>
  <c r="G20" i="2"/>
  <c r="H20" i="2"/>
  <c r="C32" i="2"/>
  <c r="E22" i="2"/>
  <c r="F22" i="2"/>
  <c r="G22" i="2"/>
  <c r="H22" i="2"/>
  <c r="E15" i="2"/>
  <c r="F15" i="2"/>
  <c r="G15" i="2"/>
  <c r="H15" i="2"/>
  <c r="C31" i="2"/>
  <c r="E21" i="2"/>
  <c r="F21" i="2"/>
  <c r="G21" i="2"/>
  <c r="H21" i="2"/>
  <c r="G135" i="2"/>
  <c r="C27" i="2"/>
  <c r="F135" i="2"/>
  <c r="F136" i="2" s="1"/>
  <c r="F137" i="2" s="1"/>
  <c r="F138" i="2" s="1"/>
  <c r="F139" i="2" s="1"/>
  <c r="F140" i="2" s="1"/>
  <c r="F141" i="2" s="1"/>
  <c r="F142" i="2" s="1"/>
  <c r="F143" i="2" s="1"/>
  <c r="F144" i="2" s="1"/>
  <c r="E127" i="2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M135" i="2"/>
  <c r="M136" i="2" s="1"/>
  <c r="M137" i="2" s="1"/>
  <c r="M138" i="2" s="1"/>
  <c r="M139" i="2" s="1"/>
  <c r="M140" i="2" s="1"/>
  <c r="M141" i="2" s="1"/>
  <c r="M142" i="2" s="1"/>
  <c r="M143" i="2" s="1"/>
  <c r="M144" i="2" s="1"/>
  <c r="M145" i="2" s="1"/>
  <c r="M146" i="2" s="1"/>
  <c r="M147" i="2" s="1"/>
  <c r="M148" i="2" s="1"/>
  <c r="M149" i="2" s="1"/>
  <c r="M150" i="2" s="1"/>
  <c r="M151" i="2" s="1"/>
  <c r="M152" i="2" s="1"/>
  <c r="M153" i="2" s="1"/>
  <c r="M154" i="2" s="1"/>
  <c r="M155" i="2" s="1"/>
  <c r="M156" i="2" s="1"/>
  <c r="M157" i="2" s="1"/>
  <c r="M158" i="2" s="1"/>
  <c r="M159" i="2" s="1"/>
  <c r="M160" i="2" s="1"/>
  <c r="M161" i="2" s="1"/>
  <c r="M162" i="2" s="1"/>
  <c r="M163" i="2" s="1"/>
  <c r="M164" i="2" s="1"/>
  <c r="M165" i="2" s="1"/>
  <c r="M166" i="2" s="1"/>
  <c r="M167" i="2" s="1"/>
  <c r="M168" i="2" s="1"/>
  <c r="M169" i="2" s="1"/>
  <c r="M170" i="2" s="1"/>
  <c r="M171" i="2" s="1"/>
  <c r="M172" i="2" s="1"/>
  <c r="M173" i="2" s="1"/>
  <c r="M174" i="2" s="1"/>
  <c r="M175" i="2" s="1"/>
  <c r="M176" i="2" s="1"/>
  <c r="M177" i="2" s="1"/>
  <c r="M178" i="2" s="1"/>
  <c r="M179" i="2" s="1"/>
  <c r="M180" i="2" s="1"/>
  <c r="M181" i="2" s="1"/>
  <c r="M182" i="2" s="1"/>
  <c r="M183" i="2" s="1"/>
  <c r="M184" i="2" s="1"/>
  <c r="M185" i="2" s="1"/>
  <c r="M186" i="2" s="1"/>
  <c r="M187" i="2" s="1"/>
  <c r="M188" i="2" s="1"/>
  <c r="M189" i="2" s="1"/>
  <c r="M190" i="2" s="1"/>
  <c r="M191" i="2" s="1"/>
  <c r="M192" i="2" s="1"/>
  <c r="M193" i="2" s="1"/>
  <c r="M194" i="2" s="1"/>
  <c r="M195" i="2" s="1"/>
  <c r="M196" i="2" s="1"/>
  <c r="M197" i="2" s="1"/>
  <c r="M198" i="2" s="1"/>
  <c r="M199" i="2" s="1"/>
  <c r="M200" i="2" s="1"/>
  <c r="M201" i="2" s="1"/>
  <c r="M202" i="2" s="1"/>
  <c r="M203" i="2" s="1"/>
  <c r="M204" i="2" s="1"/>
  <c r="M205" i="2" s="1"/>
  <c r="M206" i="2" s="1"/>
  <c r="M207" i="2" s="1"/>
  <c r="M208" i="2" s="1"/>
  <c r="M209" i="2" s="1"/>
  <c r="M210" i="2" s="1"/>
  <c r="M211" i="2" s="1"/>
  <c r="M212" i="2" s="1"/>
  <c r="M213" i="2" s="1"/>
  <c r="M214" i="2" s="1"/>
  <c r="M215" i="2" s="1"/>
  <c r="M216" i="2" s="1"/>
  <c r="M217" i="2" s="1"/>
  <c r="M218" i="2" s="1"/>
  <c r="M219" i="2" s="1"/>
  <c r="M220" i="2" s="1"/>
  <c r="M221" i="2" s="1"/>
  <c r="M222" i="2" s="1"/>
  <c r="M223" i="2" s="1"/>
  <c r="M224" i="2" s="1"/>
  <c r="M225" i="2" s="1"/>
  <c r="M226" i="2" s="1"/>
  <c r="M227" i="2" s="1"/>
  <c r="M228" i="2" s="1"/>
  <c r="M229" i="2" s="1"/>
  <c r="M230" i="2" s="1"/>
  <c r="M231" i="2" s="1"/>
  <c r="M232" i="2" s="1"/>
  <c r="M233" i="2" s="1"/>
  <c r="M234" i="2" s="1"/>
  <c r="M235" i="2" s="1"/>
  <c r="M236" i="2" s="1"/>
  <c r="M237" i="2" s="1"/>
  <c r="M238" i="2" s="1"/>
  <c r="M239" i="2" s="1"/>
  <c r="M240" i="2" s="1"/>
  <c r="M241" i="2" s="1"/>
  <c r="M242" i="2" s="1"/>
  <c r="M243" i="2" s="1"/>
  <c r="M244" i="2" s="1"/>
  <c r="H126" i="2"/>
  <c r="H127" i="2" s="1"/>
  <c r="H128" i="2" s="1"/>
  <c r="H129" i="2" s="1"/>
  <c r="H130" i="2" s="1"/>
  <c r="H131" i="2" s="1"/>
  <c r="H132" i="2" s="1"/>
  <c r="H133" i="2" s="1"/>
  <c r="H134" i="2" s="1"/>
  <c r="G136" i="2"/>
  <c r="G137" i="2" s="1"/>
  <c r="G138" i="2" s="1"/>
  <c r="G139" i="2" s="1"/>
  <c r="G140" i="2" s="1"/>
  <c r="G141" i="2" s="1"/>
  <c r="G142" i="2" s="1"/>
  <c r="G143" i="2" s="1"/>
  <c r="G144" i="2" s="1"/>
  <c r="H135" i="2" l="1"/>
  <c r="H136" i="2" s="1"/>
  <c r="H137" i="2" s="1"/>
  <c r="H138" i="2" s="1"/>
  <c r="H139" i="2" s="1"/>
  <c r="H140" i="2" s="1"/>
  <c r="H141" i="2" s="1"/>
  <c r="H142" i="2" s="1"/>
  <c r="H143" i="2" s="1"/>
  <c r="H144" i="2" s="1"/>
  <c r="C37" i="2"/>
  <c r="E27" i="2"/>
  <c r="F27" i="2"/>
  <c r="G27" i="2"/>
  <c r="H27" i="2"/>
  <c r="C40" i="2"/>
  <c r="E30" i="2"/>
  <c r="F30" i="2"/>
  <c r="G30" i="2"/>
  <c r="H30" i="2"/>
  <c r="C43" i="2"/>
  <c r="E33" i="2"/>
  <c r="F33" i="2"/>
  <c r="G33" i="2"/>
  <c r="H33" i="2"/>
  <c r="C38" i="2"/>
  <c r="E28" i="2"/>
  <c r="F28" i="2"/>
  <c r="G28" i="2"/>
  <c r="H28" i="2"/>
  <c r="C39" i="2"/>
  <c r="E29" i="2"/>
  <c r="F29" i="2"/>
  <c r="G29" i="2"/>
  <c r="H29" i="2"/>
  <c r="G145" i="2"/>
  <c r="G146" i="2" s="1"/>
  <c r="C42" i="2"/>
  <c r="E32" i="2"/>
  <c r="F32" i="2"/>
  <c r="G32" i="2"/>
  <c r="H32" i="2"/>
  <c r="C34" i="2"/>
  <c r="E24" i="2"/>
  <c r="F24" i="2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G24" i="2"/>
  <c r="H24" i="2"/>
  <c r="E141" i="2"/>
  <c r="E142" i="2" s="1"/>
  <c r="E143" i="2" s="1"/>
  <c r="E144" i="2" s="1"/>
  <c r="E145" i="2" s="1"/>
  <c r="E146" i="2" s="1"/>
  <c r="C41" i="2"/>
  <c r="E31" i="2"/>
  <c r="F31" i="2"/>
  <c r="G31" i="2"/>
  <c r="H31" i="2"/>
  <c r="C36" i="2"/>
  <c r="E26" i="2"/>
  <c r="F26" i="2"/>
  <c r="G26" i="2"/>
  <c r="H26" i="2"/>
  <c r="C45" i="2"/>
  <c r="E35" i="2"/>
  <c r="F35" i="2"/>
  <c r="G35" i="2"/>
  <c r="H35" i="2"/>
  <c r="C51" i="2" l="1"/>
  <c r="E41" i="2"/>
  <c r="F41" i="2"/>
  <c r="G41" i="2"/>
  <c r="H41" i="2"/>
  <c r="G147" i="2"/>
  <c r="G148" i="2" s="1"/>
  <c r="G149" i="2" s="1"/>
  <c r="G150" i="2" s="1"/>
  <c r="G151" i="2" s="1"/>
  <c r="G152" i="2" s="1"/>
  <c r="G153" i="2" s="1"/>
  <c r="G154" i="2" s="1"/>
  <c r="C50" i="2"/>
  <c r="E40" i="2"/>
  <c r="F40" i="2"/>
  <c r="G40" i="2"/>
  <c r="H40" i="2"/>
  <c r="E147" i="2"/>
  <c r="E148" i="2" s="1"/>
  <c r="E149" i="2" s="1"/>
  <c r="E150" i="2" s="1"/>
  <c r="E151" i="2" s="1"/>
  <c r="E152" i="2" s="1"/>
  <c r="E153" i="2" s="1"/>
  <c r="E154" i="2" s="1"/>
  <c r="C49" i="2"/>
  <c r="E39" i="2"/>
  <c r="F39" i="2"/>
  <c r="G39" i="2"/>
  <c r="H39" i="2"/>
  <c r="C47" i="2"/>
  <c r="E37" i="2"/>
  <c r="F37" i="2"/>
  <c r="G37" i="2"/>
  <c r="H37" i="2"/>
  <c r="C44" i="2"/>
  <c r="E34" i="2"/>
  <c r="F34" i="2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G34" i="2"/>
  <c r="H34" i="2"/>
  <c r="C48" i="2"/>
  <c r="E38" i="2"/>
  <c r="F38" i="2"/>
  <c r="G38" i="2"/>
  <c r="H38" i="2"/>
  <c r="H145" i="2"/>
  <c r="H146" i="2" s="1"/>
  <c r="H147" i="2" s="1"/>
  <c r="H148" i="2" s="1"/>
  <c r="H149" i="2" s="1"/>
  <c r="H150" i="2" s="1"/>
  <c r="H151" i="2" s="1"/>
  <c r="H152" i="2" s="1"/>
  <c r="H153" i="2" s="1"/>
  <c r="H154" i="2" s="1"/>
  <c r="C55" i="2"/>
  <c r="E45" i="2"/>
  <c r="F45" i="2"/>
  <c r="G45" i="2"/>
  <c r="H45" i="2"/>
  <c r="C46" i="2"/>
  <c r="E36" i="2"/>
  <c r="F36" i="2"/>
  <c r="G36" i="2"/>
  <c r="H36" i="2"/>
  <c r="C52" i="2"/>
  <c r="E42" i="2"/>
  <c r="F42" i="2"/>
  <c r="G42" i="2"/>
  <c r="H42" i="2"/>
  <c r="C53" i="2"/>
  <c r="E43" i="2"/>
  <c r="F43" i="2"/>
  <c r="G43" i="2"/>
  <c r="H43" i="2"/>
  <c r="C60" i="2" l="1"/>
  <c r="E50" i="2"/>
  <c r="F50" i="2"/>
  <c r="G50" i="2"/>
  <c r="H50" i="2"/>
  <c r="C65" i="2"/>
  <c r="E55" i="2"/>
  <c r="F55" i="2"/>
  <c r="G55" i="2"/>
  <c r="H55" i="2"/>
  <c r="C57" i="2"/>
  <c r="E47" i="2"/>
  <c r="F47" i="2"/>
  <c r="G47" i="2"/>
  <c r="H47" i="2"/>
  <c r="G155" i="2"/>
  <c r="G156" i="2" s="1"/>
  <c r="G157" i="2" s="1"/>
  <c r="G158" i="2" s="1"/>
  <c r="G159" i="2" s="1"/>
  <c r="G160" i="2" s="1"/>
  <c r="G161" i="2" s="1"/>
  <c r="G162" i="2" s="1"/>
  <c r="G163" i="2" s="1"/>
  <c r="G164" i="2" s="1"/>
  <c r="H155" i="2"/>
  <c r="H156" i="2" s="1"/>
  <c r="H157" i="2" s="1"/>
  <c r="H158" i="2" s="1"/>
  <c r="H159" i="2" s="1"/>
  <c r="H160" i="2" s="1"/>
  <c r="H161" i="2" s="1"/>
  <c r="H162" i="2" s="1"/>
  <c r="H163" i="2" s="1"/>
  <c r="H164" i="2" s="1"/>
  <c r="C59" i="2"/>
  <c r="E49" i="2"/>
  <c r="F49" i="2"/>
  <c r="G49" i="2"/>
  <c r="H49" i="2"/>
  <c r="C61" i="2"/>
  <c r="E51" i="2"/>
  <c r="F51" i="2"/>
  <c r="G51" i="2"/>
  <c r="H51" i="2"/>
  <c r="C56" i="2"/>
  <c r="E46" i="2"/>
  <c r="F46" i="2"/>
  <c r="G46" i="2"/>
  <c r="H46" i="2"/>
  <c r="C54" i="2"/>
  <c r="E44" i="2"/>
  <c r="F44" i="2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G44" i="2"/>
  <c r="H44" i="2"/>
  <c r="C63" i="2"/>
  <c r="E53" i="2"/>
  <c r="F53" i="2"/>
  <c r="G53" i="2"/>
  <c r="H53" i="2"/>
  <c r="C62" i="2"/>
  <c r="E52" i="2"/>
  <c r="F52" i="2"/>
  <c r="G52" i="2"/>
  <c r="H52" i="2"/>
  <c r="C58" i="2"/>
  <c r="E48" i="2"/>
  <c r="F48" i="2"/>
  <c r="G48" i="2"/>
  <c r="H48" i="2"/>
  <c r="E155" i="2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C72" i="2" l="1"/>
  <c r="F62" i="2"/>
  <c r="G62" i="2"/>
  <c r="H62" i="2"/>
  <c r="E62" i="2"/>
  <c r="C67" i="2"/>
  <c r="E57" i="2"/>
  <c r="F57" i="2"/>
  <c r="G57" i="2"/>
  <c r="H57" i="2"/>
  <c r="C73" i="2"/>
  <c r="F63" i="2"/>
  <c r="G63" i="2"/>
  <c r="H63" i="2"/>
  <c r="E63" i="2"/>
  <c r="C69" i="2"/>
  <c r="F59" i="2"/>
  <c r="G59" i="2"/>
  <c r="H59" i="2"/>
  <c r="E59" i="2"/>
  <c r="C75" i="2"/>
  <c r="F65" i="2"/>
  <c r="G65" i="2"/>
  <c r="H65" i="2"/>
  <c r="E65" i="2"/>
  <c r="C71" i="2"/>
  <c r="F61" i="2"/>
  <c r="G61" i="2"/>
  <c r="H61" i="2"/>
  <c r="E61" i="2"/>
  <c r="H165" i="2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C70" i="2"/>
  <c r="F60" i="2"/>
  <c r="G60" i="2"/>
  <c r="H60" i="2"/>
  <c r="E60" i="2"/>
  <c r="C64" i="2"/>
  <c r="E54" i="2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F54" i="2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G54" i="2"/>
  <c r="H54" i="2"/>
  <c r="C68" i="2"/>
  <c r="F58" i="2"/>
  <c r="G58" i="2"/>
  <c r="H58" i="2"/>
  <c r="E58" i="2"/>
  <c r="C66" i="2"/>
  <c r="E56" i="2"/>
  <c r="F56" i="2"/>
  <c r="G56" i="2"/>
  <c r="H56" i="2"/>
  <c r="G165" i="2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E185" i="2" l="1"/>
  <c r="E186" i="2" s="1"/>
  <c r="E187" i="2" s="1"/>
  <c r="E188" i="2" s="1"/>
  <c r="E189" i="2" s="1"/>
  <c r="C78" i="2"/>
  <c r="F68" i="2"/>
  <c r="G68" i="2"/>
  <c r="H68" i="2"/>
  <c r="E68" i="2"/>
  <c r="C83" i="2"/>
  <c r="F73" i="2"/>
  <c r="G73" i="2"/>
  <c r="H73" i="2"/>
  <c r="E73" i="2"/>
  <c r="C74" i="2"/>
  <c r="F64" i="2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G64" i="2"/>
  <c r="H64" i="2"/>
  <c r="E64" i="2"/>
  <c r="C81" i="2"/>
  <c r="F71" i="2"/>
  <c r="G71" i="2"/>
  <c r="H71" i="2"/>
  <c r="E71" i="2"/>
  <c r="C77" i="2"/>
  <c r="F67" i="2"/>
  <c r="G67" i="2"/>
  <c r="H67" i="2"/>
  <c r="E67" i="2"/>
  <c r="C85" i="2"/>
  <c r="F75" i="2"/>
  <c r="G75" i="2"/>
  <c r="H75" i="2"/>
  <c r="E75" i="2"/>
  <c r="C82" i="2"/>
  <c r="F72" i="2"/>
  <c r="G72" i="2"/>
  <c r="H72" i="2"/>
  <c r="E72" i="2"/>
  <c r="H185" i="2"/>
  <c r="H186" i="2" s="1"/>
  <c r="H187" i="2" s="1"/>
  <c r="H188" i="2" s="1"/>
  <c r="H189" i="2" s="1"/>
  <c r="H190" i="2" s="1"/>
  <c r="H191" i="2" s="1"/>
  <c r="H192" i="2" s="1"/>
  <c r="H193" i="2" s="1"/>
  <c r="H194" i="2" s="1"/>
  <c r="G177" i="2"/>
  <c r="G178" i="2" s="1"/>
  <c r="G179" i="2" s="1"/>
  <c r="G180" i="2" s="1"/>
  <c r="G181" i="2" s="1"/>
  <c r="G182" i="2" s="1"/>
  <c r="G183" i="2" s="1"/>
  <c r="G184" i="2" s="1"/>
  <c r="G185" i="2" s="1"/>
  <c r="G186" i="2" s="1"/>
  <c r="C76" i="2"/>
  <c r="F66" i="2"/>
  <c r="G66" i="2"/>
  <c r="H66" i="2"/>
  <c r="E66" i="2"/>
  <c r="C80" i="2"/>
  <c r="F70" i="2"/>
  <c r="G70" i="2"/>
  <c r="H70" i="2"/>
  <c r="E70" i="2"/>
  <c r="C79" i="2"/>
  <c r="F69" i="2"/>
  <c r="G69" i="2"/>
  <c r="H69" i="2"/>
  <c r="E69" i="2"/>
  <c r="C89" i="2" l="1"/>
  <c r="F79" i="2"/>
  <c r="G79" i="2"/>
  <c r="H79" i="2"/>
  <c r="E79" i="2"/>
  <c r="C86" i="2"/>
  <c r="F76" i="2"/>
  <c r="G76" i="2"/>
  <c r="H76" i="2"/>
  <c r="E76" i="2"/>
  <c r="C95" i="2"/>
  <c r="F85" i="2"/>
  <c r="G85" i="2"/>
  <c r="H85" i="2"/>
  <c r="E85" i="2"/>
  <c r="C93" i="2"/>
  <c r="F83" i="2"/>
  <c r="G83" i="2"/>
  <c r="H83" i="2"/>
  <c r="E83" i="2"/>
  <c r="C91" i="2"/>
  <c r="F81" i="2"/>
  <c r="G81" i="2"/>
  <c r="H81" i="2"/>
  <c r="E81" i="2"/>
  <c r="G187" i="2"/>
  <c r="G188" i="2" s="1"/>
  <c r="G189" i="2" s="1"/>
  <c r="G190" i="2" s="1"/>
  <c r="G191" i="2" s="1"/>
  <c r="G192" i="2" s="1"/>
  <c r="G193" i="2" s="1"/>
  <c r="G194" i="2" s="1"/>
  <c r="C87" i="2"/>
  <c r="F77" i="2"/>
  <c r="G77" i="2"/>
  <c r="H77" i="2"/>
  <c r="E77" i="2"/>
  <c r="C88" i="2"/>
  <c r="F78" i="2"/>
  <c r="G78" i="2"/>
  <c r="H78" i="2"/>
  <c r="E78" i="2"/>
  <c r="H195" i="2"/>
  <c r="H196" i="2" s="1"/>
  <c r="H197" i="2" s="1"/>
  <c r="E190" i="2"/>
  <c r="E191" i="2" s="1"/>
  <c r="E192" i="2" s="1"/>
  <c r="E193" i="2" s="1"/>
  <c r="E194" i="2" s="1"/>
  <c r="E195" i="2" s="1"/>
  <c r="E196" i="2" s="1"/>
  <c r="E197" i="2" s="1"/>
  <c r="C90" i="2"/>
  <c r="F80" i="2"/>
  <c r="G80" i="2"/>
  <c r="H80" i="2"/>
  <c r="E80" i="2"/>
  <c r="C92" i="2"/>
  <c r="F82" i="2"/>
  <c r="G82" i="2"/>
  <c r="H82" i="2"/>
  <c r="E82" i="2"/>
  <c r="C84" i="2"/>
  <c r="F74" i="2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G74" i="2"/>
  <c r="H74" i="2"/>
  <c r="E74" i="2"/>
  <c r="C100" i="2" l="1"/>
  <c r="F90" i="2"/>
  <c r="G90" i="2"/>
  <c r="H90" i="2"/>
  <c r="E90" i="2"/>
  <c r="C97" i="2"/>
  <c r="F87" i="2"/>
  <c r="G87" i="2"/>
  <c r="H87" i="2"/>
  <c r="E87" i="2"/>
  <c r="C105" i="2"/>
  <c r="F95" i="2"/>
  <c r="G95" i="2"/>
  <c r="H95" i="2"/>
  <c r="E95" i="2"/>
  <c r="G195" i="2"/>
  <c r="G196" i="2" s="1"/>
  <c r="G197" i="2" s="1"/>
  <c r="G198" i="2" s="1"/>
  <c r="G199" i="2" s="1"/>
  <c r="G200" i="2" s="1"/>
  <c r="G201" i="2" s="1"/>
  <c r="G202" i="2" s="1"/>
  <c r="G203" i="2" s="1"/>
  <c r="G204" i="2" s="1"/>
  <c r="C96" i="2"/>
  <c r="F86" i="2"/>
  <c r="G86" i="2"/>
  <c r="H86" i="2"/>
  <c r="E86" i="2"/>
  <c r="E198" i="2"/>
  <c r="E199" i="2" s="1"/>
  <c r="E200" i="2" s="1"/>
  <c r="E201" i="2" s="1"/>
  <c r="E202" i="2" s="1"/>
  <c r="E203" i="2" s="1"/>
  <c r="E204" i="2" s="1"/>
  <c r="C94" i="2"/>
  <c r="F84" i="2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G84" i="2"/>
  <c r="H84" i="2"/>
  <c r="E84" i="2"/>
  <c r="H198" i="2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C101" i="2"/>
  <c r="F91" i="2"/>
  <c r="G91" i="2"/>
  <c r="H91" i="2"/>
  <c r="E91" i="2"/>
  <c r="C99" i="2"/>
  <c r="F89" i="2"/>
  <c r="G89" i="2"/>
  <c r="H89" i="2"/>
  <c r="E89" i="2"/>
  <c r="C102" i="2"/>
  <c r="F92" i="2"/>
  <c r="G92" i="2"/>
  <c r="H92" i="2"/>
  <c r="E92" i="2"/>
  <c r="C98" i="2"/>
  <c r="F88" i="2"/>
  <c r="G88" i="2"/>
  <c r="H88" i="2"/>
  <c r="E88" i="2"/>
  <c r="C103" i="2"/>
  <c r="F93" i="2"/>
  <c r="G93" i="2"/>
  <c r="H93" i="2"/>
  <c r="E93" i="2"/>
  <c r="C112" i="2" l="1"/>
  <c r="H102" i="2"/>
  <c r="E102" i="2"/>
  <c r="G102" i="2"/>
  <c r="F102" i="2"/>
  <c r="C104" i="2"/>
  <c r="F94" i="2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G94" i="2"/>
  <c r="H94" i="2"/>
  <c r="E94" i="2"/>
  <c r="C115" i="2"/>
  <c r="H105" i="2"/>
  <c r="E105" i="2"/>
  <c r="F105" i="2"/>
  <c r="G105" i="2"/>
  <c r="C109" i="2"/>
  <c r="H99" i="2"/>
  <c r="E99" i="2"/>
  <c r="F99" i="2"/>
  <c r="G99" i="2"/>
  <c r="E205" i="2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C107" i="2"/>
  <c r="F97" i="2"/>
  <c r="G97" i="2"/>
  <c r="H97" i="2"/>
  <c r="E97" i="2"/>
  <c r="C113" i="2"/>
  <c r="H103" i="2"/>
  <c r="E103" i="2"/>
  <c r="F103" i="2"/>
  <c r="G103" i="2"/>
  <c r="C111" i="2"/>
  <c r="H101" i="2"/>
  <c r="E101" i="2"/>
  <c r="F101" i="2"/>
  <c r="G101" i="2"/>
  <c r="C106" i="2"/>
  <c r="F96" i="2"/>
  <c r="G96" i="2"/>
  <c r="H96" i="2"/>
  <c r="E96" i="2"/>
  <c r="C110" i="2"/>
  <c r="H100" i="2"/>
  <c r="E100" i="2"/>
  <c r="G100" i="2"/>
  <c r="F100" i="2"/>
  <c r="C108" i="2"/>
  <c r="F98" i="2"/>
  <c r="G98" i="2"/>
  <c r="H98" i="2"/>
  <c r="E98" i="2"/>
  <c r="H209" i="2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G205" i="2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C123" i="2" l="1"/>
  <c r="H113" i="2"/>
  <c r="E113" i="2"/>
  <c r="F113" i="2"/>
  <c r="G113" i="2"/>
  <c r="H115" i="2"/>
  <c r="E115" i="2"/>
  <c r="G115" i="2"/>
  <c r="F115" i="2"/>
  <c r="C120" i="2"/>
  <c r="H110" i="2"/>
  <c r="E110" i="2"/>
  <c r="G110" i="2"/>
  <c r="F110" i="2"/>
  <c r="C117" i="2"/>
  <c r="H107" i="2"/>
  <c r="E107" i="2"/>
  <c r="G107" i="2"/>
  <c r="F107" i="2"/>
  <c r="C114" i="2"/>
  <c r="H104" i="2"/>
  <c r="E104" i="2"/>
  <c r="G104" i="2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F104" i="2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C118" i="2"/>
  <c r="H108" i="2"/>
  <c r="E108" i="2"/>
  <c r="F108" i="2"/>
  <c r="G108" i="2"/>
  <c r="C116" i="2"/>
  <c r="H106" i="2"/>
  <c r="E106" i="2"/>
  <c r="F106" i="2"/>
  <c r="G106" i="2"/>
  <c r="E217" i="2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C122" i="2"/>
  <c r="H112" i="2"/>
  <c r="E112" i="2"/>
  <c r="G112" i="2"/>
  <c r="F112" i="2"/>
  <c r="H221" i="2"/>
  <c r="H222" i="2" s="1"/>
  <c r="H223" i="2" s="1"/>
  <c r="H224" i="2" s="1"/>
  <c r="C121" i="2"/>
  <c r="H111" i="2"/>
  <c r="E111" i="2"/>
  <c r="F111" i="2"/>
  <c r="G111" i="2"/>
  <c r="C119" i="2"/>
  <c r="H109" i="2"/>
  <c r="E109" i="2"/>
  <c r="F109" i="2"/>
  <c r="G109" i="2"/>
  <c r="H121" i="2" l="1"/>
  <c r="E121" i="2"/>
  <c r="G121" i="2"/>
  <c r="F121" i="2"/>
  <c r="H117" i="2"/>
  <c r="E117" i="2"/>
  <c r="G117" i="2"/>
  <c r="F117" i="2"/>
  <c r="H225" i="2"/>
  <c r="H226" i="2" s="1"/>
  <c r="H227" i="2" s="1"/>
  <c r="H228" i="2" s="1"/>
  <c r="H229" i="2" s="1"/>
  <c r="H230" i="2" s="1"/>
  <c r="H231" i="2" s="1"/>
  <c r="H232" i="2" s="1"/>
  <c r="H233" i="2" s="1"/>
  <c r="H234" i="2" s="1"/>
  <c r="H116" i="2"/>
  <c r="E116" i="2"/>
  <c r="F116" i="2"/>
  <c r="G116" i="2"/>
  <c r="H120" i="2"/>
  <c r="E120" i="2"/>
  <c r="F120" i="2"/>
  <c r="G120" i="2"/>
  <c r="E235" i="2"/>
  <c r="E236" i="2" s="1"/>
  <c r="E237" i="2" s="1"/>
  <c r="E238" i="2" s="1"/>
  <c r="E239" i="2" s="1"/>
  <c r="E240" i="2" s="1"/>
  <c r="E241" i="2" s="1"/>
  <c r="E242" i="2" s="1"/>
  <c r="E243" i="2" s="1"/>
  <c r="E244" i="2" s="1"/>
  <c r="H118" i="2"/>
  <c r="E118" i="2"/>
  <c r="F118" i="2"/>
  <c r="G118" i="2"/>
  <c r="H123" i="2"/>
  <c r="E123" i="2"/>
  <c r="G123" i="2"/>
  <c r="F123" i="2"/>
  <c r="H119" i="2"/>
  <c r="E119" i="2"/>
  <c r="G119" i="2"/>
  <c r="F119" i="2"/>
  <c r="H122" i="2"/>
  <c r="E122" i="2"/>
  <c r="F122" i="2"/>
  <c r="G122" i="2"/>
  <c r="H114" i="2"/>
  <c r="E114" i="2"/>
  <c r="G114" i="2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F114" i="2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H235" i="2" l="1"/>
  <c r="H236" i="2" s="1"/>
  <c r="H237" i="2" s="1"/>
  <c r="H238" i="2" s="1"/>
  <c r="H239" i="2" s="1"/>
  <c r="H240" i="2" s="1"/>
  <c r="H241" i="2" s="1"/>
  <c r="H242" i="2" s="1"/>
  <c r="H243" i="2" s="1"/>
  <c r="H244" i="2" s="1"/>
</calcChain>
</file>

<file path=xl/sharedStrings.xml><?xml version="1.0" encoding="utf-8"?>
<sst xmlns="http://schemas.openxmlformats.org/spreadsheetml/2006/main" count="692" uniqueCount="222">
  <si>
    <t>int-id</t>
  </si>
  <si>
    <t>int-constellationid</t>
  </si>
  <si>
    <t>int-fatestarid</t>
  </si>
  <si>
    <t>int-starconsume</t>
  </si>
  <si>
    <t>int-HP</t>
  </si>
  <si>
    <t>int-attack</t>
  </si>
  <si>
    <t>int-defense</t>
  </si>
  <si>
    <t>int-superpower</t>
  </si>
  <si>
    <t>int-resist</t>
  </si>
  <si>
    <t>int-crit</t>
  </si>
  <si>
    <t>int-decrit</t>
  </si>
  <si>
    <t>int-curse</t>
  </si>
  <si>
    <t>int-decurse</t>
  </si>
  <si>
    <t>int-press</t>
  </si>
  <si>
    <t>int-depress</t>
  </si>
  <si>
    <t>int-restoreHP</t>
  </si>
  <si>
    <t>int-MP</t>
  </si>
  <si>
    <t>int-restoreMP</t>
  </si>
  <si>
    <t>id</t>
  </si>
  <si>
    <t>星座id</t>
  </si>
  <si>
    <t>命星id</t>
  </si>
  <si>
    <t>HP</t>
  </si>
  <si>
    <t>攻击力</t>
  </si>
  <si>
    <t>防御力</t>
  </si>
  <si>
    <t>霸气</t>
  </si>
  <si>
    <t>抗性</t>
  </si>
  <si>
    <t>暴击力</t>
  </si>
  <si>
    <t>抗暴力</t>
  </si>
  <si>
    <t>诅咒力</t>
  </si>
  <si>
    <t>抗咒力</t>
  </si>
  <si>
    <t>压制力</t>
  </si>
  <si>
    <t>抗压力</t>
  </si>
  <si>
    <t>HP恢复能力</t>
  </si>
  <si>
    <t>MP</t>
  </si>
  <si>
    <t>MP恢复能力</t>
  </si>
  <si>
    <t>功能开放</t>
  </si>
  <si>
    <t>资源奖励</t>
  </si>
  <si>
    <t>物品奖励</t>
  </si>
  <si>
    <t>intArr:bonus1:|:-</t>
    <phoneticPr fontId="5" type="noConversion"/>
  </si>
  <si>
    <t>intArr:bonus2:|:-</t>
    <phoneticPr fontId="5" type="noConversion"/>
  </si>
  <si>
    <t>intArr:functionopen:|</t>
    <phoneticPr fontId="5" type="noConversion"/>
  </si>
  <si>
    <t>备注
1-白羊座
2-金牛座
3-双子</t>
    <phoneticPr fontId="5" type="noConversion"/>
  </si>
  <si>
    <t>达到星数</t>
    <phoneticPr fontId="5" type="noConversion"/>
  </si>
  <si>
    <t>所有英雄的英雄闯关
总星数之和</t>
    <phoneticPr fontId="5" type="noConversion"/>
  </si>
  <si>
    <t>气泡文字描述</t>
    <phoneticPr fontId="5" type="noConversion"/>
  </si>
  <si>
    <t>string-bubble</t>
    <phoneticPr fontId="5" type="noConversion"/>
  </si>
  <si>
    <t>气泡显示类型</t>
    <phoneticPr fontId="5" type="noConversion"/>
  </si>
  <si>
    <t>1-常驻显示
2-点击弹出</t>
    <phoneticPr fontId="5" type="noConversion"/>
  </si>
  <si>
    <t>int-bubbletype</t>
    <phoneticPr fontId="5" type="noConversion"/>
  </si>
  <si>
    <t>图标</t>
    <phoneticPr fontId="5" type="noConversion"/>
  </si>
  <si>
    <t>图标大小系数</t>
    <phoneticPr fontId="5" type="noConversion"/>
  </si>
  <si>
    <t>不同星座图标不同</t>
    <phoneticPr fontId="5" type="noConversion"/>
  </si>
  <si>
    <t>图标的缩放系数</t>
    <phoneticPr fontId="5" type="noConversion"/>
  </si>
  <si>
    <t>P0011</t>
  </si>
  <si>
    <t>P0021</t>
  </si>
  <si>
    <t>P0021</t>
    <phoneticPr fontId="5" type="noConversion"/>
  </si>
  <si>
    <t>string-icon</t>
    <phoneticPr fontId="5" type="noConversion"/>
  </si>
  <si>
    <t>float-iconsize</t>
    <phoneticPr fontId="5" type="noConversion"/>
  </si>
  <si>
    <t>背景图</t>
    <phoneticPr fontId="5" type="noConversion"/>
  </si>
  <si>
    <t>map1</t>
  </si>
  <si>
    <t>map1</t>
    <phoneticPr fontId="5" type="noConversion"/>
  </si>
  <si>
    <t>map2</t>
  </si>
  <si>
    <t>map2</t>
    <phoneticPr fontId="5" type="noConversion"/>
  </si>
  <si>
    <t>string-sceneid</t>
    <phoneticPr fontId="5" type="noConversion"/>
  </si>
  <si>
    <t>一个星座一个背景
配置在每个星座的第一颗命星的数据中</t>
    <phoneticPr fontId="5" type="noConversion"/>
  </si>
  <si>
    <t>map3</t>
  </si>
  <si>
    <t>x坐标</t>
    <phoneticPr fontId="5" type="noConversion"/>
  </si>
  <si>
    <t>y坐标</t>
    <phoneticPr fontId="5" type="noConversion"/>
  </si>
  <si>
    <t>float-coordinatex</t>
    <phoneticPr fontId="5" type="noConversion"/>
  </si>
  <si>
    <t>float-coordinatey</t>
    <phoneticPr fontId="5" type="noConversion"/>
  </si>
  <si>
    <t>P0031</t>
  </si>
  <si>
    <t>P0031</t>
    <phoneticPr fontId="5" type="noConversion"/>
  </si>
  <si>
    <t>序号</t>
  </si>
  <si>
    <t>加成属性项</t>
  </si>
  <si>
    <t>属性值</t>
  </si>
  <si>
    <t>攻击</t>
  </si>
  <si>
    <t>防御</t>
  </si>
  <si>
    <t>生命</t>
  </si>
  <si>
    <t>float-HP</t>
  </si>
  <si>
    <t>float-attack</t>
  </si>
  <si>
    <t>float-defense</t>
  </si>
  <si>
    <t>float-superpower</t>
  </si>
  <si>
    <t>float-resist</t>
  </si>
  <si>
    <t>float-crit</t>
  </si>
  <si>
    <t>float-decrit</t>
  </si>
  <si>
    <t>float-curse</t>
  </si>
  <si>
    <t>float-decurse</t>
  </si>
  <si>
    <t>float-press</t>
  </si>
  <si>
    <t>float-depress</t>
  </si>
  <si>
    <t>float-restoreHP</t>
  </si>
  <si>
    <t>float-MP</t>
  </si>
  <si>
    <t>float-restoreMP</t>
  </si>
  <si>
    <t>白羊座4星</t>
  </si>
  <si>
    <t>白羊座6星</t>
  </si>
  <si>
    <t>金牛座5星</t>
  </si>
  <si>
    <t>金牛座8星</t>
  </si>
  <si>
    <t>金牛座9星</t>
  </si>
  <si>
    <t>int-nextid</t>
  </si>
  <si>
    <t>string-name</t>
  </si>
  <si>
    <t>intArr:bonus1:|:-</t>
  </si>
  <si>
    <t>intArr:bonus2:|:-</t>
  </si>
  <si>
    <t>string-bubble</t>
  </si>
  <si>
    <t>int-bubbletype</t>
  </si>
  <si>
    <t>string-icon</t>
  </si>
  <si>
    <t>float-iconsize</t>
  </si>
  <si>
    <t>string-sceneid</t>
  </si>
  <si>
    <t>float-coordinatex</t>
  </si>
  <si>
    <t>float-coordinatey</t>
  </si>
  <si>
    <t>string-coname</t>
  </si>
  <si>
    <t>下一节点id</t>
  </si>
  <si>
    <t>节点名称</t>
  </si>
  <si>
    <t>达到星数</t>
  </si>
  <si>
    <t>气泡文字描述</t>
  </si>
  <si>
    <t>气泡显示类型</t>
  </si>
  <si>
    <t>图标</t>
  </si>
  <si>
    <t>图标大小系数</t>
  </si>
  <si>
    <t>背景图</t>
  </si>
  <si>
    <t>x坐标</t>
  </si>
  <si>
    <t>y坐标</t>
  </si>
  <si>
    <t>星座名称</t>
  </si>
  <si>
    <t>备注
1-白羊座
2-金牛座
3-双子</t>
  </si>
  <si>
    <t>所有英雄的英雄闯关
总星数之和</t>
  </si>
  <si>
    <t>1-常驻显示
2-点击弹出</t>
  </si>
  <si>
    <t>不同星座图标不同</t>
  </si>
  <si>
    <t>图标的缩放系数</t>
  </si>
  <si>
    <t>一个星座一个背景
配置在每个星座的第一颗命星的数据中</t>
  </si>
  <si>
    <t>白羊座1星</t>
  </si>
  <si>
    <t>lan</t>
  </si>
  <si>
    <t>白羊座</t>
  </si>
  <si>
    <t>金牛座</t>
  </si>
  <si>
    <t>400034-1</t>
    <phoneticPr fontId="5" type="noConversion"/>
  </si>
  <si>
    <t>星座名称图标</t>
    <phoneticPr fontId="5" type="noConversion"/>
  </si>
  <si>
    <t>string-starp</t>
    <phoneticPr fontId="5" type="noConversion"/>
  </si>
  <si>
    <t>星座图标</t>
    <phoneticPr fontId="5" type="noConversion"/>
  </si>
  <si>
    <t>baiyangicon|baiyangname</t>
    <phoneticPr fontId="5" type="noConversion"/>
  </si>
  <si>
    <t>jinniuicon|jinniuname</t>
    <phoneticPr fontId="5" type="noConversion"/>
  </si>
  <si>
    <t>stringArr:starpic:|</t>
    <phoneticPr fontId="5" type="noConversion"/>
  </si>
  <si>
    <t>500001-1|500002-1|500003-1</t>
    <phoneticPr fontId="5" type="noConversion"/>
  </si>
  <si>
    <t>星宫限制觉醒</t>
    <phoneticPr fontId="5" type="noConversion"/>
  </si>
  <si>
    <t>intArr:spellawake:|:-</t>
    <phoneticPr fontId="5" type="noConversion"/>
  </si>
  <si>
    <t>角色ID-技能觉醒ID|</t>
    <phoneticPr fontId="5" type="noConversion"/>
  </si>
  <si>
    <t>intArr:spell:|</t>
    <phoneticPr fontId="5" type="noConversion"/>
  </si>
  <si>
    <t>星宫限制技能</t>
    <phoneticPr fontId="5" type="noConversion"/>
  </si>
  <si>
    <t>zi</t>
    <phoneticPr fontId="5" type="noConversion"/>
  </si>
  <si>
    <t>获得英雄：兰斯洛特</t>
    <phoneticPr fontId="5" type="noConversion"/>
  </si>
  <si>
    <t>jin</t>
    <phoneticPr fontId="5" type="noConversion"/>
  </si>
  <si>
    <t>lv</t>
    <phoneticPr fontId="5" type="noConversion"/>
  </si>
  <si>
    <t>cheng</t>
    <phoneticPr fontId="5" type="noConversion"/>
  </si>
  <si>
    <t>角色升级</t>
    <phoneticPr fontId="5" type="noConversion"/>
  </si>
  <si>
    <t>双子座3星</t>
  </si>
  <si>
    <t>双子座4星</t>
  </si>
  <si>
    <t>双子座7星</t>
  </si>
  <si>
    <t>双子座</t>
    <phoneticPr fontId="5" type="noConversion"/>
  </si>
  <si>
    <t>1-铜币（游戏币）
2-金币（充值获得）
3-竞技场币
4-精力
5-体力
6-远征币
7-帮贡
8-魔王经验
9-经验池
10-魔王技能点</t>
    <phoneticPr fontId="5" type="noConversion"/>
  </si>
  <si>
    <t>10-20</t>
    <phoneticPr fontId="5" type="noConversion"/>
  </si>
  <si>
    <t>10-25</t>
    <phoneticPr fontId="5" type="noConversion"/>
  </si>
  <si>
    <t>shuangziicon|shuzngziname</t>
    <phoneticPr fontId="5" type="noConversion"/>
  </si>
  <si>
    <t>bg</t>
    <phoneticPr fontId="5" type="noConversion"/>
  </si>
  <si>
    <t>白羊座7星</t>
  </si>
  <si>
    <t>白羊座8星</t>
  </si>
  <si>
    <t>金牛座2星</t>
    <phoneticPr fontId="5" type="noConversion"/>
  </si>
  <si>
    <t>双子座1星</t>
    <phoneticPr fontId="5" type="noConversion"/>
  </si>
  <si>
    <t>双子座2星</t>
    <phoneticPr fontId="5" type="noConversion"/>
  </si>
  <si>
    <t>int-limitmain</t>
    <phoneticPr fontId="5" type="noConversion"/>
  </si>
  <si>
    <t>intArr:limitguide:|</t>
    <phoneticPr fontId="5" type="noConversion"/>
  </si>
  <si>
    <t>主线星宫点亮限制条件</t>
    <phoneticPr fontId="5" type="noConversion"/>
  </si>
  <si>
    <t>主线副本ID</t>
    <phoneticPr fontId="5" type="noConversion"/>
  </si>
  <si>
    <t>教程副本限制条件</t>
    <phoneticPr fontId="5" type="noConversion"/>
  </si>
  <si>
    <t>教程副本</t>
    <phoneticPr fontId="5" type="noConversion"/>
  </si>
  <si>
    <t>开启英雄闯关第二章</t>
    <phoneticPr fontId="5" type="noConversion"/>
  </si>
  <si>
    <t>戒指开启</t>
    <phoneticPr fontId="5" type="noConversion"/>
  </si>
  <si>
    <t>高星闯关开启</t>
    <phoneticPr fontId="5" type="noConversion"/>
  </si>
  <si>
    <t>英雄升星开启</t>
    <phoneticPr fontId="5" type="noConversion"/>
  </si>
  <si>
    <t>扫荡开启</t>
    <phoneticPr fontId="5" type="noConversion"/>
  </si>
  <si>
    <t>开启技能成长</t>
    <phoneticPr fontId="5" type="noConversion"/>
  </si>
  <si>
    <t>开启弗兰肯斯坦闯关</t>
    <phoneticPr fontId="5" type="noConversion"/>
  </si>
  <si>
    <t>天赋：幸运护佑</t>
    <phoneticPr fontId="5" type="noConversion"/>
  </si>
  <si>
    <t>开启英雄闯关第三章</t>
    <phoneticPr fontId="5" type="noConversion"/>
  </si>
  <si>
    <t>守护神开启</t>
    <phoneticPr fontId="5" type="noConversion"/>
  </si>
  <si>
    <t>青铜秘境开启</t>
    <phoneticPr fontId="5" type="noConversion"/>
  </si>
  <si>
    <t>天赋：魔力护佑</t>
    <phoneticPr fontId="5" type="noConversion"/>
  </si>
  <si>
    <t>芙蕾雅精英简单开启</t>
    <phoneticPr fontId="5" type="noConversion"/>
  </si>
  <si>
    <t>开启英雄升品</t>
    <phoneticPr fontId="5" type="noConversion"/>
  </si>
  <si>
    <t>开启装备强化</t>
    <phoneticPr fontId="5" type="noConversion"/>
  </si>
  <si>
    <t>获得天赋点</t>
    <phoneticPr fontId="5" type="noConversion"/>
  </si>
  <si>
    <t>开启梅林闯关</t>
    <phoneticPr fontId="5" type="noConversion"/>
  </si>
  <si>
    <t>本次测试不开放</t>
    <phoneticPr fontId="5" type="noConversion"/>
  </si>
  <si>
    <t>100009-1</t>
    <phoneticPr fontId="5" type="noConversion"/>
  </si>
  <si>
    <t>Icon/skill/S80702121</t>
  </si>
  <si>
    <t>Icon/hero/hero04</t>
  </si>
  <si>
    <t>Main/btnTask2</t>
  </si>
  <si>
    <t>Icon/function/ft005</t>
  </si>
  <si>
    <t>GameLevel/hard</t>
  </si>
  <si>
    <t>Icon/item/I500083</t>
  </si>
  <si>
    <t>Main/btnTask1</t>
  </si>
  <si>
    <t>Icon/skill/S805021</t>
  </si>
  <si>
    <t>Icon/function/ft008</t>
  </si>
  <si>
    <t>Icon/skill/ST00002</t>
  </si>
  <si>
    <t>Icon/Hero/hero05</t>
  </si>
  <si>
    <t>Icon/skill/ST00008</t>
  </si>
  <si>
    <t>Main/btnGod1</t>
  </si>
  <si>
    <t>Icon/function/ft006</t>
  </si>
  <si>
    <t>Icon/function/ft007</t>
  </si>
  <si>
    <t>Icon/function/ft003</t>
  </si>
  <si>
    <t>Main/btnhero1</t>
  </si>
  <si>
    <t>Icon/function/ft016</t>
  </si>
  <si>
    <t>Icon/hero/hero03</t>
  </si>
  <si>
    <t>Main/btnskill1</t>
  </si>
  <si>
    <t>开启芙蕾雅闯关</t>
    <phoneticPr fontId="5" type="noConversion"/>
  </si>
  <si>
    <t>开启援助</t>
    <phoneticPr fontId="5" type="noConversion"/>
  </si>
  <si>
    <t>白羊座2星</t>
    <phoneticPr fontId="5" type="noConversion"/>
  </si>
  <si>
    <t>白羊座3星</t>
  </si>
  <si>
    <t>白羊座5星</t>
  </si>
  <si>
    <t>金牛座1星</t>
    <phoneticPr fontId="5" type="noConversion"/>
  </si>
  <si>
    <t>金牛座3星</t>
  </si>
  <si>
    <t>金牛座4星</t>
  </si>
  <si>
    <t>金牛座6星</t>
  </si>
  <si>
    <t>金牛座7星</t>
  </si>
  <si>
    <t>双子座5星</t>
  </si>
  <si>
    <t>双子座6星</t>
  </si>
  <si>
    <t>白羊座9星</t>
  </si>
  <si>
    <t>铃兰花海5开启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</si>
</sst>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9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0"/>
      <color rgb="FFFFFFFF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0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</fonts>
  <fills count="5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rgb="FF339966"/>
        <bgColor rgb="FF000000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851">
    <xf numFmtId="0" fontId="0" fillId="0" borderId="0"/>
    <xf numFmtId="0" fontId="9" fillId="0" borderId="0"/>
    <xf numFmtId="0" fontId="10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20" fillId="16" borderId="4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24" fillId="21" borderId="10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4" fillId="21" borderId="10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0" fillId="22" borderId="13" applyNumberFormat="0" applyFon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17" fillId="22" borderId="13" applyNumberFormat="0" applyFont="0" applyAlignment="0" applyProtection="0">
      <alignment vertical="center"/>
    </xf>
    <xf numFmtId="0" fontId="9" fillId="0" borderId="0"/>
    <xf numFmtId="0" fontId="10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20" fillId="16" borderId="4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24" fillId="21" borderId="10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4" fillId="21" borderId="10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0" fillId="22" borderId="13" applyNumberFormat="0" applyFon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17" fillId="22" borderId="13" applyNumberFormat="0" applyFont="0" applyAlignment="0" applyProtection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4" applyNumberFormat="0" applyAlignment="0" applyProtection="0">
      <alignment vertical="center"/>
    </xf>
    <xf numFmtId="0" fontId="13" fillId="41" borderId="4" applyNumberFormat="0" applyAlignment="0" applyProtection="0">
      <alignment vertical="center"/>
    </xf>
    <xf numFmtId="0" fontId="13" fillId="41" borderId="4" applyNumberFormat="0" applyAlignment="0" applyProtection="0">
      <alignment vertical="center"/>
    </xf>
    <xf numFmtId="0" fontId="13" fillId="41" borderId="4" applyNumberFormat="0" applyAlignment="0" applyProtection="0">
      <alignment vertical="center"/>
    </xf>
    <xf numFmtId="0" fontId="13" fillId="41" borderId="4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4" applyNumberFormat="0" applyAlignment="0" applyProtection="0">
      <alignment vertical="center"/>
    </xf>
    <xf numFmtId="0" fontId="20" fillId="35" borderId="4" applyNumberFormat="0" applyAlignment="0" applyProtection="0">
      <alignment vertical="center"/>
    </xf>
    <xf numFmtId="0" fontId="20" fillId="35" borderId="4" applyNumberFormat="0" applyAlignment="0" applyProtection="0">
      <alignment vertical="center"/>
    </xf>
    <xf numFmtId="0" fontId="20" fillId="35" borderId="4" applyNumberFormat="0" applyAlignment="0" applyProtection="0">
      <alignment vertical="center"/>
    </xf>
    <xf numFmtId="0" fontId="20" fillId="35" borderId="4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3" applyNumberFormat="0" applyFont="0" applyAlignment="0" applyProtection="0">
      <alignment vertical="center"/>
    </xf>
    <xf numFmtId="0" fontId="10" fillId="37" borderId="13" applyNumberFormat="0" applyFont="0" applyAlignment="0" applyProtection="0">
      <alignment vertical="center"/>
    </xf>
    <xf numFmtId="0" fontId="10" fillId="37" borderId="13" applyNumberFormat="0" applyFont="0" applyAlignment="0" applyProtection="0">
      <alignment vertical="center"/>
    </xf>
    <xf numFmtId="0" fontId="10" fillId="37" borderId="13" applyNumberFormat="0" applyFont="0" applyAlignment="0" applyProtection="0">
      <alignment vertical="center"/>
    </xf>
    <xf numFmtId="0" fontId="10" fillId="37" borderId="13" applyNumberFormat="0" applyFont="0" applyAlignment="0" applyProtection="0">
      <alignment vertical="center"/>
    </xf>
    <xf numFmtId="0" fontId="15" fillId="41" borderId="5" applyNumberFormat="0" applyAlignment="0" applyProtection="0">
      <alignment vertical="center"/>
    </xf>
    <xf numFmtId="0" fontId="15" fillId="41" borderId="5" applyNumberFormat="0" applyAlignment="0" applyProtection="0">
      <alignment vertical="center"/>
    </xf>
    <xf numFmtId="0" fontId="15" fillId="41" borderId="5" applyNumberFormat="0" applyAlignment="0" applyProtection="0">
      <alignment vertical="center"/>
    </xf>
    <xf numFmtId="0" fontId="15" fillId="41" borderId="5" applyNumberFormat="0" applyAlignment="0" applyProtection="0">
      <alignment vertical="center"/>
    </xf>
    <xf numFmtId="0" fontId="15" fillId="41" borderId="5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/>
    <xf numFmtId="0" fontId="9" fillId="0" borderId="0"/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8" fillId="0" borderId="0"/>
    <xf numFmtId="0" fontId="17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4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4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3" applyNumberFormat="0" applyFont="0" applyAlignment="0" applyProtection="0">
      <alignment vertical="center"/>
    </xf>
    <xf numFmtId="0" fontId="15" fillId="41" borderId="5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9" fillId="0" borderId="0"/>
    <xf numFmtId="0" fontId="10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20" fillId="16" borderId="4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24" fillId="21" borderId="10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4" fillId="21" borderId="10" applyNumberFormat="0" applyAlignment="0" applyProtection="0">
      <alignment vertical="center"/>
    </xf>
    <xf numFmtId="0" fontId="10" fillId="22" borderId="13" applyNumberFormat="0" applyFon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17" fillId="22" borderId="13" applyNumberFormat="0" applyFont="0" applyAlignment="0" applyProtection="0">
      <alignment vertical="center"/>
    </xf>
    <xf numFmtId="0" fontId="9" fillId="0" borderId="0"/>
    <xf numFmtId="0" fontId="10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20" fillId="16" borderId="4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24" fillId="21" borderId="10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4" fillId="21" borderId="10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0" fillId="22" borderId="13" applyNumberFormat="0" applyFon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17" fillId="22" borderId="13" applyNumberFormat="0" applyFont="0" applyAlignment="0" applyProtection="0">
      <alignment vertical="center"/>
    </xf>
    <xf numFmtId="0" fontId="17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4" applyNumberFormat="0" applyAlignment="0" applyProtection="0">
      <alignment vertical="center"/>
    </xf>
    <xf numFmtId="0" fontId="13" fillId="41" borderId="4" applyNumberFormat="0" applyAlignment="0" applyProtection="0">
      <alignment vertical="center"/>
    </xf>
    <xf numFmtId="0" fontId="13" fillId="41" borderId="4" applyNumberFormat="0" applyAlignment="0" applyProtection="0">
      <alignment vertical="center"/>
    </xf>
    <xf numFmtId="0" fontId="13" fillId="41" borderId="4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4" applyNumberFormat="0" applyAlignment="0" applyProtection="0">
      <alignment vertical="center"/>
    </xf>
    <xf numFmtId="0" fontId="20" fillId="35" borderId="4" applyNumberFormat="0" applyAlignment="0" applyProtection="0">
      <alignment vertical="center"/>
    </xf>
    <xf numFmtId="0" fontId="20" fillId="35" borderId="4" applyNumberFormat="0" applyAlignment="0" applyProtection="0">
      <alignment vertical="center"/>
    </xf>
    <xf numFmtId="0" fontId="20" fillId="35" borderId="4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3" applyNumberFormat="0" applyFont="0" applyAlignment="0" applyProtection="0">
      <alignment vertical="center"/>
    </xf>
    <xf numFmtId="0" fontId="10" fillId="37" borderId="13" applyNumberFormat="0" applyFont="0" applyAlignment="0" applyProtection="0">
      <alignment vertical="center"/>
    </xf>
    <xf numFmtId="0" fontId="10" fillId="37" borderId="13" applyNumberFormat="0" applyFont="0" applyAlignment="0" applyProtection="0">
      <alignment vertical="center"/>
    </xf>
    <xf numFmtId="0" fontId="10" fillId="37" borderId="13" applyNumberFormat="0" applyFont="0" applyAlignment="0" applyProtection="0">
      <alignment vertical="center"/>
    </xf>
    <xf numFmtId="0" fontId="15" fillId="41" borderId="5" applyNumberFormat="0" applyAlignment="0" applyProtection="0">
      <alignment vertical="center"/>
    </xf>
    <xf numFmtId="0" fontId="15" fillId="41" borderId="5" applyNumberFormat="0" applyAlignment="0" applyProtection="0">
      <alignment vertical="center"/>
    </xf>
    <xf numFmtId="0" fontId="15" fillId="41" borderId="5" applyNumberFormat="0" applyAlignment="0" applyProtection="0">
      <alignment vertical="center"/>
    </xf>
    <xf numFmtId="0" fontId="15" fillId="41" borderId="5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/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7" fillId="37" borderId="1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4" applyNumberFormat="0" applyAlignment="0" applyProtection="0">
      <alignment vertical="center"/>
    </xf>
    <xf numFmtId="0" fontId="13" fillId="41" borderId="4" applyNumberFormat="0" applyAlignment="0" applyProtection="0">
      <alignment vertical="center"/>
    </xf>
    <xf numFmtId="0" fontId="13" fillId="41" borderId="4" applyNumberFormat="0" applyAlignment="0" applyProtection="0">
      <alignment vertical="center"/>
    </xf>
    <xf numFmtId="0" fontId="13" fillId="41" borderId="4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4" applyNumberFormat="0" applyAlignment="0" applyProtection="0">
      <alignment vertical="center"/>
    </xf>
    <xf numFmtId="0" fontId="20" fillId="35" borderId="4" applyNumberFormat="0" applyAlignment="0" applyProtection="0">
      <alignment vertical="center"/>
    </xf>
    <xf numFmtId="0" fontId="20" fillId="35" borderId="4" applyNumberFormat="0" applyAlignment="0" applyProtection="0">
      <alignment vertical="center"/>
    </xf>
    <xf numFmtId="0" fontId="20" fillId="35" borderId="4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3" applyNumberFormat="0" applyFont="0" applyAlignment="0" applyProtection="0">
      <alignment vertical="center"/>
    </xf>
    <xf numFmtId="0" fontId="10" fillId="37" borderId="13" applyNumberFormat="0" applyFont="0" applyAlignment="0" applyProtection="0">
      <alignment vertical="center"/>
    </xf>
    <xf numFmtId="0" fontId="10" fillId="37" borderId="13" applyNumberFormat="0" applyFont="0" applyAlignment="0" applyProtection="0">
      <alignment vertical="center"/>
    </xf>
    <xf numFmtId="0" fontId="10" fillId="37" borderId="13" applyNumberFormat="0" applyFont="0" applyAlignment="0" applyProtection="0">
      <alignment vertical="center"/>
    </xf>
    <xf numFmtId="0" fontId="15" fillId="41" borderId="5" applyNumberFormat="0" applyAlignment="0" applyProtection="0">
      <alignment vertical="center"/>
    </xf>
    <xf numFmtId="0" fontId="15" fillId="41" borderId="5" applyNumberFormat="0" applyAlignment="0" applyProtection="0">
      <alignment vertical="center"/>
    </xf>
    <xf numFmtId="0" fontId="15" fillId="41" borderId="5" applyNumberFormat="0" applyAlignment="0" applyProtection="0">
      <alignment vertical="center"/>
    </xf>
    <xf numFmtId="0" fontId="15" fillId="41" borderId="5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5" fillId="41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8" fillId="0" borderId="0"/>
    <xf numFmtId="0" fontId="3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4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35" borderId="4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3" applyNumberFormat="0" applyFont="0" applyAlignment="0" applyProtection="0">
      <alignment vertical="center"/>
    </xf>
    <xf numFmtId="0" fontId="15" fillId="41" borderId="5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7" fillId="37" borderId="1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0" borderId="6" applyNumberFormat="0" applyFill="0" applyAlignment="0" applyProtection="0">
      <alignment vertical="center"/>
    </xf>
    <xf numFmtId="0" fontId="44" fillId="0" borderId="6" applyNumberFormat="0" applyFill="0" applyAlignment="0" applyProtection="0">
      <alignment vertical="center"/>
    </xf>
    <xf numFmtId="0" fontId="44" fillId="0" borderId="6" applyNumberFormat="0" applyFill="0" applyAlignment="0" applyProtection="0">
      <alignment vertical="center"/>
    </xf>
    <xf numFmtId="0" fontId="44" fillId="0" borderId="6" applyNumberFormat="0" applyFill="0" applyAlignment="0" applyProtection="0">
      <alignment vertical="center"/>
    </xf>
    <xf numFmtId="0" fontId="44" fillId="0" borderId="6" applyNumberFormat="0" applyFill="0" applyAlignment="0" applyProtection="0">
      <alignment vertical="center"/>
    </xf>
    <xf numFmtId="0" fontId="44" fillId="0" borderId="6" applyNumberFormat="0" applyFill="0" applyAlignment="0" applyProtection="0">
      <alignment vertical="center"/>
    </xf>
    <xf numFmtId="0" fontId="44" fillId="0" borderId="6" applyNumberFormat="0" applyFill="0" applyAlignment="0" applyProtection="0">
      <alignment vertical="center"/>
    </xf>
    <xf numFmtId="0" fontId="44" fillId="0" borderId="6" applyNumberFormat="0" applyFill="0" applyAlignment="0" applyProtection="0">
      <alignment vertical="center"/>
    </xf>
    <xf numFmtId="0" fontId="44" fillId="0" borderId="6" applyNumberFormat="0" applyFill="0" applyAlignment="0" applyProtection="0">
      <alignment vertical="center"/>
    </xf>
    <xf numFmtId="0" fontId="44" fillId="0" borderId="6" applyNumberFormat="0" applyFill="0" applyAlignment="0" applyProtection="0">
      <alignment vertical="center"/>
    </xf>
    <xf numFmtId="0" fontId="44" fillId="0" borderId="6" applyNumberFormat="0" applyFill="0" applyAlignment="0" applyProtection="0">
      <alignment vertical="center"/>
    </xf>
    <xf numFmtId="0" fontId="44" fillId="0" borderId="6" applyNumberFormat="0" applyFill="0" applyAlignment="0" applyProtection="0">
      <alignment vertical="center"/>
    </xf>
    <xf numFmtId="0" fontId="45" fillId="52" borderId="4" applyNumberFormat="0" applyAlignment="0" applyProtection="0">
      <alignment vertical="center"/>
    </xf>
    <xf numFmtId="0" fontId="45" fillId="52" borderId="4" applyNumberFormat="0" applyAlignment="0" applyProtection="0">
      <alignment vertical="center"/>
    </xf>
    <xf numFmtId="0" fontId="45" fillId="52" borderId="4" applyNumberFormat="0" applyAlignment="0" applyProtection="0">
      <alignment vertical="center"/>
    </xf>
    <xf numFmtId="0" fontId="45" fillId="52" borderId="4" applyNumberFormat="0" applyAlignment="0" applyProtection="0">
      <alignment vertical="center"/>
    </xf>
    <xf numFmtId="0" fontId="45" fillId="52" borderId="4" applyNumberFormat="0" applyAlignment="0" applyProtection="0">
      <alignment vertical="center"/>
    </xf>
    <xf numFmtId="0" fontId="45" fillId="52" borderId="4" applyNumberFormat="0" applyAlignment="0" applyProtection="0">
      <alignment vertical="center"/>
    </xf>
    <xf numFmtId="0" fontId="45" fillId="52" borderId="4" applyNumberFormat="0" applyAlignment="0" applyProtection="0">
      <alignment vertical="center"/>
    </xf>
    <xf numFmtId="0" fontId="45" fillId="52" borderId="4" applyNumberFormat="0" applyAlignment="0" applyProtection="0">
      <alignment vertical="center"/>
    </xf>
    <xf numFmtId="0" fontId="45" fillId="52" borderId="4" applyNumberFormat="0" applyAlignment="0" applyProtection="0">
      <alignment vertical="center"/>
    </xf>
    <xf numFmtId="0" fontId="45" fillId="52" borderId="4" applyNumberFormat="0" applyAlignment="0" applyProtection="0">
      <alignment vertical="center"/>
    </xf>
    <xf numFmtId="0" fontId="45" fillId="52" borderId="4" applyNumberFormat="0" applyAlignment="0" applyProtection="0">
      <alignment vertical="center"/>
    </xf>
    <xf numFmtId="0" fontId="45" fillId="52" borderId="4" applyNumberFormat="0" applyAlignment="0" applyProtection="0">
      <alignment vertical="center"/>
    </xf>
    <xf numFmtId="0" fontId="46" fillId="51" borderId="10" applyNumberFormat="0" applyAlignment="0" applyProtection="0">
      <alignment vertical="center"/>
    </xf>
    <xf numFmtId="0" fontId="46" fillId="51" borderId="10" applyNumberFormat="0" applyAlignment="0" applyProtection="0">
      <alignment vertical="center"/>
    </xf>
    <xf numFmtId="0" fontId="46" fillId="51" borderId="10" applyNumberFormat="0" applyAlignment="0" applyProtection="0">
      <alignment vertical="center"/>
    </xf>
    <xf numFmtId="0" fontId="46" fillId="51" borderId="10" applyNumberFormat="0" applyAlignment="0" applyProtection="0">
      <alignment vertical="center"/>
    </xf>
    <xf numFmtId="0" fontId="46" fillId="51" borderId="10" applyNumberFormat="0" applyAlignment="0" applyProtection="0">
      <alignment vertical="center"/>
    </xf>
    <xf numFmtId="0" fontId="46" fillId="51" borderId="10" applyNumberFormat="0" applyAlignment="0" applyProtection="0">
      <alignment vertical="center"/>
    </xf>
    <xf numFmtId="0" fontId="46" fillId="51" borderId="10" applyNumberFormat="0" applyAlignment="0" applyProtection="0">
      <alignment vertical="center"/>
    </xf>
    <xf numFmtId="0" fontId="46" fillId="51" borderId="10" applyNumberFormat="0" applyAlignment="0" applyProtection="0">
      <alignment vertical="center"/>
    </xf>
    <xf numFmtId="0" fontId="46" fillId="51" borderId="10" applyNumberFormat="0" applyAlignment="0" applyProtection="0">
      <alignment vertical="center"/>
    </xf>
    <xf numFmtId="0" fontId="46" fillId="51" borderId="10" applyNumberFormat="0" applyAlignment="0" applyProtection="0">
      <alignment vertical="center"/>
    </xf>
    <xf numFmtId="0" fontId="46" fillId="51" borderId="10" applyNumberFormat="0" applyAlignment="0" applyProtection="0">
      <alignment vertical="center"/>
    </xf>
    <xf numFmtId="0" fontId="46" fillId="51" borderId="10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1" fillId="52" borderId="5" applyNumberFormat="0" applyAlignment="0" applyProtection="0">
      <alignment vertical="center"/>
    </xf>
    <xf numFmtId="0" fontId="51" fillId="52" borderId="5" applyNumberFormat="0" applyAlignment="0" applyProtection="0">
      <alignment vertical="center"/>
    </xf>
    <xf numFmtId="0" fontId="51" fillId="52" borderId="5" applyNumberFormat="0" applyAlignment="0" applyProtection="0">
      <alignment vertical="center"/>
    </xf>
    <xf numFmtId="0" fontId="51" fillId="52" borderId="5" applyNumberFormat="0" applyAlignment="0" applyProtection="0">
      <alignment vertical="center"/>
    </xf>
    <xf numFmtId="0" fontId="51" fillId="52" borderId="5" applyNumberFormat="0" applyAlignment="0" applyProtection="0">
      <alignment vertical="center"/>
    </xf>
    <xf numFmtId="0" fontId="51" fillId="52" borderId="5" applyNumberFormat="0" applyAlignment="0" applyProtection="0">
      <alignment vertical="center"/>
    </xf>
    <xf numFmtId="0" fontId="51" fillId="52" borderId="5" applyNumberFormat="0" applyAlignment="0" applyProtection="0">
      <alignment vertical="center"/>
    </xf>
    <xf numFmtId="0" fontId="51" fillId="52" borderId="5" applyNumberFormat="0" applyAlignment="0" applyProtection="0">
      <alignment vertical="center"/>
    </xf>
    <xf numFmtId="0" fontId="51" fillId="52" borderId="5" applyNumberFormat="0" applyAlignment="0" applyProtection="0">
      <alignment vertical="center"/>
    </xf>
    <xf numFmtId="0" fontId="51" fillId="52" borderId="5" applyNumberFormat="0" applyAlignment="0" applyProtection="0">
      <alignment vertical="center"/>
    </xf>
    <xf numFmtId="0" fontId="51" fillId="52" borderId="5" applyNumberFormat="0" applyAlignment="0" applyProtection="0">
      <alignment vertical="center"/>
    </xf>
    <xf numFmtId="0" fontId="51" fillId="52" borderId="5" applyNumberFormat="0" applyAlignment="0" applyProtection="0">
      <alignment vertical="center"/>
    </xf>
    <xf numFmtId="0" fontId="52" fillId="42" borderId="4" applyNumberFormat="0" applyAlignment="0" applyProtection="0">
      <alignment vertical="center"/>
    </xf>
    <xf numFmtId="0" fontId="52" fillId="42" borderId="4" applyNumberFormat="0" applyAlignment="0" applyProtection="0">
      <alignment vertical="center"/>
    </xf>
    <xf numFmtId="0" fontId="52" fillId="42" borderId="4" applyNumberFormat="0" applyAlignment="0" applyProtection="0">
      <alignment vertical="center"/>
    </xf>
    <xf numFmtId="0" fontId="52" fillId="42" borderId="4" applyNumberFormat="0" applyAlignment="0" applyProtection="0">
      <alignment vertical="center"/>
    </xf>
    <xf numFmtId="0" fontId="52" fillId="42" borderId="4" applyNumberFormat="0" applyAlignment="0" applyProtection="0">
      <alignment vertical="center"/>
    </xf>
    <xf numFmtId="0" fontId="52" fillId="42" borderId="4" applyNumberFormat="0" applyAlignment="0" applyProtection="0">
      <alignment vertical="center"/>
    </xf>
    <xf numFmtId="0" fontId="52" fillId="42" borderId="4" applyNumberFormat="0" applyAlignment="0" applyProtection="0">
      <alignment vertical="center"/>
    </xf>
    <xf numFmtId="0" fontId="52" fillId="42" borderId="4" applyNumberFormat="0" applyAlignment="0" applyProtection="0">
      <alignment vertical="center"/>
    </xf>
    <xf numFmtId="0" fontId="52" fillId="42" borderId="4" applyNumberFormat="0" applyAlignment="0" applyProtection="0">
      <alignment vertical="center"/>
    </xf>
    <xf numFmtId="0" fontId="52" fillId="42" borderId="4" applyNumberFormat="0" applyAlignment="0" applyProtection="0">
      <alignment vertical="center"/>
    </xf>
    <xf numFmtId="0" fontId="52" fillId="42" borderId="4" applyNumberFormat="0" applyAlignment="0" applyProtection="0">
      <alignment vertical="center"/>
    </xf>
    <xf numFmtId="0" fontId="52" fillId="42" borderId="4" applyNumberFormat="0" applyAlignment="0" applyProtection="0">
      <alignment vertical="center"/>
    </xf>
    <xf numFmtId="0" fontId="34" fillId="37" borderId="13" applyNumberFormat="0" applyFont="0" applyAlignment="0" applyProtection="0">
      <alignment vertical="center"/>
    </xf>
    <xf numFmtId="0" fontId="34" fillId="37" borderId="13" applyNumberFormat="0" applyFont="0" applyAlignment="0" applyProtection="0">
      <alignment vertical="center"/>
    </xf>
    <xf numFmtId="0" fontId="34" fillId="37" borderId="13" applyNumberFormat="0" applyFont="0" applyAlignment="0" applyProtection="0">
      <alignment vertical="center"/>
    </xf>
    <xf numFmtId="0" fontId="34" fillId="37" borderId="13" applyNumberFormat="0" applyFont="0" applyAlignment="0" applyProtection="0">
      <alignment vertical="center"/>
    </xf>
    <xf numFmtId="0" fontId="34" fillId="37" borderId="13" applyNumberFormat="0" applyFont="0" applyAlignment="0" applyProtection="0">
      <alignment vertical="center"/>
    </xf>
    <xf numFmtId="0" fontId="34" fillId="37" borderId="13" applyNumberFormat="0" applyFont="0" applyAlignment="0" applyProtection="0">
      <alignment vertical="center"/>
    </xf>
    <xf numFmtId="0" fontId="34" fillId="37" borderId="13" applyNumberFormat="0" applyFont="0" applyAlignment="0" applyProtection="0">
      <alignment vertical="center"/>
    </xf>
    <xf numFmtId="0" fontId="34" fillId="37" borderId="13" applyNumberFormat="0" applyFont="0" applyAlignment="0" applyProtection="0">
      <alignment vertical="center"/>
    </xf>
    <xf numFmtId="0" fontId="34" fillId="37" borderId="13" applyNumberFormat="0" applyFont="0" applyAlignment="0" applyProtection="0">
      <alignment vertical="center"/>
    </xf>
    <xf numFmtId="0" fontId="34" fillId="37" borderId="13" applyNumberFormat="0" applyFont="0" applyAlignment="0" applyProtection="0">
      <alignment vertical="center"/>
    </xf>
    <xf numFmtId="0" fontId="34" fillId="37" borderId="13" applyNumberFormat="0" applyFont="0" applyAlignment="0" applyProtection="0">
      <alignment vertical="center"/>
    </xf>
    <xf numFmtId="0" fontId="34" fillId="37" borderId="13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/>
    <xf numFmtId="0" fontId="60" fillId="0" borderId="15" applyNumberFormat="0" applyFill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4" fillId="0" borderId="0">
      <alignment vertical="center"/>
    </xf>
    <xf numFmtId="0" fontId="61" fillId="31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4" fillId="0" borderId="0">
      <alignment vertical="center"/>
    </xf>
    <xf numFmtId="0" fontId="61" fillId="31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56" fillId="45" borderId="0" applyNumberFormat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4" fillId="0" borderId="0">
      <alignment vertical="center"/>
    </xf>
    <xf numFmtId="0" fontId="56" fillId="36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72" fillId="0" borderId="0"/>
    <xf numFmtId="0" fontId="59" fillId="0" borderId="9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4" fillId="0" borderId="0">
      <alignment vertical="center"/>
    </xf>
    <xf numFmtId="0" fontId="55" fillId="4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4" fillId="0" borderId="0">
      <alignment vertical="center"/>
    </xf>
    <xf numFmtId="0" fontId="56" fillId="45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54" fillId="0" borderId="0">
      <alignment vertical="center"/>
    </xf>
    <xf numFmtId="0" fontId="62" fillId="32" borderId="0" applyNumberFormat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4" fillId="0" borderId="0">
      <alignment vertical="center"/>
    </xf>
    <xf numFmtId="0" fontId="56" fillId="41" borderId="0" applyNumberFormat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/>
    <xf numFmtId="0" fontId="56" fillId="45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54" fillId="0" borderId="0">
      <alignment vertical="center"/>
    </xf>
    <xf numFmtId="0" fontId="56" fillId="50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4" fillId="0" borderId="0">
      <alignment vertical="center"/>
    </xf>
    <xf numFmtId="0" fontId="55" fillId="41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4" fillId="0" borderId="0">
      <alignment vertical="center"/>
    </xf>
    <xf numFmtId="0" fontId="59" fillId="0" borderId="9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4" fillId="0" borderId="0">
      <alignment vertical="center"/>
    </xf>
    <xf numFmtId="0" fontId="56" fillId="42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4" fillId="0" borderId="0">
      <alignment vertical="center"/>
    </xf>
    <xf numFmtId="0" fontId="55" fillId="34" borderId="0" applyNumberFormat="0" applyBorder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4" fillId="0" borderId="0">
      <alignment vertical="center"/>
    </xf>
    <xf numFmtId="0" fontId="56" fillId="4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4" fillId="0" borderId="0">
      <alignment vertical="center"/>
    </xf>
    <xf numFmtId="0" fontId="55" fillId="36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4" fillId="0" borderId="0">
      <alignment vertical="center"/>
    </xf>
    <xf numFmtId="0" fontId="56" fillId="45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5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6" fillId="36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4" fillId="0" borderId="0">
      <alignment vertical="center"/>
    </xf>
    <xf numFmtId="0" fontId="55" fillId="34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0" borderId="0">
      <alignment vertical="center"/>
    </xf>
    <xf numFmtId="0" fontId="67" fillId="0" borderId="0" applyNumberFormat="0" applyFill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4" fillId="0" borderId="0">
      <alignment vertical="center"/>
    </xf>
    <xf numFmtId="0" fontId="56" fillId="49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2" fillId="0" borderId="0">
      <alignment vertical="center"/>
    </xf>
    <xf numFmtId="0" fontId="56" fillId="5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13" fillId="52" borderId="4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24" fillId="51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15" fillId="52" borderId="5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20" fillId="42" borderId="4" applyNumberForma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17" fillId="37" borderId="13" applyNumberFormat="0" applyFont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72" fillId="0" borderId="0"/>
    <xf numFmtId="0" fontId="54" fillId="0" borderId="0">
      <alignment vertical="center"/>
    </xf>
    <xf numFmtId="0" fontId="64" fillId="52" borderId="4" applyNumberFormat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4" fillId="0" borderId="0">
      <alignment vertical="center"/>
    </xf>
    <xf numFmtId="0" fontId="61" fillId="31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54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71" fillId="42" borderId="4" applyNumberFormat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3" fillId="0" borderId="6" applyNumberFormat="0" applyFill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3" fillId="0" borderId="6" applyNumberFormat="0" applyFill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64" fillId="52" borderId="4" applyNumberFormat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5" fillId="51" borderId="10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>
      <alignment vertical="center"/>
    </xf>
    <xf numFmtId="0" fontId="55" fillId="41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4" fillId="0" borderId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0" fillId="52" borderId="5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71" fillId="42" borderId="4" applyNumberForma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54" fillId="37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7" fillId="0" borderId="0">
      <alignment vertical="center"/>
    </xf>
    <xf numFmtId="0" fontId="78" fillId="35" borderId="0" applyNumberFormat="0" applyBorder="0" applyAlignment="0" applyProtection="0">
      <alignment vertical="center"/>
    </xf>
    <xf numFmtId="0" fontId="78" fillId="35" borderId="0" applyNumberFormat="0" applyBorder="0" applyAlignment="0" applyProtection="0">
      <alignment vertical="center"/>
    </xf>
    <xf numFmtId="0" fontId="78" fillId="35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78" fillId="37" borderId="0" applyNumberFormat="0" applyBorder="0" applyAlignment="0" applyProtection="0">
      <alignment vertical="center"/>
    </xf>
    <xf numFmtId="0" fontId="78" fillId="37" borderId="0" applyNumberFormat="0" applyBorder="0" applyAlignment="0" applyProtection="0">
      <alignment vertical="center"/>
    </xf>
    <xf numFmtId="0" fontId="78" fillId="37" borderId="0" applyNumberFormat="0" applyBorder="0" applyAlignment="0" applyProtection="0">
      <alignment vertical="center"/>
    </xf>
    <xf numFmtId="0" fontId="78" fillId="35" borderId="0" applyNumberFormat="0" applyBorder="0" applyAlignment="0" applyProtection="0">
      <alignment vertical="center"/>
    </xf>
    <xf numFmtId="0" fontId="78" fillId="35" borderId="0" applyNumberFormat="0" applyBorder="0" applyAlignment="0" applyProtection="0">
      <alignment vertical="center"/>
    </xf>
    <xf numFmtId="0" fontId="78" fillId="35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7" borderId="0" applyNumberFormat="0" applyBorder="0" applyAlignment="0" applyProtection="0">
      <alignment vertical="center"/>
    </xf>
    <xf numFmtId="0" fontId="78" fillId="37" borderId="0" applyNumberFormat="0" applyBorder="0" applyAlignment="0" applyProtection="0">
      <alignment vertical="center"/>
    </xf>
    <xf numFmtId="0" fontId="78" fillId="37" borderId="0" applyNumberFormat="0" applyBorder="0" applyAlignment="0" applyProtection="0">
      <alignment vertical="center"/>
    </xf>
    <xf numFmtId="0" fontId="78" fillId="41" borderId="0" applyNumberFormat="0" applyBorder="0" applyAlignment="0" applyProtection="0">
      <alignment vertical="center"/>
    </xf>
    <xf numFmtId="0" fontId="78" fillId="41" borderId="0" applyNumberFormat="0" applyBorder="0" applyAlignment="0" applyProtection="0">
      <alignment vertical="center"/>
    </xf>
    <xf numFmtId="0" fontId="78" fillId="41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78" fillId="42" borderId="0" applyNumberFormat="0" applyBorder="0" applyAlignment="0" applyProtection="0">
      <alignment vertical="center"/>
    </xf>
    <xf numFmtId="0" fontId="78" fillId="42" borderId="0" applyNumberFormat="0" applyBorder="0" applyAlignment="0" applyProtection="0">
      <alignment vertical="center"/>
    </xf>
    <xf numFmtId="0" fontId="78" fillId="42" borderId="0" applyNumberFormat="0" applyBorder="0" applyAlignment="0" applyProtection="0">
      <alignment vertical="center"/>
    </xf>
    <xf numFmtId="0" fontId="78" fillId="41" borderId="0" applyNumberFormat="0" applyBorder="0" applyAlignment="0" applyProtection="0">
      <alignment vertical="center"/>
    </xf>
    <xf numFmtId="0" fontId="78" fillId="41" borderId="0" applyNumberFormat="0" applyBorder="0" applyAlignment="0" applyProtection="0">
      <alignment vertical="center"/>
    </xf>
    <xf numFmtId="0" fontId="78" fillId="41" borderId="0" applyNumberFormat="0" applyBorder="0" applyAlignment="0" applyProtection="0">
      <alignment vertical="center"/>
    </xf>
    <xf numFmtId="0" fontId="78" fillId="38" borderId="0" applyNumberFormat="0" applyBorder="0" applyAlignment="0" applyProtection="0">
      <alignment vertical="center"/>
    </xf>
    <xf numFmtId="0" fontId="78" fillId="38" borderId="0" applyNumberFormat="0" applyBorder="0" applyAlignment="0" applyProtection="0">
      <alignment vertical="center"/>
    </xf>
    <xf numFmtId="0" fontId="78" fillId="38" borderId="0" applyNumberFormat="0" applyBorder="0" applyAlignment="0" applyProtection="0">
      <alignment vertical="center"/>
    </xf>
    <xf numFmtId="0" fontId="78" fillId="42" borderId="0" applyNumberFormat="0" applyBorder="0" applyAlignment="0" applyProtection="0">
      <alignment vertical="center"/>
    </xf>
    <xf numFmtId="0" fontId="78" fillId="42" borderId="0" applyNumberFormat="0" applyBorder="0" applyAlignment="0" applyProtection="0">
      <alignment vertical="center"/>
    </xf>
    <xf numFmtId="0" fontId="78" fillId="42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81" fillId="0" borderId="14" applyNumberFormat="0" applyFill="0" applyAlignment="0" applyProtection="0">
      <alignment vertical="center"/>
    </xf>
    <xf numFmtId="0" fontId="81" fillId="0" borderId="14" applyNumberFormat="0" applyFill="0" applyAlignment="0" applyProtection="0">
      <alignment vertical="center"/>
    </xf>
    <xf numFmtId="0" fontId="81" fillId="0" borderId="14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3" fillId="0" borderId="15" applyNumberFormat="0" applyFill="0" applyAlignment="0" applyProtection="0">
      <alignment vertical="center"/>
    </xf>
    <xf numFmtId="0" fontId="83" fillId="0" borderId="15" applyNumberFormat="0" applyFill="0" applyAlignment="0" applyProtection="0">
      <alignment vertical="center"/>
    </xf>
    <xf numFmtId="0" fontId="83" fillId="0" borderId="15" applyNumberFormat="0" applyFill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6" fillId="0" borderId="6" applyNumberFormat="0" applyFill="0" applyAlignment="0" applyProtection="0">
      <alignment vertical="center"/>
    </xf>
    <xf numFmtId="0" fontId="86" fillId="0" borderId="6" applyNumberFormat="0" applyFill="0" applyAlignment="0" applyProtection="0">
      <alignment vertical="center"/>
    </xf>
    <xf numFmtId="0" fontId="86" fillId="0" borderId="6" applyNumberFormat="0" applyFill="0" applyAlignment="0" applyProtection="0">
      <alignment vertical="center"/>
    </xf>
    <xf numFmtId="0" fontId="87" fillId="52" borderId="4" applyNumberFormat="0" applyAlignment="0" applyProtection="0">
      <alignment vertical="center"/>
    </xf>
    <xf numFmtId="0" fontId="87" fillId="52" borderId="4" applyNumberFormat="0" applyAlignment="0" applyProtection="0">
      <alignment vertical="center"/>
    </xf>
    <xf numFmtId="0" fontId="87" fillId="52" borderId="4" applyNumberFormat="0" applyAlignment="0" applyProtection="0">
      <alignment vertical="center"/>
    </xf>
    <xf numFmtId="0" fontId="88" fillId="51" borderId="10" applyNumberFormat="0" applyAlignment="0" applyProtection="0">
      <alignment vertical="center"/>
    </xf>
    <xf numFmtId="0" fontId="88" fillId="51" borderId="10" applyNumberFormat="0" applyAlignment="0" applyProtection="0">
      <alignment vertical="center"/>
    </xf>
    <xf numFmtId="0" fontId="88" fillId="51" borderId="10" applyNumberForma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12" applyNumberFormat="0" applyFill="0" applyAlignment="0" applyProtection="0">
      <alignment vertical="center"/>
    </xf>
    <xf numFmtId="0" fontId="91" fillId="0" borderId="12" applyNumberFormat="0" applyFill="0" applyAlignment="0" applyProtection="0">
      <alignment vertical="center"/>
    </xf>
    <xf numFmtId="0" fontId="91" fillId="0" borderId="12" applyNumberFormat="0" applyFill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9" borderId="0" applyNumberFormat="0" applyBorder="0" applyAlignment="0" applyProtection="0">
      <alignment vertical="center"/>
    </xf>
    <xf numFmtId="0" fontId="79" fillId="49" borderId="0" applyNumberFormat="0" applyBorder="0" applyAlignment="0" applyProtection="0">
      <alignment vertical="center"/>
    </xf>
    <xf numFmtId="0" fontId="79" fillId="49" borderId="0" applyNumberFormat="0" applyBorder="0" applyAlignment="0" applyProtection="0">
      <alignment vertical="center"/>
    </xf>
    <xf numFmtId="0" fontId="79" fillId="53" borderId="0" applyNumberFormat="0" applyBorder="0" applyAlignment="0" applyProtection="0">
      <alignment vertical="center"/>
    </xf>
    <xf numFmtId="0" fontId="79" fillId="53" borderId="0" applyNumberFormat="0" applyBorder="0" applyAlignment="0" applyProtection="0">
      <alignment vertical="center"/>
    </xf>
    <xf numFmtId="0" fontId="79" fillId="53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50" borderId="0" applyNumberFormat="0" applyBorder="0" applyAlignment="0" applyProtection="0">
      <alignment vertical="center"/>
    </xf>
    <xf numFmtId="0" fontId="79" fillId="50" borderId="0" applyNumberFormat="0" applyBorder="0" applyAlignment="0" applyProtection="0">
      <alignment vertical="center"/>
    </xf>
    <xf numFmtId="0" fontId="79" fillId="50" borderId="0" applyNumberFormat="0" applyBorder="0" applyAlignment="0" applyProtection="0">
      <alignment vertical="center"/>
    </xf>
    <xf numFmtId="0" fontId="92" fillId="42" borderId="0" applyNumberFormat="0" applyBorder="0" applyAlignment="0" applyProtection="0">
      <alignment vertical="center"/>
    </xf>
    <xf numFmtId="0" fontId="92" fillId="42" borderId="0" applyNumberFormat="0" applyBorder="0" applyAlignment="0" applyProtection="0">
      <alignment vertical="center"/>
    </xf>
    <xf numFmtId="0" fontId="92" fillId="42" borderId="0" applyNumberFormat="0" applyBorder="0" applyAlignment="0" applyProtection="0">
      <alignment vertical="center"/>
    </xf>
    <xf numFmtId="0" fontId="93" fillId="52" borderId="5" applyNumberFormat="0" applyAlignment="0" applyProtection="0">
      <alignment vertical="center"/>
    </xf>
    <xf numFmtId="0" fontId="93" fillId="52" borderId="5" applyNumberFormat="0" applyAlignment="0" applyProtection="0">
      <alignment vertical="center"/>
    </xf>
    <xf numFmtId="0" fontId="93" fillId="52" borderId="5" applyNumberFormat="0" applyAlignment="0" applyProtection="0">
      <alignment vertical="center"/>
    </xf>
    <xf numFmtId="0" fontId="94" fillId="42" borderId="4" applyNumberFormat="0" applyAlignment="0" applyProtection="0">
      <alignment vertical="center"/>
    </xf>
    <xf numFmtId="0" fontId="94" fillId="42" borderId="4" applyNumberFormat="0" applyAlignment="0" applyProtection="0">
      <alignment vertical="center"/>
    </xf>
    <xf numFmtId="0" fontId="94" fillId="42" borderId="4" applyNumberFormat="0" applyAlignment="0" applyProtection="0">
      <alignment vertical="center"/>
    </xf>
    <xf numFmtId="0" fontId="77" fillId="37" borderId="13" applyNumberFormat="0" applyFont="0" applyAlignment="0" applyProtection="0">
      <alignment vertical="center"/>
    </xf>
    <xf numFmtId="0" fontId="77" fillId="37" borderId="13" applyNumberFormat="0" applyFont="0" applyAlignment="0" applyProtection="0">
      <alignment vertical="center"/>
    </xf>
    <xf numFmtId="0" fontId="77" fillId="37" borderId="13" applyNumberFormat="0" applyFont="0" applyAlignment="0" applyProtection="0">
      <alignment vertical="center"/>
    </xf>
  </cellStyleXfs>
  <cellXfs count="36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 wrapText="1"/>
    </xf>
    <xf numFmtId="0" fontId="32" fillId="0" borderId="1" xfId="1110" applyNumberFormat="1" applyFont="1" applyBorder="1" applyAlignment="1">
      <alignment horizontal="center" vertical="center"/>
    </xf>
    <xf numFmtId="0" fontId="9" fillId="0" borderId="16" xfId="1113" applyBorder="1">
      <alignment vertical="center"/>
    </xf>
    <xf numFmtId="0" fontId="9" fillId="0" borderId="16" xfId="1113" applyFont="1" applyBorder="1">
      <alignment vertical="center"/>
    </xf>
    <xf numFmtId="0" fontId="9" fillId="0" borderId="16" xfId="1113" applyFont="1" applyFill="1" applyBorder="1">
      <alignment vertical="center"/>
    </xf>
    <xf numFmtId="176" fontId="33" fillId="54" borderId="16" xfId="1113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top"/>
    </xf>
    <xf numFmtId="49" fontId="7" fillId="4" borderId="1" xfId="0" applyNumberFormat="1" applyFont="1" applyFill="1" applyBorder="1" applyAlignment="1">
      <alignment horizontal="center" vertical="top"/>
    </xf>
    <xf numFmtId="49" fontId="7" fillId="5" borderId="1" xfId="0" applyNumberFormat="1" applyFont="1" applyFill="1" applyBorder="1" applyAlignment="1">
      <alignment horizontal="center" vertical="top" wrapText="1"/>
    </xf>
    <xf numFmtId="49" fontId="0" fillId="0" borderId="3" xfId="0" applyNumberFormat="1" applyBorder="1" applyAlignment="1">
      <alignment horizontal="center" vertical="top"/>
    </xf>
    <xf numFmtId="49" fontId="0" fillId="0" borderId="2" xfId="0" applyNumberFormat="1" applyBorder="1" applyAlignment="1">
      <alignment horizontal="center" vertical="top"/>
    </xf>
    <xf numFmtId="0" fontId="53" fillId="0" borderId="2" xfId="0" applyFont="1" applyBorder="1" applyAlignment="1">
      <alignment horizontal="center" vertical="top"/>
    </xf>
    <xf numFmtId="0" fontId="74" fillId="0" borderId="2" xfId="0" applyFont="1" applyBorder="1" applyAlignment="1">
      <alignment horizontal="center" vertical="top"/>
    </xf>
    <xf numFmtId="0" fontId="76" fillId="0" borderId="1" xfId="1110" applyNumberFormat="1" applyFont="1" applyBorder="1" applyAlignment="1">
      <alignment horizontal="center" vertical="center"/>
    </xf>
    <xf numFmtId="0" fontId="75" fillId="0" borderId="2" xfId="0" applyFont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49" fontId="0" fillId="0" borderId="3" xfId="0" applyNumberFormat="1" applyBorder="1" applyAlignment="1">
      <alignment horizontal="center" vertical="top"/>
    </xf>
    <xf numFmtId="49" fontId="0" fillId="0" borderId="2" xfId="0" applyNumberFormat="1" applyBorder="1" applyAlignment="1">
      <alignment horizontal="center" vertical="top"/>
    </xf>
    <xf numFmtId="0" fontId="35" fillId="0" borderId="16" xfId="1335" applyFont="1" applyBorder="1" applyAlignment="1">
      <alignment horizontal="center" vertical="center" wrapText="1"/>
    </xf>
    <xf numFmtId="0" fontId="0" fillId="2" borderId="3" xfId="1837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75" fillId="0" borderId="17" xfId="0" applyFont="1" applyBorder="1" applyAlignment="1">
      <alignment horizontal="center" vertical="top" wrapText="1"/>
    </xf>
    <xf numFmtId="0" fontId="75" fillId="0" borderId="17" xfId="0" applyFont="1" applyBorder="1" applyAlignment="1">
      <alignment horizontal="center" vertical="top"/>
    </xf>
    <xf numFmtId="0" fontId="75" fillId="0" borderId="2" xfId="0" applyFont="1" applyBorder="1" applyAlignment="1">
      <alignment horizontal="center" vertical="top" wrapText="1"/>
    </xf>
    <xf numFmtId="0" fontId="35" fillId="0" borderId="16" xfId="3727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top"/>
    </xf>
  </cellXfs>
  <cellStyles count="3851">
    <cellStyle name="20% - Accent1" xfId="14"/>
    <cellStyle name="20% - Accent1 2" xfId="100"/>
    <cellStyle name="20% - Accent1 2 2" xfId="177"/>
    <cellStyle name="20% - Accent1 2 2 2" xfId="795"/>
    <cellStyle name="20% - Accent1 2 3" xfId="178"/>
    <cellStyle name="20% - Accent1 2 3 2" xfId="796"/>
    <cellStyle name="20% - Accent1 2 4" xfId="720"/>
    <cellStyle name="20% - Accent1 2 4 2" xfId="1266"/>
    <cellStyle name="20% - Accent1 2 5" xfId="794"/>
    <cellStyle name="20% - Accent1 2 6" xfId="176"/>
    <cellStyle name="20% - Accent1 3" xfId="179"/>
    <cellStyle name="20% - Accent1 3 2" xfId="797"/>
    <cellStyle name="20% - Accent1 4" xfId="558"/>
    <cellStyle name="20% - Accent1 5" xfId="654"/>
    <cellStyle name="20% - Accent1 5 2" xfId="1124"/>
    <cellStyle name="20% - Accent1 6" xfId="175"/>
    <cellStyle name="20% - Accent2" xfId="8"/>
    <cellStyle name="20% - Accent2 2" xfId="94"/>
    <cellStyle name="20% - Accent2 2 2" xfId="182"/>
    <cellStyle name="20% - Accent2 2 2 2" xfId="799"/>
    <cellStyle name="20% - Accent2 2 3" xfId="183"/>
    <cellStyle name="20% - Accent2 2 3 2" xfId="800"/>
    <cellStyle name="20% - Accent2 2 4" xfId="714"/>
    <cellStyle name="20% - Accent2 2 4 2" xfId="1267"/>
    <cellStyle name="20% - Accent2 2 5" xfId="798"/>
    <cellStyle name="20% - Accent2 2 6" xfId="181"/>
    <cellStyle name="20% - Accent2 3" xfId="184"/>
    <cellStyle name="20% - Accent2 3 2" xfId="801"/>
    <cellStyle name="20% - Accent2 4" xfId="559"/>
    <cellStyle name="20% - Accent2 5" xfId="648"/>
    <cellStyle name="20% - Accent2 5 2" xfId="1125"/>
    <cellStyle name="20% - Accent2 6" xfId="180"/>
    <cellStyle name="20% - Accent3" xfId="10"/>
    <cellStyle name="20% - Accent3 2" xfId="96"/>
    <cellStyle name="20% - Accent3 2 2" xfId="187"/>
    <cellStyle name="20% - Accent3 2 2 2" xfId="803"/>
    <cellStyle name="20% - Accent3 2 3" xfId="188"/>
    <cellStyle name="20% - Accent3 2 3 2" xfId="804"/>
    <cellStyle name="20% - Accent3 2 4" xfId="716"/>
    <cellStyle name="20% - Accent3 2 4 2" xfId="1268"/>
    <cellStyle name="20% - Accent3 2 5" xfId="802"/>
    <cellStyle name="20% - Accent3 2 6" xfId="186"/>
    <cellStyle name="20% - Accent3 3" xfId="189"/>
    <cellStyle name="20% - Accent3 3 2" xfId="805"/>
    <cellStyle name="20% - Accent3 4" xfId="560"/>
    <cellStyle name="20% - Accent3 5" xfId="650"/>
    <cellStyle name="20% - Accent3 5 2" xfId="1126"/>
    <cellStyle name="20% - Accent3 6" xfId="185"/>
    <cellStyle name="20% - Accent4" xfId="3"/>
    <cellStyle name="20% - Accent4 2" xfId="89"/>
    <cellStyle name="20% - Accent4 2 2" xfId="192"/>
    <cellStyle name="20% - Accent4 2 2 2" xfId="807"/>
    <cellStyle name="20% - Accent4 2 3" xfId="193"/>
    <cellStyle name="20% - Accent4 2 3 2" xfId="808"/>
    <cellStyle name="20% - Accent4 2 4" xfId="709"/>
    <cellStyle name="20% - Accent4 2 4 2" xfId="1269"/>
    <cellStyle name="20% - Accent4 2 5" xfId="806"/>
    <cellStyle name="20% - Accent4 2 6" xfId="191"/>
    <cellStyle name="20% - Accent4 3" xfId="194"/>
    <cellStyle name="20% - Accent4 3 2" xfId="809"/>
    <cellStyle name="20% - Accent4 4" xfId="561"/>
    <cellStyle name="20% - Accent4 5" xfId="644"/>
    <cellStyle name="20% - Accent4 5 2" xfId="1127"/>
    <cellStyle name="20% - Accent4 6" xfId="190"/>
    <cellStyle name="20% - Accent5" xfId="11"/>
    <cellStyle name="20% - Accent5 2" xfId="97"/>
    <cellStyle name="20% - Accent5 2 2" xfId="197"/>
    <cellStyle name="20% - Accent5 2 2 2" xfId="811"/>
    <cellStyle name="20% - Accent5 2 3" xfId="198"/>
    <cellStyle name="20% - Accent5 2 3 2" xfId="812"/>
    <cellStyle name="20% - Accent5 2 4" xfId="717"/>
    <cellStyle name="20% - Accent5 2 4 2" xfId="1270"/>
    <cellStyle name="20% - Accent5 2 5" xfId="810"/>
    <cellStyle name="20% - Accent5 2 6" xfId="196"/>
    <cellStyle name="20% - Accent5 3" xfId="199"/>
    <cellStyle name="20% - Accent5 3 2" xfId="813"/>
    <cellStyle name="20% - Accent5 4" xfId="562"/>
    <cellStyle name="20% - Accent5 5" xfId="651"/>
    <cellStyle name="20% - Accent5 5 2" xfId="1128"/>
    <cellStyle name="20% - Accent5 6" xfId="195"/>
    <cellStyle name="20% - Accent6" xfId="12"/>
    <cellStyle name="20% - Accent6 2" xfId="98"/>
    <cellStyle name="20% - Accent6 2 2" xfId="202"/>
    <cellStyle name="20% - Accent6 2 2 2" xfId="815"/>
    <cellStyle name="20% - Accent6 2 3" xfId="203"/>
    <cellStyle name="20% - Accent6 2 3 2" xfId="816"/>
    <cellStyle name="20% - Accent6 2 4" xfId="718"/>
    <cellStyle name="20% - Accent6 2 4 2" xfId="1271"/>
    <cellStyle name="20% - Accent6 2 5" xfId="814"/>
    <cellStyle name="20% - Accent6 2 6" xfId="201"/>
    <cellStyle name="20% - Accent6 3" xfId="204"/>
    <cellStyle name="20% - Accent6 3 2" xfId="817"/>
    <cellStyle name="20% - Accent6 4" xfId="563"/>
    <cellStyle name="20% - Accent6 5" xfId="652"/>
    <cellStyle name="20% - Accent6 5 2" xfId="1129"/>
    <cellStyle name="20% - Accent6 6" xfId="200"/>
    <cellStyle name="20% - 强调文字颜色 1 2" xfId="2"/>
    <cellStyle name="20% - 强调文字颜色 1 2 2" xfId="88"/>
    <cellStyle name="20% - 强调文字颜色 1 2 2 2" xfId="207"/>
    <cellStyle name="20% - 强调文字颜色 1 2 2 2 2" xfId="819"/>
    <cellStyle name="20% - 强调文字颜色 1 2 2 2 2 2" xfId="1339"/>
    <cellStyle name="20% - 强调文字颜色 1 2 2 2 2 2 2" xfId="2664"/>
    <cellStyle name="20% - 强调文字颜色 1 2 2 2 2 2 3" xfId="2458"/>
    <cellStyle name="20% - 强调文字颜色 1 2 2 2 2 3" xfId="1940"/>
    <cellStyle name="20% - 强调文字颜色 1 2 2 2 2 4" xfId="3221"/>
    <cellStyle name="20% - 强调文字颜色 1 2 2 2 3" xfId="1340"/>
    <cellStyle name="20% - 强调文字颜色 1 2 2 2 3 2" xfId="2665"/>
    <cellStyle name="20% - 强调文字颜色 1 2 2 2 3 2 2" xfId="3222"/>
    <cellStyle name="20% - 强调文字颜色 1 2 2 2 3 3" xfId="1945"/>
    <cellStyle name="20% - 强调文字颜色 1 2 2 2 4" xfId="1338"/>
    <cellStyle name="20% - 强调文字颜色 1 2 2 2 4 2" xfId="2663"/>
    <cellStyle name="20% - 强调文字颜色 1 2 2 2 4 3" xfId="3223"/>
    <cellStyle name="20% - 强调文字颜色 1 2 2 2 5" xfId="2484"/>
    <cellStyle name="20% - 强调文字颜色 1 2 2 3" xfId="208"/>
    <cellStyle name="20% - 强调文字颜色 1 2 2 3 2" xfId="820"/>
    <cellStyle name="20% - 强调文字颜色 1 2 2 3 2 2" xfId="1936"/>
    <cellStyle name="20% - 强调文字颜色 1 2 2 3 3" xfId="1341"/>
    <cellStyle name="20% - 强调文字颜色 1 2 2 3 3 2" xfId="2666"/>
    <cellStyle name="20% - 强调文字颜色 1 2 2 3 3 3" xfId="2482"/>
    <cellStyle name="20% - 强调文字颜色 1 2 2 3 4" xfId="2160"/>
    <cellStyle name="20% - 强调文字颜色 1 2 2 4" xfId="708"/>
    <cellStyle name="20% - 强调文字颜色 1 2 2 4 2" xfId="1272"/>
    <cellStyle name="20% - 强调文字颜色 1 2 2 4 3" xfId="3220"/>
    <cellStyle name="20% - 强调文字颜色 1 2 2 5" xfId="818"/>
    <cellStyle name="20% - 强调文字颜色 1 2 2 5 2" xfId="3372"/>
    <cellStyle name="20% - 强调文字颜色 1 2 2 6" xfId="206"/>
    <cellStyle name="20% - 强调文字颜色 1 2 2 7" xfId="1337"/>
    <cellStyle name="20% - 强调文字颜色 1 2 2 7 2" xfId="2662"/>
    <cellStyle name="20% - 强调文字颜色 1 2 2 8" xfId="2234"/>
    <cellStyle name="20% - 强调文字颜色 1 2 2 9" xfId="3729"/>
    <cellStyle name="20% - 强调文字颜色 1 2 3" xfId="209"/>
    <cellStyle name="20% - 强调文字颜色 1 2 3 2" xfId="821"/>
    <cellStyle name="20% - 强调文字颜色 1 2 3 2 2" xfId="1344"/>
    <cellStyle name="20% - 强调文字颜色 1 2 3 2 2 2" xfId="2669"/>
    <cellStyle name="20% - 强调文字颜色 1 2 3 2 2 2 2" xfId="1871"/>
    <cellStyle name="20% - 强调文字颜色 1 2 3 2 2 3" xfId="1978"/>
    <cellStyle name="20% - 强调文字颜色 1 2 3 2 2 4" xfId="2645"/>
    <cellStyle name="20% - 强调文字颜色 1 2 3 2 3" xfId="1343"/>
    <cellStyle name="20% - 强调文字颜色 1 2 3 2 3 2" xfId="2668"/>
    <cellStyle name="20% - 强调文字颜色 1 2 3 2 3 3" xfId="2130"/>
    <cellStyle name="20% - 强调文字颜色 1 2 3 2 4" xfId="2394"/>
    <cellStyle name="20% - 强调文字颜色 1 2 3 2 5" xfId="2385"/>
    <cellStyle name="20% - 强调文字颜色 1 2 3 3" xfId="1342"/>
    <cellStyle name="20% - 强调文字颜色 1 2 3 3 2" xfId="2667"/>
    <cellStyle name="20% - 强调文字颜色 1 2 3 3 3" xfId="2055"/>
    <cellStyle name="20% - 强调文字颜色 1 2 3 4" xfId="3335"/>
    <cellStyle name="20% - 强调文字颜色 1 2 3 5" xfId="3730"/>
    <cellStyle name="20% - 强调文字颜色 1 2 4" xfId="564"/>
    <cellStyle name="20% - 强调文字颜色 1 2 4 2" xfId="1346"/>
    <cellStyle name="20% - 强调文字颜色 1 2 4 2 2" xfId="2671"/>
    <cellStyle name="20% - 强调文字颜色 1 2 4 2 2 2" xfId="3219"/>
    <cellStyle name="20% - 强调文字颜色 1 2 4 2 3" xfId="2196"/>
    <cellStyle name="20% - 强调文字颜色 1 2 4 2 4" xfId="3225"/>
    <cellStyle name="20% - 强调文字颜色 1 2 4 3" xfId="1347"/>
    <cellStyle name="20% - 强调文字颜色 1 2 4 3 2" xfId="2672"/>
    <cellStyle name="20% - 强调文字颜色 1 2 4 3 2 2" xfId="3226"/>
    <cellStyle name="20% - 强调文字颜色 1 2 4 3 3" xfId="3294"/>
    <cellStyle name="20% - 强调文字颜色 1 2 4 4" xfId="1345"/>
    <cellStyle name="20% - 强调文字颜色 1 2 4 4 2" xfId="2670"/>
    <cellStyle name="20% - 强调文字颜色 1 2 4 4 3" xfId="3228"/>
    <cellStyle name="20% - 强调文字颜色 1 2 4 5" xfId="1889"/>
    <cellStyle name="20% - 强调文字颜色 1 2 5" xfId="643"/>
    <cellStyle name="20% - 强调文字颜色 1 2 5 2" xfId="1130"/>
    <cellStyle name="20% - 强调文字颜色 1 2 5 3" xfId="3224"/>
    <cellStyle name="20% - 强调文字颜色 1 2 6" xfId="205"/>
    <cellStyle name="20% - 强调文字颜色 1 2 6 2" xfId="2250"/>
    <cellStyle name="20% - 强调文字颜色 1 2 7" xfId="1336"/>
    <cellStyle name="20% - 强调文字颜色 1 2 7 2" xfId="2661"/>
    <cellStyle name="20% - 强调文字颜色 1 2 7 3" xfId="3371"/>
    <cellStyle name="20% - 强调文字颜色 1 2 8" xfId="3359"/>
    <cellStyle name="20% - 强调文字颜色 1 2 9" xfId="3728"/>
    <cellStyle name="20% - 强调文字颜色 2 2" xfId="15"/>
    <cellStyle name="20% - 强调文字颜色 2 2 2" xfId="101"/>
    <cellStyle name="20% - 强调文字颜色 2 2 2 2" xfId="212"/>
    <cellStyle name="20% - 强调文字颜色 2 2 2 2 2" xfId="823"/>
    <cellStyle name="20% - 强调文字颜色 2 2 2 2 2 2" xfId="1351"/>
    <cellStyle name="20% - 强调文字颜色 2 2 2 2 2 2 2" xfId="2676"/>
    <cellStyle name="20% - 强调文字颜色 2 2 2 2 2 2 3" xfId="2299"/>
    <cellStyle name="20% - 强调文字颜色 2 2 2 2 2 3" xfId="2427"/>
    <cellStyle name="20% - 强调文字颜色 2 2 2 2 2 4" xfId="3227"/>
    <cellStyle name="20% - 强调文字颜色 2 2 2 2 3" xfId="1352"/>
    <cellStyle name="20% - 强调文字颜色 2 2 2 2 3 2" xfId="2677"/>
    <cellStyle name="20% - 强调文字颜色 2 2 2 2 3 2 2" xfId="1884"/>
    <cellStyle name="20% - 强调文字颜色 2 2 2 2 3 3" xfId="2638"/>
    <cellStyle name="20% - 强调文字颜色 2 2 2 2 4" xfId="1350"/>
    <cellStyle name="20% - 强调文字颜色 2 2 2 2 4 2" xfId="2675"/>
    <cellStyle name="20% - 强调文字颜色 2 2 2 2 4 3" xfId="3432"/>
    <cellStyle name="20% - 强调文字颜色 2 2 2 2 5" xfId="3361"/>
    <cellStyle name="20% - 强调文字颜色 2 2 2 3" xfId="213"/>
    <cellStyle name="20% - 强调文字颜色 2 2 2 3 2" xfId="824"/>
    <cellStyle name="20% - 强调文字颜色 2 2 2 3 2 2" xfId="2286"/>
    <cellStyle name="20% - 强调文字颜色 2 2 2 3 3" xfId="1353"/>
    <cellStyle name="20% - 强调文字颜色 2 2 2 3 3 2" xfId="2678"/>
    <cellStyle name="20% - 强调文字颜色 2 2 2 3 3 3" xfId="2131"/>
    <cellStyle name="20% - 强调文字颜色 2 2 2 3 4" xfId="2629"/>
    <cellStyle name="20% - 强调文字颜色 2 2 2 4" xfId="721"/>
    <cellStyle name="20% - 强调文字颜色 2 2 2 4 2" xfId="1273"/>
    <cellStyle name="20% - 强调文字颜色 2 2 2 4 3" xfId="2171"/>
    <cellStyle name="20% - 强调文字颜色 2 2 2 5" xfId="822"/>
    <cellStyle name="20% - 强调文字颜色 2 2 2 5 2" xfId="2158"/>
    <cellStyle name="20% - 强调文字颜色 2 2 2 6" xfId="211"/>
    <cellStyle name="20% - 强调文字颜色 2 2 2 7" xfId="1349"/>
    <cellStyle name="20% - 强调文字颜色 2 2 2 7 2" xfId="2674"/>
    <cellStyle name="20% - 强调文字颜色 2 2 2 8" xfId="2595"/>
    <cellStyle name="20% - 强调文字颜色 2 2 2 9" xfId="3732"/>
    <cellStyle name="20% - 强调文字颜色 2 2 3" xfId="214"/>
    <cellStyle name="20% - 强调文字颜色 2 2 3 2" xfId="825"/>
    <cellStyle name="20% - 强调文字颜色 2 2 3 2 2" xfId="1356"/>
    <cellStyle name="20% - 强调文字颜色 2 2 3 2 2 2" xfId="2681"/>
    <cellStyle name="20% - 强调文字颜色 2 2 3 2 2 2 2" xfId="1865"/>
    <cellStyle name="20% - 强调文字颜色 2 2 3 2 2 3" xfId="2143"/>
    <cellStyle name="20% - 强调文字颜色 2 2 3 2 2 4" xfId="3373"/>
    <cellStyle name="20% - 强调文字颜色 2 2 3 2 3" xfId="1355"/>
    <cellStyle name="20% - 强调文字颜色 2 2 3 2 3 2" xfId="2680"/>
    <cellStyle name="20% - 强调文字颜色 2 2 3 2 3 3" xfId="2056"/>
    <cellStyle name="20% - 强调文字颜色 2 2 3 2 4" xfId="1856"/>
    <cellStyle name="20% - 强调文字颜色 2 2 3 2 5" xfId="2104"/>
    <cellStyle name="20% - 强调文字颜色 2 2 3 3" xfId="1354"/>
    <cellStyle name="20% - 强调文字颜色 2 2 3 3 2" xfId="2679"/>
    <cellStyle name="20% - 强调文字颜色 2 2 3 3 3" xfId="3231"/>
    <cellStyle name="20% - 强调文字颜色 2 2 3 4" xfId="3269"/>
    <cellStyle name="20% - 强调文字颜色 2 2 3 5" xfId="3733"/>
    <cellStyle name="20% - 强调文字颜色 2 2 4" xfId="565"/>
    <cellStyle name="20% - 强调文字颜色 2 2 4 2" xfId="1358"/>
    <cellStyle name="20% - 强调文字颜色 2 2 4 2 2" xfId="2683"/>
    <cellStyle name="20% - 强调文字颜色 2 2 4 2 2 2" xfId="2589"/>
    <cellStyle name="20% - 强调文字颜色 2 2 4 2 3" xfId="2507"/>
    <cellStyle name="20% - 强调文字颜色 2 2 4 2 4" xfId="2069"/>
    <cellStyle name="20% - 强调文字颜色 2 2 4 3" xfId="1359"/>
    <cellStyle name="20% - 强调文字颜色 2 2 4 3 2" xfId="2684"/>
    <cellStyle name="20% - 强调文字颜色 2 2 4 3 2 2" xfId="1918"/>
    <cellStyle name="20% - 强调文字颜色 2 2 4 3 3" xfId="2257"/>
    <cellStyle name="20% - 强调文字颜色 2 2 4 4" xfId="1357"/>
    <cellStyle name="20% - 强调文字颜色 2 2 4 4 2" xfId="2682"/>
    <cellStyle name="20% - 强调文字颜色 2 2 4 4 3" xfId="3233"/>
    <cellStyle name="20% - 强调文字颜色 2 2 4 5" xfId="2328"/>
    <cellStyle name="20% - 强调文字颜色 2 2 5" xfId="655"/>
    <cellStyle name="20% - 强调文字颜色 2 2 5 2" xfId="1131"/>
    <cellStyle name="20% - 强调文字颜色 2 2 5 3" xfId="3230"/>
    <cellStyle name="20% - 强调文字颜色 2 2 6" xfId="210"/>
    <cellStyle name="20% - 强调文字颜色 2 2 6 2" xfId="1919"/>
    <cellStyle name="20% - 强调文字颜色 2 2 7" xfId="1348"/>
    <cellStyle name="20% - 强调文字颜色 2 2 7 2" xfId="2673"/>
    <cellStyle name="20% - 强调文字颜色 2 2 7 3" xfId="2467"/>
    <cellStyle name="20% - 强调文字颜色 2 2 8" xfId="2643"/>
    <cellStyle name="20% - 强调文字颜色 2 2 9" xfId="3731"/>
    <cellStyle name="20% - 强调文字颜色 3 2" xfId="17"/>
    <cellStyle name="20% - 强调文字颜色 3 2 2" xfId="103"/>
    <cellStyle name="20% - 强调文字颜色 3 2 2 2" xfId="217"/>
    <cellStyle name="20% - 强调文字颜色 3 2 2 2 2" xfId="827"/>
    <cellStyle name="20% - 强调文字颜色 3 2 2 2 2 2" xfId="1363"/>
    <cellStyle name="20% - 强调文字颜色 3 2 2 2 2 2 2" xfId="2688"/>
    <cellStyle name="20% - 强调文字颜色 3 2 2 2 2 2 3" xfId="1854"/>
    <cellStyle name="20% - 强调文字颜色 3 2 2 2 2 3" xfId="3460"/>
    <cellStyle name="20% - 强调文字颜色 3 2 2 2 2 4" xfId="2116"/>
    <cellStyle name="20% - 强调文字颜色 3 2 2 2 3" xfId="1364"/>
    <cellStyle name="20% - 强调文字颜色 3 2 2 2 3 2" xfId="2689"/>
    <cellStyle name="20% - 强调文字颜色 3 2 2 2 3 2 2" xfId="3232"/>
    <cellStyle name="20% - 强调文字颜色 3 2 2 2 3 3" xfId="1957"/>
    <cellStyle name="20% - 强调文字颜色 3 2 2 2 4" xfId="1362"/>
    <cellStyle name="20% - 强调文字颜色 3 2 2 2 4 2" xfId="2687"/>
    <cellStyle name="20% - 强调文字颜色 3 2 2 2 4 3" xfId="2440"/>
    <cellStyle name="20% - 强调文字颜色 3 2 2 2 5" xfId="2435"/>
    <cellStyle name="20% - 强调文字颜色 3 2 2 3" xfId="218"/>
    <cellStyle name="20% - 强调文字颜色 3 2 2 3 2" xfId="828"/>
    <cellStyle name="20% - 强调文字颜色 3 2 2 3 2 2" xfId="2083"/>
    <cellStyle name="20% - 强调文字颜色 3 2 2 3 3" xfId="1365"/>
    <cellStyle name="20% - 强调文字颜色 3 2 2 3 3 2" xfId="2690"/>
    <cellStyle name="20% - 强调文字颜色 3 2 2 3 3 3" xfId="2603"/>
    <cellStyle name="20% - 强调文字颜色 3 2 2 3 4" xfId="2172"/>
    <cellStyle name="20% - 强调文字颜色 3 2 2 4" xfId="723"/>
    <cellStyle name="20% - 强调文字颜色 3 2 2 4 2" xfId="1274"/>
    <cellStyle name="20% - 强调文字颜色 3 2 2 4 3" xfId="3370"/>
    <cellStyle name="20% - 强调文字颜色 3 2 2 5" xfId="826"/>
    <cellStyle name="20% - 强调文字颜色 3 2 2 5 2" xfId="2353"/>
    <cellStyle name="20% - 强调文字颜色 3 2 2 6" xfId="216"/>
    <cellStyle name="20% - 强调文字颜色 3 2 2 7" xfId="1361"/>
    <cellStyle name="20% - 强调文字颜色 3 2 2 7 2" xfId="2686"/>
    <cellStyle name="20% - 强调文字颜色 3 2 2 8" xfId="3360"/>
    <cellStyle name="20% - 强调文字颜色 3 2 2 9" xfId="3735"/>
    <cellStyle name="20% - 强调文字颜色 3 2 3" xfId="219"/>
    <cellStyle name="20% - 强调文字颜色 3 2 3 2" xfId="829"/>
    <cellStyle name="20% - 强调文字颜色 3 2 3 2 2" xfId="1368"/>
    <cellStyle name="20% - 强调文字颜色 3 2 3 2 2 2" xfId="2693"/>
    <cellStyle name="20% - 强调文字颜色 3 2 3 2 2 2 2" xfId="2590"/>
    <cellStyle name="20% - 强调文字颜色 3 2 3 2 2 3" xfId="2349"/>
    <cellStyle name="20% - 强调文字颜色 3 2 3 2 2 4" xfId="2346"/>
    <cellStyle name="20% - 强调文字颜色 3 2 3 2 3" xfId="1367"/>
    <cellStyle name="20% - 强调文字颜色 3 2 3 2 3 2" xfId="2692"/>
    <cellStyle name="20% - 强调文字颜色 3 2 3 2 3 3" xfId="3344"/>
    <cellStyle name="20% - 强调文字颜色 3 2 3 2 4" xfId="2103"/>
    <cellStyle name="20% - 强调文字颜色 3 2 3 2 5" xfId="2169"/>
    <cellStyle name="20% - 强调文字颜色 3 2 3 3" xfId="1366"/>
    <cellStyle name="20% - 强调文字颜色 3 2 3 3 2" xfId="2691"/>
    <cellStyle name="20% - 强调文字颜色 3 2 3 3 3" xfId="3229"/>
    <cellStyle name="20% - 强调文字颜色 3 2 3 4" xfId="2459"/>
    <cellStyle name="20% - 强调文字颜色 3 2 3 5" xfId="3736"/>
    <cellStyle name="20% - 强调文字颜色 3 2 4" xfId="566"/>
    <cellStyle name="20% - 强调文字颜色 3 2 4 2" xfId="1370"/>
    <cellStyle name="20% - 强调文字颜色 3 2 4 2 2" xfId="2695"/>
    <cellStyle name="20% - 强调文字颜色 3 2 4 2 2 2" xfId="2316"/>
    <cellStyle name="20% - 强调文字颜色 3 2 4 2 3" xfId="2072"/>
    <cellStyle name="20% - 强调文字颜色 3 2 4 2 4" xfId="1840"/>
    <cellStyle name="20% - 强调文字颜色 3 2 4 3" xfId="1371"/>
    <cellStyle name="20% - 强调文字颜色 3 2 4 3 2" xfId="2696"/>
    <cellStyle name="20% - 强调文字颜色 3 2 4 3 2 2" xfId="2245"/>
    <cellStyle name="20% - 强调文字颜色 3 2 4 3 3" xfId="2562"/>
    <cellStyle name="20% - 强调文字颜色 3 2 4 4" xfId="1369"/>
    <cellStyle name="20% - 强调文字颜色 3 2 4 4 2" xfId="2694"/>
    <cellStyle name="20% - 强调文字颜色 3 2 4 4 3" xfId="2193"/>
    <cellStyle name="20% - 强调文字颜色 3 2 4 5" xfId="2206"/>
    <cellStyle name="20% - 强调文字颜色 3 2 5" xfId="656"/>
    <cellStyle name="20% - 强调文字颜色 3 2 5 2" xfId="1132"/>
    <cellStyle name="20% - 强调文字颜色 3 2 5 3" xfId="2371"/>
    <cellStyle name="20% - 强调文字颜色 3 2 6" xfId="215"/>
    <cellStyle name="20% - 强调文字颜色 3 2 6 2" xfId="3376"/>
    <cellStyle name="20% - 强调文字颜色 3 2 7" xfId="1360"/>
    <cellStyle name="20% - 强调文字颜色 3 2 7 2" xfId="2685"/>
    <cellStyle name="20% - 强调文字颜色 3 2 7 3" xfId="3439"/>
    <cellStyle name="20% - 强调文字颜色 3 2 8" xfId="3293"/>
    <cellStyle name="20% - 强调文字颜色 3 2 9" xfId="3734"/>
    <cellStyle name="20% - 强调文字颜色 4 2" xfId="20"/>
    <cellStyle name="20% - 强调文字颜色 4 2 2" xfId="106"/>
    <cellStyle name="20% - 强调文字颜色 4 2 2 2" xfId="222"/>
    <cellStyle name="20% - 强调文字颜色 4 2 2 2 2" xfId="831"/>
    <cellStyle name="20% - 强调文字颜色 4 2 2 2 2 2" xfId="1375"/>
    <cellStyle name="20% - 强调文字颜色 4 2 2 2 2 2 2" xfId="2700"/>
    <cellStyle name="20% - 强调文字颜色 4 2 2 2 2 2 3" xfId="1896"/>
    <cellStyle name="20% - 强调文字颜色 4 2 2 2 2 3" xfId="2479"/>
    <cellStyle name="20% - 强调文字颜色 4 2 2 2 2 4" xfId="2073"/>
    <cellStyle name="20% - 强调文字颜色 4 2 2 2 3" xfId="1376"/>
    <cellStyle name="20% - 强调文字颜色 4 2 2 2 3 2" xfId="2701"/>
    <cellStyle name="20% - 强调文字颜色 4 2 2 2 3 2 2" xfId="2034"/>
    <cellStyle name="20% - 强调文字颜色 4 2 2 2 3 3" xfId="3296"/>
    <cellStyle name="20% - 强调文字颜色 4 2 2 2 4" xfId="1374"/>
    <cellStyle name="20% - 强调文字颜色 4 2 2 2 4 2" xfId="2699"/>
    <cellStyle name="20% - 强调文字颜色 4 2 2 2 4 3" xfId="3375"/>
    <cellStyle name="20% - 强调文字颜色 4 2 2 2 5" xfId="2513"/>
    <cellStyle name="20% - 强调文字颜色 4 2 2 3" xfId="223"/>
    <cellStyle name="20% - 强调文字颜色 4 2 2 3 2" xfId="832"/>
    <cellStyle name="20% - 强调文字颜色 4 2 2 3 2 2" xfId="2544"/>
    <cellStyle name="20% - 强调文字颜色 4 2 2 3 3" xfId="1377"/>
    <cellStyle name="20% - 强调文字颜色 4 2 2 3 3 2" xfId="2702"/>
    <cellStyle name="20% - 强调文字颜色 4 2 2 3 3 3" xfId="2619"/>
    <cellStyle name="20% - 强调文字颜色 4 2 2 3 4" xfId="2199"/>
    <cellStyle name="20% - 强调文字颜色 4 2 2 4" xfId="726"/>
    <cellStyle name="20% - 强调文字颜色 4 2 2 4 2" xfId="1275"/>
    <cellStyle name="20% - 强调文字颜色 4 2 2 4 3" xfId="2628"/>
    <cellStyle name="20% - 强调文字颜色 4 2 2 5" xfId="830"/>
    <cellStyle name="20% - 强调文字颜色 4 2 2 5 2" xfId="3374"/>
    <cellStyle name="20% - 强调文字颜色 4 2 2 6" xfId="221"/>
    <cellStyle name="20% - 强调文字颜色 4 2 2 7" xfId="1373"/>
    <cellStyle name="20% - 强调文字颜色 4 2 2 7 2" xfId="2698"/>
    <cellStyle name="20% - 强调文字颜色 4 2 2 8" xfId="2487"/>
    <cellStyle name="20% - 强调文字颜色 4 2 2 9" xfId="3738"/>
    <cellStyle name="20% - 强调文字颜色 4 2 3" xfId="224"/>
    <cellStyle name="20% - 强调文字颜色 4 2 3 2" xfId="833"/>
    <cellStyle name="20% - 强调文字颜色 4 2 3 2 2" xfId="1380"/>
    <cellStyle name="20% - 强调文字颜色 4 2 3 2 2 2" xfId="2705"/>
    <cellStyle name="20% - 强调文字颜色 4 2 3 2 2 2 2" xfId="2401"/>
    <cellStyle name="20% - 强调文字颜色 4 2 3 2 2 3" xfId="2263"/>
    <cellStyle name="20% - 强调文字颜色 4 2 3 2 2 4" xfId="3438"/>
    <cellStyle name="20% - 强调文字颜色 4 2 3 2 3" xfId="1379"/>
    <cellStyle name="20% - 强调文字颜色 4 2 3 2 3 2" xfId="2704"/>
    <cellStyle name="20% - 强调文字颜色 4 2 3 2 3 3" xfId="3464"/>
    <cellStyle name="20% - 强调文字颜色 4 2 3 2 4" xfId="3354"/>
    <cellStyle name="20% - 强调文字颜色 4 2 3 2 5" xfId="2099"/>
    <cellStyle name="20% - 强调文字颜色 4 2 3 3" xfId="1378"/>
    <cellStyle name="20% - 强调文字颜色 4 2 3 3 2" xfId="2703"/>
    <cellStyle name="20% - 强调文字颜色 4 2 3 3 3" xfId="1843"/>
    <cellStyle name="20% - 强调文字颜色 4 2 3 4" xfId="2261"/>
    <cellStyle name="20% - 强调文字颜色 4 2 3 5" xfId="3739"/>
    <cellStyle name="20% - 强调文字颜色 4 2 4" xfId="567"/>
    <cellStyle name="20% - 强调文字颜色 4 2 4 2" xfId="1382"/>
    <cellStyle name="20% - 强调文字颜色 4 2 4 2 2" xfId="2707"/>
    <cellStyle name="20% - 强调文字颜色 4 2 4 2 2 2" xfId="2015"/>
    <cellStyle name="20% - 强调文字颜色 4 2 4 2 3" xfId="2079"/>
    <cellStyle name="20% - 强调文字颜色 4 2 4 2 4" xfId="2213"/>
    <cellStyle name="20% - 强调文字颜色 4 2 4 3" xfId="1383"/>
    <cellStyle name="20% - 强调文字颜色 4 2 4 3 2" xfId="2708"/>
    <cellStyle name="20% - 强调文字颜色 4 2 4 3 2 2" xfId="3437"/>
    <cellStyle name="20% - 强调文字颜色 4 2 4 3 3" xfId="2142"/>
    <cellStyle name="20% - 强调文字颜色 4 2 4 4" xfId="1381"/>
    <cellStyle name="20% - 强调文字颜色 4 2 4 4 2" xfId="2706"/>
    <cellStyle name="20% - 强调文字颜色 4 2 4 4 3" xfId="2613"/>
    <cellStyle name="20% - 强调文字颜色 4 2 4 5" xfId="2583"/>
    <cellStyle name="20% - 强调文字颜色 4 2 5" xfId="658"/>
    <cellStyle name="20% - 强调文字颜色 4 2 5 2" xfId="1133"/>
    <cellStyle name="20% - 强调文字颜色 4 2 5 3" xfId="2646"/>
    <cellStyle name="20% - 强调文字颜色 4 2 6" xfId="220"/>
    <cellStyle name="20% - 强调文字颜色 4 2 6 2" xfId="2574"/>
    <cellStyle name="20% - 强调文字颜色 4 2 7" xfId="1372"/>
    <cellStyle name="20% - 强调文字颜色 4 2 7 2" xfId="2697"/>
    <cellStyle name="20% - 强调文字颜色 4 2 7 3" xfId="2411"/>
    <cellStyle name="20% - 强调文字颜色 4 2 8" xfId="2490"/>
    <cellStyle name="20% - 强调文字颜色 4 2 9" xfId="3737"/>
    <cellStyle name="20% - 强调文字颜色 5 2" xfId="21"/>
    <cellStyle name="20% - 强调文字颜色 5 2 2" xfId="107"/>
    <cellStyle name="20% - 强调文字颜色 5 2 2 2" xfId="227"/>
    <cellStyle name="20% - 强调文字颜色 5 2 2 2 2" xfId="835"/>
    <cellStyle name="20% - 强调文字颜色 5 2 2 2 2 2" xfId="1387"/>
    <cellStyle name="20% - 强调文字颜色 5 2 2 2 2 2 2" xfId="2712"/>
    <cellStyle name="20% - 强调文字颜色 5 2 2 2 2 2 3" xfId="3278"/>
    <cellStyle name="20% - 强调文字颜色 5 2 2 2 2 3" xfId="2634"/>
    <cellStyle name="20% - 强调文字颜色 5 2 2 2 2 4" xfId="2097"/>
    <cellStyle name="20% - 强调文字颜色 5 2 2 2 3" xfId="1388"/>
    <cellStyle name="20% - 强调文字颜色 5 2 2 2 3 2" xfId="2713"/>
    <cellStyle name="20% - 强调文字颜色 5 2 2 2 3 2 2" xfId="3463"/>
    <cellStyle name="20% - 强调文字颜色 5 2 2 2 3 3" xfId="2391"/>
    <cellStyle name="20% - 强调文字颜色 5 2 2 2 4" xfId="1386"/>
    <cellStyle name="20% - 强调文字颜色 5 2 2 2 4 2" xfId="2711"/>
    <cellStyle name="20% - 强调文字颜色 5 2 2 2 4 3" xfId="3345"/>
    <cellStyle name="20% - 强调文字颜色 5 2 2 2 5" xfId="2273"/>
    <cellStyle name="20% - 强调文字颜色 5 2 2 3" xfId="228"/>
    <cellStyle name="20% - 强调文字颜色 5 2 2 3 2" xfId="836"/>
    <cellStyle name="20% - 强调文字颜色 5 2 2 3 2 2" xfId="2376"/>
    <cellStyle name="20% - 强调文字颜色 5 2 2 3 3" xfId="1389"/>
    <cellStyle name="20% - 强调文字颜色 5 2 2 3 3 2" xfId="2714"/>
    <cellStyle name="20% - 强调文字颜色 5 2 2 3 3 3" xfId="2280"/>
    <cellStyle name="20% - 强调文字颜色 5 2 2 3 4" xfId="1860"/>
    <cellStyle name="20% - 强调文字颜色 5 2 2 4" xfId="727"/>
    <cellStyle name="20% - 强调文字颜色 5 2 2 4 2" xfId="1276"/>
    <cellStyle name="20% - 强调文字颜色 5 2 2 4 3" xfId="2523"/>
    <cellStyle name="20% - 强调文字颜色 5 2 2 5" xfId="834"/>
    <cellStyle name="20% - 强调文字颜色 5 2 2 5 2" xfId="2494"/>
    <cellStyle name="20% - 强调文字颜色 5 2 2 6" xfId="226"/>
    <cellStyle name="20% - 强调文字颜色 5 2 2 7" xfId="1385"/>
    <cellStyle name="20% - 强调文字颜色 5 2 2 7 2" xfId="2710"/>
    <cellStyle name="20% - 强调文字颜色 5 2 2 8" xfId="3297"/>
    <cellStyle name="20% - 强调文字颜色 5 2 2 9" xfId="3741"/>
    <cellStyle name="20% - 强调文字颜色 5 2 3" xfId="229"/>
    <cellStyle name="20% - 强调文字颜色 5 2 3 2" xfId="837"/>
    <cellStyle name="20% - 强调文字颜色 5 2 3 2 2" xfId="1392"/>
    <cellStyle name="20% - 强调文字颜色 5 2 3 2 2 2" xfId="2717"/>
    <cellStyle name="20% - 强调文字颜色 5 2 3 2 2 2 2" xfId="2420"/>
    <cellStyle name="20% - 强调文字颜色 5 2 3 2 2 3" xfId="2443"/>
    <cellStyle name="20% - 强调文字颜色 5 2 3 2 2 4" xfId="3280"/>
    <cellStyle name="20% - 强调文字颜色 5 2 3 2 3" xfId="1391"/>
    <cellStyle name="20% - 强调文字颜色 5 2 3 2 3 2" xfId="2716"/>
    <cellStyle name="20% - 强调文字颜色 5 2 3 2 3 3" xfId="2364"/>
    <cellStyle name="20% - 强调文字颜色 5 2 3 2 4" xfId="3295"/>
    <cellStyle name="20% - 强调文字颜色 5 2 3 2 5" xfId="2197"/>
    <cellStyle name="20% - 强调文字颜色 5 2 3 3" xfId="1390"/>
    <cellStyle name="20% - 强调文字颜色 5 2 3 3 2" xfId="2715"/>
    <cellStyle name="20% - 强调文字颜色 5 2 3 3 3" xfId="3277"/>
    <cellStyle name="20% - 强调文字颜色 5 2 3 4" xfId="2596"/>
    <cellStyle name="20% - 强调文字颜色 5 2 3 5" xfId="3742"/>
    <cellStyle name="20% - 强调文字颜色 5 2 4" xfId="568"/>
    <cellStyle name="20% - 强调文字颜色 5 2 4 2" xfId="1394"/>
    <cellStyle name="20% - 强调文字颜色 5 2 4 2 2" xfId="2719"/>
    <cellStyle name="20% - 强调文字颜色 5 2 4 2 2 2" xfId="2017"/>
    <cellStyle name="20% - 强调文字颜色 5 2 4 2 3" xfId="2331"/>
    <cellStyle name="20% - 强调文字颜色 5 2 4 2 4" xfId="2101"/>
    <cellStyle name="20% - 强调文字颜色 5 2 4 3" xfId="1395"/>
    <cellStyle name="20% - 强调文字颜色 5 2 4 3 2" xfId="2720"/>
    <cellStyle name="20% - 强调文字颜色 5 2 4 3 2 2" xfId="2268"/>
    <cellStyle name="20% - 强调文字颜色 5 2 4 3 3" xfId="2045"/>
    <cellStyle name="20% - 强调文字颜色 5 2 4 4" xfId="1393"/>
    <cellStyle name="20% - 强调文字颜色 5 2 4 4 2" xfId="2718"/>
    <cellStyle name="20% - 强调文字颜色 5 2 4 4 3" xfId="2023"/>
    <cellStyle name="20% - 强调文字颜色 5 2 4 5" xfId="2622"/>
    <cellStyle name="20% - 强调文字颜色 5 2 5" xfId="659"/>
    <cellStyle name="20% - 强调文字颜色 5 2 5 2" xfId="1134"/>
    <cellStyle name="20% - 强调文字颜色 5 2 5 3" xfId="3378"/>
    <cellStyle name="20% - 强调文字颜色 5 2 6" xfId="225"/>
    <cellStyle name="20% - 强调文字颜色 5 2 6 2" xfId="3440"/>
    <cellStyle name="20% - 强调文字颜色 5 2 7" xfId="1384"/>
    <cellStyle name="20% - 强调文字颜色 5 2 7 2" xfId="2709"/>
    <cellStyle name="20% - 强调文字颜色 5 2 7 3" xfId="3465"/>
    <cellStyle name="20% - 强调文字颜色 5 2 8" xfId="2581"/>
    <cellStyle name="20% - 强调文字颜色 5 2 9" xfId="3740"/>
    <cellStyle name="20% - 强调文字颜色 6 2" xfId="22"/>
    <cellStyle name="20% - 强调文字颜色 6 2 2" xfId="108"/>
    <cellStyle name="20% - 强调文字颜色 6 2 2 2" xfId="232"/>
    <cellStyle name="20% - 强调文字颜色 6 2 2 2 2" xfId="839"/>
    <cellStyle name="20% - 强调文字颜色 6 2 2 2 2 2" xfId="1399"/>
    <cellStyle name="20% - 强调文字颜色 6 2 2 2 2 2 2" xfId="2724"/>
    <cellStyle name="20% - 强调文字颜色 6 2 2 2 2 2 3" xfId="2453"/>
    <cellStyle name="20% - 强调文字颜色 6 2 2 2 2 3" xfId="2289"/>
    <cellStyle name="20% - 强调文字颜色 6 2 2 2 2 4" xfId="2332"/>
    <cellStyle name="20% - 强调文字颜色 6 2 2 2 3" xfId="1400"/>
    <cellStyle name="20% - 强调文字颜色 6 2 2 2 3 2" xfId="2725"/>
    <cellStyle name="20% - 强调文字颜色 6 2 2 2 3 2 2" xfId="3275"/>
    <cellStyle name="20% - 强调文字颜色 6 2 2 2 3 3" xfId="2043"/>
    <cellStyle name="20% - 强调文字颜色 6 2 2 2 4" xfId="1398"/>
    <cellStyle name="20% - 强调文字颜色 6 2 2 2 4 2" xfId="2723"/>
    <cellStyle name="20% - 强调文字颜色 6 2 2 2 4 3" xfId="3279"/>
    <cellStyle name="20% - 强调文字颜色 6 2 2 2 5" xfId="2521"/>
    <cellStyle name="20% - 强调文字颜色 6 2 2 3" xfId="233"/>
    <cellStyle name="20% - 强调文字颜色 6 2 2 3 2" xfId="840"/>
    <cellStyle name="20% - 强调文字颜色 6 2 2 3 2 2" xfId="2082"/>
    <cellStyle name="20% - 强调文字颜色 6 2 2 3 3" xfId="1401"/>
    <cellStyle name="20% - 强调文字颜色 6 2 2 3 3 2" xfId="2726"/>
    <cellStyle name="20% - 强调文字颜色 6 2 2 3 3 3" xfId="2054"/>
    <cellStyle name="20% - 强调文字颜色 6 2 2 3 4" xfId="2478"/>
    <cellStyle name="20% - 强调文字颜色 6 2 2 4" xfId="728"/>
    <cellStyle name="20% - 强调文字颜色 6 2 2 4 2" xfId="1277"/>
    <cellStyle name="20% - 强调文字颜色 6 2 2 4 3" xfId="2357"/>
    <cellStyle name="20% - 强调文字颜色 6 2 2 5" xfId="838"/>
    <cellStyle name="20% - 强调文字颜色 6 2 2 5 2" xfId="2409"/>
    <cellStyle name="20% - 强调文字颜色 6 2 2 6" xfId="231"/>
    <cellStyle name="20% - 强调文字颜色 6 2 2 7" xfId="1397"/>
    <cellStyle name="20% - 强调文字颜色 6 2 2 7 2" xfId="2722"/>
    <cellStyle name="20% - 强调文字颜色 6 2 2 8" xfId="1915"/>
    <cellStyle name="20% - 强调文字颜色 6 2 2 9" xfId="3744"/>
    <cellStyle name="20% - 强调文字颜色 6 2 3" xfId="234"/>
    <cellStyle name="20% - 强调文字颜色 6 2 3 2" xfId="841"/>
    <cellStyle name="20% - 强调文字颜色 6 2 3 2 2" xfId="1404"/>
    <cellStyle name="20% - 强调文字颜色 6 2 3 2 2 2" xfId="2729"/>
    <cellStyle name="20% - 强调文字颜色 6 2 3 2 2 2 2" xfId="2361"/>
    <cellStyle name="20% - 强调文字颜色 6 2 3 2 2 3" xfId="2071"/>
    <cellStyle name="20% - 强调文字颜色 6 2 3 2 2 4" xfId="2372"/>
    <cellStyle name="20% - 强调文字颜色 6 2 3 2 3" xfId="1403"/>
    <cellStyle name="20% - 强调文字颜色 6 2 3 2 3 2" xfId="2728"/>
    <cellStyle name="20% - 强调文字颜色 6 2 3 2 3 3" xfId="2635"/>
    <cellStyle name="20% - 强调文字颜色 6 2 3 2 4" xfId="2362"/>
    <cellStyle name="20% - 强调文字颜色 6 2 3 2 5" xfId="2016"/>
    <cellStyle name="20% - 强调文字颜色 6 2 3 3" xfId="1402"/>
    <cellStyle name="20% - 强调文字颜色 6 2 3 3 2" xfId="2727"/>
    <cellStyle name="20% - 强调文字颜色 6 2 3 3 3" xfId="3276"/>
    <cellStyle name="20% - 强调文字颜色 6 2 3 4" xfId="1878"/>
    <cellStyle name="20% - 强调文字颜色 6 2 3 5" xfId="3745"/>
    <cellStyle name="20% - 强调文字颜色 6 2 4" xfId="569"/>
    <cellStyle name="20% - 强调文字颜色 6 2 4 2" xfId="1406"/>
    <cellStyle name="20% - 强调文字颜色 6 2 4 2 2" xfId="2731"/>
    <cellStyle name="20% - 强调文字颜色 6 2 4 2 2 2" xfId="2111"/>
    <cellStyle name="20% - 强调文字颜色 6 2 4 2 3" xfId="2431"/>
    <cellStyle name="20% - 强调文字颜色 6 2 4 2 4" xfId="2088"/>
    <cellStyle name="20% - 强调文字颜色 6 2 4 3" xfId="1407"/>
    <cellStyle name="20% - 强调文字颜色 6 2 4 3 2" xfId="2732"/>
    <cellStyle name="20% - 强调文字颜色 6 2 4 3 2 2" xfId="1923"/>
    <cellStyle name="20% - 强调文字颜色 6 2 4 3 3" xfId="2298"/>
    <cellStyle name="20% - 强调文字颜色 6 2 4 4" xfId="1405"/>
    <cellStyle name="20% - 强调文字颜色 6 2 4 4 2" xfId="2730"/>
    <cellStyle name="20% - 强调文字颜色 6 2 4 4 3" xfId="1877"/>
    <cellStyle name="20% - 强调文字颜色 6 2 4 5" xfId="2022"/>
    <cellStyle name="20% - 强调文字颜色 6 2 5" xfId="660"/>
    <cellStyle name="20% - 强调文字颜色 6 2 5 2" xfId="1135"/>
    <cellStyle name="20% - 强调文字颜色 6 2 5 3" xfId="3281"/>
    <cellStyle name="20% - 强调文字颜色 6 2 6" xfId="230"/>
    <cellStyle name="20% - 强调文字颜色 6 2 6 2" xfId="1846"/>
    <cellStyle name="20% - 强调文字颜色 6 2 7" xfId="1396"/>
    <cellStyle name="20% - 强调文字颜色 6 2 7 2" xfId="2721"/>
    <cellStyle name="20% - 强调文字颜色 6 2 7 3" xfId="2412"/>
    <cellStyle name="20% - 强调文字颜色 6 2 8" xfId="2608"/>
    <cellStyle name="20% - 强调文字颜色 6 2 9" xfId="3743"/>
    <cellStyle name="40% - Accent1" xfId="23"/>
    <cellStyle name="40% - Accent1 2" xfId="109"/>
    <cellStyle name="40% - Accent1 2 2" xfId="237"/>
    <cellStyle name="40% - Accent1 2 2 2" xfId="843"/>
    <cellStyle name="40% - Accent1 2 3" xfId="238"/>
    <cellStyle name="40% - Accent1 2 3 2" xfId="844"/>
    <cellStyle name="40% - Accent1 2 4" xfId="729"/>
    <cellStyle name="40% - Accent1 2 4 2" xfId="1278"/>
    <cellStyle name="40% - Accent1 2 5" xfId="842"/>
    <cellStyle name="40% - Accent1 2 6" xfId="236"/>
    <cellStyle name="40% - Accent1 3" xfId="239"/>
    <cellStyle name="40% - Accent1 3 2" xfId="845"/>
    <cellStyle name="40% - Accent1 4" xfId="570"/>
    <cellStyle name="40% - Accent1 5" xfId="661"/>
    <cellStyle name="40% - Accent1 5 2" xfId="1136"/>
    <cellStyle name="40% - Accent1 6" xfId="235"/>
    <cellStyle name="40% - Accent2" xfId="24"/>
    <cellStyle name="40% - Accent2 2" xfId="110"/>
    <cellStyle name="40% - Accent2 2 2" xfId="242"/>
    <cellStyle name="40% - Accent2 2 2 2" xfId="847"/>
    <cellStyle name="40% - Accent2 2 3" xfId="243"/>
    <cellStyle name="40% - Accent2 2 3 2" xfId="848"/>
    <cellStyle name="40% - Accent2 2 4" xfId="730"/>
    <cellStyle name="40% - Accent2 2 4 2" xfId="1279"/>
    <cellStyle name="40% - Accent2 2 5" xfId="846"/>
    <cellStyle name="40% - Accent2 2 6" xfId="241"/>
    <cellStyle name="40% - Accent2 3" xfId="244"/>
    <cellStyle name="40% - Accent2 3 2" xfId="849"/>
    <cellStyle name="40% - Accent2 4" xfId="571"/>
    <cellStyle name="40% - Accent2 5" xfId="662"/>
    <cellStyle name="40% - Accent2 5 2" xfId="1137"/>
    <cellStyle name="40% - Accent2 6" xfId="240"/>
    <cellStyle name="40% - Accent3" xfId="18"/>
    <cellStyle name="40% - Accent3 2" xfId="104"/>
    <cellStyle name="40% - Accent3 2 2" xfId="247"/>
    <cellStyle name="40% - Accent3 2 2 2" xfId="851"/>
    <cellStyle name="40% - Accent3 2 3" xfId="248"/>
    <cellStyle name="40% - Accent3 2 3 2" xfId="852"/>
    <cellStyle name="40% - Accent3 2 4" xfId="724"/>
    <cellStyle name="40% - Accent3 2 4 2" xfId="1280"/>
    <cellStyle name="40% - Accent3 2 5" xfId="850"/>
    <cellStyle name="40% - Accent3 2 6" xfId="246"/>
    <cellStyle name="40% - Accent3 3" xfId="249"/>
    <cellStyle name="40% - Accent3 3 2" xfId="853"/>
    <cellStyle name="40% - Accent3 4" xfId="572"/>
    <cellStyle name="40% - Accent3 5" xfId="657"/>
    <cellStyle name="40% - Accent3 5 2" xfId="1138"/>
    <cellStyle name="40% - Accent3 6" xfId="245"/>
    <cellStyle name="40% - Accent4" xfId="25"/>
    <cellStyle name="40% - Accent4 2" xfId="111"/>
    <cellStyle name="40% - Accent4 2 2" xfId="252"/>
    <cellStyle name="40% - Accent4 2 2 2" xfId="855"/>
    <cellStyle name="40% - Accent4 2 3" xfId="253"/>
    <cellStyle name="40% - Accent4 2 3 2" xfId="856"/>
    <cellStyle name="40% - Accent4 2 4" xfId="731"/>
    <cellStyle name="40% - Accent4 2 4 2" xfId="1281"/>
    <cellStyle name="40% - Accent4 2 5" xfId="854"/>
    <cellStyle name="40% - Accent4 2 6" xfId="251"/>
    <cellStyle name="40% - Accent4 3" xfId="254"/>
    <cellStyle name="40% - Accent4 3 2" xfId="857"/>
    <cellStyle name="40% - Accent4 4" xfId="573"/>
    <cellStyle name="40% - Accent4 5" xfId="663"/>
    <cellStyle name="40% - Accent4 5 2" xfId="1139"/>
    <cellStyle name="40% - Accent4 6" xfId="250"/>
    <cellStyle name="40% - Accent5" xfId="27"/>
    <cellStyle name="40% - Accent5 2" xfId="113"/>
    <cellStyle name="40% - Accent5 2 2" xfId="257"/>
    <cellStyle name="40% - Accent5 2 2 2" xfId="859"/>
    <cellStyle name="40% - Accent5 2 3" xfId="258"/>
    <cellStyle name="40% - Accent5 2 3 2" xfId="860"/>
    <cellStyle name="40% - Accent5 2 4" xfId="733"/>
    <cellStyle name="40% - Accent5 2 4 2" xfId="1282"/>
    <cellStyle name="40% - Accent5 2 5" xfId="858"/>
    <cellStyle name="40% - Accent5 2 6" xfId="256"/>
    <cellStyle name="40% - Accent5 3" xfId="259"/>
    <cellStyle name="40% - Accent5 3 2" xfId="861"/>
    <cellStyle name="40% - Accent5 4" xfId="574"/>
    <cellStyle name="40% - Accent5 5" xfId="664"/>
    <cellStyle name="40% - Accent5 5 2" xfId="1140"/>
    <cellStyle name="40% - Accent5 6" xfId="255"/>
    <cellStyle name="40% - Accent6" xfId="28"/>
    <cellStyle name="40% - Accent6 2" xfId="114"/>
    <cellStyle name="40% - Accent6 2 2" xfId="262"/>
    <cellStyle name="40% - Accent6 2 2 2" xfId="863"/>
    <cellStyle name="40% - Accent6 2 3" xfId="263"/>
    <cellStyle name="40% - Accent6 2 3 2" xfId="864"/>
    <cellStyle name="40% - Accent6 2 4" xfId="734"/>
    <cellStyle name="40% - Accent6 2 4 2" xfId="1283"/>
    <cellStyle name="40% - Accent6 2 5" xfId="862"/>
    <cellStyle name="40% - Accent6 2 6" xfId="261"/>
    <cellStyle name="40% - Accent6 3" xfId="264"/>
    <cellStyle name="40% - Accent6 3 2" xfId="865"/>
    <cellStyle name="40% - Accent6 4" xfId="575"/>
    <cellStyle name="40% - Accent6 5" xfId="665"/>
    <cellStyle name="40% - Accent6 5 2" xfId="1141"/>
    <cellStyle name="40% - Accent6 6" xfId="260"/>
    <cellStyle name="40% - 强调文字颜色 1 2" xfId="29"/>
    <cellStyle name="40% - 强调文字颜色 1 2 2" xfId="115"/>
    <cellStyle name="40% - 强调文字颜色 1 2 2 2" xfId="267"/>
    <cellStyle name="40% - 强调文字颜色 1 2 2 2 2" xfId="867"/>
    <cellStyle name="40% - 强调文字颜色 1 2 2 2 2 2" xfId="1411"/>
    <cellStyle name="40% - 强调文字颜色 1 2 2 2 2 2 2" xfId="2736"/>
    <cellStyle name="40% - 强调文字颜色 1 2 2 2 2 2 3" xfId="3380"/>
    <cellStyle name="40% - 强调文字颜色 1 2 2 2 2 3" xfId="3171"/>
    <cellStyle name="40% - 强调文字颜色 1 2 2 2 2 4" xfId="2481"/>
    <cellStyle name="40% - 强调文字颜色 1 2 2 2 3" xfId="1412"/>
    <cellStyle name="40% - 强调文字颜色 1 2 2 2 3 2" xfId="2737"/>
    <cellStyle name="40% - 强调文字颜色 1 2 2 2 3 2 2" xfId="2344"/>
    <cellStyle name="40% - 强调文字颜色 1 2 2 2 3 3" xfId="2604"/>
    <cellStyle name="40% - 强调文字颜色 1 2 2 2 4" xfId="1410"/>
    <cellStyle name="40% - 强调文字颜色 1 2 2 2 4 2" xfId="2735"/>
    <cellStyle name="40% - 强调文字颜色 1 2 2 2 4 3" xfId="3379"/>
    <cellStyle name="40% - 强调文字颜色 1 2 2 2 5" xfId="2476"/>
    <cellStyle name="40% - 强调文字颜色 1 2 2 3" xfId="268"/>
    <cellStyle name="40% - 强调文字颜色 1 2 2 3 2" xfId="868"/>
    <cellStyle name="40% - 强调文字颜色 1 2 2 3 2 2" xfId="3274"/>
    <cellStyle name="40% - 强调文字颜色 1 2 2 3 3" xfId="1413"/>
    <cellStyle name="40% - 强调文字颜色 1 2 2 3 3 2" xfId="2738"/>
    <cellStyle name="40% - 强调文字颜色 1 2 2 3 3 3" xfId="2529"/>
    <cellStyle name="40% - 强调文字颜色 1 2 2 3 4" xfId="2025"/>
    <cellStyle name="40% - 强调文字颜色 1 2 2 4" xfId="735"/>
    <cellStyle name="40% - 强调文字颜色 1 2 2 4 2" xfId="1284"/>
    <cellStyle name="40% - 强调文字颜色 1 2 2 4 3" xfId="2117"/>
    <cellStyle name="40% - 强调文字颜色 1 2 2 5" xfId="866"/>
    <cellStyle name="40% - 强调文字颜色 1 2 2 5 2" xfId="2167"/>
    <cellStyle name="40% - 强调文字颜色 1 2 2 6" xfId="266"/>
    <cellStyle name="40% - 强调文字颜色 1 2 2 7" xfId="1409"/>
    <cellStyle name="40% - 强调文字颜色 1 2 2 7 2" xfId="2734"/>
    <cellStyle name="40% - 强调文字颜色 1 2 2 8" xfId="1908"/>
    <cellStyle name="40% - 强调文字颜色 1 2 2 9" xfId="3747"/>
    <cellStyle name="40% - 强调文字颜色 1 2 3" xfId="269"/>
    <cellStyle name="40% - 强调文字颜色 1 2 3 2" xfId="869"/>
    <cellStyle name="40% - 强调文字颜色 1 2 3 2 2" xfId="1416"/>
    <cellStyle name="40% - 强调文字颜色 1 2 3 2 2 2" xfId="2741"/>
    <cellStyle name="40% - 强调文字颜色 1 2 3 2 2 2 2" xfId="3381"/>
    <cellStyle name="40% - 强调文字颜色 1 2 3 2 2 3" xfId="1870"/>
    <cellStyle name="40% - 强调文字颜色 1 2 3 2 2 4" xfId="3475"/>
    <cellStyle name="40% - 强调文字颜色 1 2 3 2 3" xfId="1415"/>
    <cellStyle name="40% - 强调文字颜色 1 2 3 2 3 2" xfId="2740"/>
    <cellStyle name="40% - 强调文字颜色 1 2 3 2 3 3" xfId="2456"/>
    <cellStyle name="40% - 强调文字颜色 1 2 3 2 4" xfId="1986"/>
    <cellStyle name="40% - 强调文字颜色 1 2 3 2 5" xfId="1857"/>
    <cellStyle name="40% - 强调文字颜色 1 2 3 3" xfId="1414"/>
    <cellStyle name="40% - 强调文字颜色 1 2 3 3 2" xfId="2739"/>
    <cellStyle name="40% - 强调文字颜色 1 2 3 3 3" xfId="2333"/>
    <cellStyle name="40% - 强调文字颜色 1 2 3 4" xfId="1971"/>
    <cellStyle name="40% - 强调文字颜色 1 2 3 5" xfId="3748"/>
    <cellStyle name="40% - 强调文字颜色 1 2 4" xfId="576"/>
    <cellStyle name="40% - 强调文字颜色 1 2 4 2" xfId="1418"/>
    <cellStyle name="40% - 强调文字颜色 1 2 4 2 2" xfId="2743"/>
    <cellStyle name="40% - 强调文字颜色 1 2 4 2 2 2" xfId="3377"/>
    <cellStyle name="40% - 强调文字颜色 1 2 4 2 3" xfId="2242"/>
    <cellStyle name="40% - 强调文字颜色 1 2 4 2 4" xfId="2504"/>
    <cellStyle name="40% - 强调文字颜色 1 2 4 3" xfId="1419"/>
    <cellStyle name="40% - 强调文字颜色 1 2 4 3 2" xfId="2744"/>
    <cellStyle name="40% - 强调文字颜色 1 2 4 3 2 2" xfId="2433"/>
    <cellStyle name="40% - 强调文字颜色 1 2 4 3 3" xfId="2317"/>
    <cellStyle name="40% - 强调文字颜色 1 2 4 4" xfId="1417"/>
    <cellStyle name="40% - 强调文字颜色 1 2 4 4 2" xfId="2742"/>
    <cellStyle name="40% - 强调文字颜色 1 2 4 4 3" xfId="3347"/>
    <cellStyle name="40% - 强调文字颜色 1 2 4 5" xfId="2578"/>
    <cellStyle name="40% - 强调文字颜色 1 2 5" xfId="666"/>
    <cellStyle name="40% - 强调文字颜色 1 2 5 2" xfId="1142"/>
    <cellStyle name="40% - 强调文字颜色 1 2 5 3" xfId="2224"/>
    <cellStyle name="40% - 强调文字颜色 1 2 6" xfId="265"/>
    <cellStyle name="40% - 强调文字颜色 1 2 6 2" xfId="1859"/>
    <cellStyle name="40% - 强调文字颜色 1 2 7" xfId="1408"/>
    <cellStyle name="40% - 强调文字颜色 1 2 7 2" xfId="2733"/>
    <cellStyle name="40% - 强调文字颜色 1 2 7 3" xfId="2281"/>
    <cellStyle name="40% - 强调文字颜色 1 2 8" xfId="1979"/>
    <cellStyle name="40% - 强调文字颜色 1 2 9" xfId="3746"/>
    <cellStyle name="40% - 强调文字颜色 2 2" xfId="30"/>
    <cellStyle name="40% - 强调文字颜色 2 2 2" xfId="116"/>
    <cellStyle name="40% - 强调文字颜色 2 2 2 2" xfId="272"/>
    <cellStyle name="40% - 强调文字颜色 2 2 2 2 2" xfId="871"/>
    <cellStyle name="40% - 强调文字颜色 2 2 2 2 2 2" xfId="1423"/>
    <cellStyle name="40% - 强调文字颜色 2 2 2 2 2 2 2" xfId="2748"/>
    <cellStyle name="40% - 强调文字颜色 2 2 2 2 2 2 3" xfId="3473"/>
    <cellStyle name="40% - 强调文字颜色 2 2 2 2 2 3" xfId="3290"/>
    <cellStyle name="40% - 强调文字颜色 2 2 2 2 2 4" xfId="3346"/>
    <cellStyle name="40% - 强调文字颜色 2 2 2 2 3" xfId="1424"/>
    <cellStyle name="40% - 强调文字颜色 2 2 2 2 3 2" xfId="2749"/>
    <cellStyle name="40% - 强调文字颜色 2 2 2 2 3 2 2" xfId="3384"/>
    <cellStyle name="40% - 强调文字颜色 2 2 2 2 3 3" xfId="2526"/>
    <cellStyle name="40% - 强调文字颜色 2 2 2 2 4" xfId="1422"/>
    <cellStyle name="40% - 强调文字颜色 2 2 2 2 4 2" xfId="2747"/>
    <cellStyle name="40% - 强调文字颜色 2 2 2 2 4 3" xfId="2165"/>
    <cellStyle name="40% - 强调文字颜色 2 2 2 2 5" xfId="2320"/>
    <cellStyle name="40% - 强调文字颜色 2 2 2 3" xfId="273"/>
    <cellStyle name="40% - 强调文字颜色 2 2 2 3 2" xfId="872"/>
    <cellStyle name="40% - 强调文字颜色 2 2 2 3 2 2" xfId="2531"/>
    <cellStyle name="40% - 强调文字颜色 2 2 2 3 3" xfId="1425"/>
    <cellStyle name="40% - 强调文字颜色 2 2 2 3 3 2" xfId="2750"/>
    <cellStyle name="40% - 强调文字颜色 2 2 2 3 3 3" xfId="3385"/>
    <cellStyle name="40% - 强调文字颜色 2 2 2 3 4" xfId="3456"/>
    <cellStyle name="40% - 强调文字颜色 2 2 2 4" xfId="736"/>
    <cellStyle name="40% - 强调文字颜色 2 2 2 4 2" xfId="1285"/>
    <cellStyle name="40% - 强调文字颜色 2 2 2 4 3" xfId="2243"/>
    <cellStyle name="40% - 强调文字颜色 2 2 2 5" xfId="870"/>
    <cellStyle name="40% - 强调文字颜色 2 2 2 5 2" xfId="3472"/>
    <cellStyle name="40% - 强调文字颜色 2 2 2 6" xfId="271"/>
    <cellStyle name="40% - 强调文字颜色 2 2 2 7" xfId="1421"/>
    <cellStyle name="40% - 强调文字颜色 2 2 2 7 2" xfId="2746"/>
    <cellStyle name="40% - 强调文字颜色 2 2 2 8" xfId="1952"/>
    <cellStyle name="40% - 强调文字颜色 2 2 2 9" xfId="3750"/>
    <cellStyle name="40% - 强调文字颜色 2 2 3" xfId="274"/>
    <cellStyle name="40% - 强调文字颜色 2 2 3 2" xfId="873"/>
    <cellStyle name="40% - 强调文字颜色 2 2 3 2 2" xfId="1428"/>
    <cellStyle name="40% - 强调文字颜色 2 2 3 2 2 2" xfId="2753"/>
    <cellStyle name="40% - 强调文字颜色 2 2 3 2 2 2 2" xfId="3383"/>
    <cellStyle name="40% - 强调文字颜色 2 2 3 2 2 3" xfId="3170"/>
    <cellStyle name="40% - 强调文字颜色 2 2 3 2 2 4" xfId="2002"/>
    <cellStyle name="40% - 强调文字颜色 2 2 3 2 3" xfId="1427"/>
    <cellStyle name="40% - 强调文字颜色 2 2 3 2 3 2" xfId="2752"/>
    <cellStyle name="40% - 强调文字颜色 2 2 3 2 3 3" xfId="2640"/>
    <cellStyle name="40% - 强调文字颜色 2 2 3 2 4" xfId="2477"/>
    <cellStyle name="40% - 强调文字颜色 2 2 3 2 5" xfId="2181"/>
    <cellStyle name="40% - 强调文字颜色 2 2 3 3" xfId="1426"/>
    <cellStyle name="40% - 强调文字颜色 2 2 3 3 2" xfId="2751"/>
    <cellStyle name="40% - 强调文字颜色 2 2 3 3 3" xfId="2623"/>
    <cellStyle name="40% - 强调文字颜色 2 2 3 4" xfId="3474"/>
    <cellStyle name="40% - 强调文字颜色 2 2 3 5" xfId="3751"/>
    <cellStyle name="40% - 强调文字颜色 2 2 4" xfId="577"/>
    <cellStyle name="40% - 强调文字颜色 2 2 4 2" xfId="1430"/>
    <cellStyle name="40% - 强调文字颜色 2 2 4 2 2" xfId="2755"/>
    <cellStyle name="40% - 强调文字颜色 2 2 4 2 2 2" xfId="3283"/>
    <cellStyle name="40% - 强调文字颜色 2 2 4 2 3" xfId="2425"/>
    <cellStyle name="40% - 强调文字颜色 2 2 4 2 4" xfId="3348"/>
    <cellStyle name="40% - 强调文字颜色 2 2 4 3" xfId="1431"/>
    <cellStyle name="40% - 强调文字颜色 2 2 4 3 2" xfId="2756"/>
    <cellStyle name="40% - 强调文字颜色 2 2 4 3 2 2" xfId="1964"/>
    <cellStyle name="40% - 强调文字颜色 2 2 4 3 3" xfId="2408"/>
    <cellStyle name="40% - 强调文字颜色 2 2 4 4" xfId="1429"/>
    <cellStyle name="40% - 强调文字颜色 2 2 4 4 2" xfId="2754"/>
    <cellStyle name="40% - 强调文字颜色 2 2 4 4 3" xfId="2311"/>
    <cellStyle name="40% - 强调文字颜色 2 2 4 5" xfId="2309"/>
    <cellStyle name="40% - 强调文字颜色 2 2 5" xfId="667"/>
    <cellStyle name="40% - 强调文字颜色 2 2 5 2" xfId="1143"/>
    <cellStyle name="40% - 强调文字颜色 2 2 5 3" xfId="1969"/>
    <cellStyle name="40% - 强调文字颜色 2 2 6" xfId="270"/>
    <cellStyle name="40% - 强调文字颜色 2 2 6 2" xfId="1898"/>
    <cellStyle name="40% - 强调文字颜色 2 2 7" xfId="1420"/>
    <cellStyle name="40% - 强调文字颜色 2 2 7 2" xfId="2745"/>
    <cellStyle name="40% - 强调文字颜色 2 2 7 3" xfId="3386"/>
    <cellStyle name="40% - 强调文字颜色 2 2 8" xfId="2221"/>
    <cellStyle name="40% - 强调文字颜色 2 2 9" xfId="3749"/>
    <cellStyle name="40% - 强调文字颜色 3 2" xfId="31"/>
    <cellStyle name="40% - 强调文字颜色 3 2 2" xfId="117"/>
    <cellStyle name="40% - 强调文字颜色 3 2 2 2" xfId="277"/>
    <cellStyle name="40% - 强调文字颜色 3 2 2 2 2" xfId="875"/>
    <cellStyle name="40% - 强调文字颜色 3 2 2 2 2 2" xfId="1435"/>
    <cellStyle name="40% - 强调文字颜色 3 2 2 2 2 2 2" xfId="2760"/>
    <cellStyle name="40% - 强调文字颜色 3 2 2 2 2 2 3" xfId="3349"/>
    <cellStyle name="40% - 强调文字颜色 3 2 2 2 2 3" xfId="2141"/>
    <cellStyle name="40% - 强调文字颜色 3 2 2 2 2 4" xfId="1868"/>
    <cellStyle name="40% - 强调文字颜色 3 2 2 2 3" xfId="1436"/>
    <cellStyle name="40% - 强调文字颜色 3 2 2 2 3 2" xfId="2761"/>
    <cellStyle name="40% - 强调文字颜色 3 2 2 2 3 2 2" xfId="2398"/>
    <cellStyle name="40% - 强调文字颜色 3 2 2 2 3 3" xfId="2393"/>
    <cellStyle name="40% - 强调文字颜色 3 2 2 2 4" xfId="1434"/>
    <cellStyle name="40% - 强调文字颜色 3 2 2 2 4 2" xfId="2759"/>
    <cellStyle name="40% - 强调文字颜色 3 2 2 2 4 3" xfId="3382"/>
    <cellStyle name="40% - 强调文字颜色 3 2 2 2 5" xfId="3337"/>
    <cellStyle name="40% - 强调文字颜色 3 2 2 3" xfId="278"/>
    <cellStyle name="40% - 强调文字颜色 3 2 2 3 2" xfId="876"/>
    <cellStyle name="40% - 强调文字颜色 3 2 2 3 2 2" xfId="2145"/>
    <cellStyle name="40% - 强调文字颜色 3 2 2 3 3" xfId="1437"/>
    <cellStyle name="40% - 强调文字颜色 3 2 2 3 3 2" xfId="2762"/>
    <cellStyle name="40% - 强调文字颜色 3 2 2 3 3 3" xfId="3458"/>
    <cellStyle name="40% - 强调文字颜色 3 2 2 3 4" xfId="2327"/>
    <cellStyle name="40% - 强调文字颜色 3 2 2 4" xfId="737"/>
    <cellStyle name="40% - 强调文字颜色 3 2 2 4 2" xfId="1286"/>
    <cellStyle name="40% - 强调文字颜色 3 2 2 4 3" xfId="3387"/>
    <cellStyle name="40% - 强调文字颜色 3 2 2 5" xfId="874"/>
    <cellStyle name="40% - 强调文字颜色 3 2 2 5 2" xfId="1914"/>
    <cellStyle name="40% - 强调文字颜色 3 2 2 6" xfId="276"/>
    <cellStyle name="40% - 强调文字颜色 3 2 2 7" xfId="1433"/>
    <cellStyle name="40% - 强调文字颜色 3 2 2 7 2" xfId="2758"/>
    <cellStyle name="40% - 强调文字颜色 3 2 2 8" xfId="2392"/>
    <cellStyle name="40% - 强调文字颜色 3 2 2 9" xfId="3753"/>
    <cellStyle name="40% - 强调文字颜色 3 2 3" xfId="279"/>
    <cellStyle name="40% - 强调文字颜色 3 2 3 2" xfId="877"/>
    <cellStyle name="40% - 强调文字颜色 3 2 3 2 2" xfId="1440"/>
    <cellStyle name="40% - 强调文字颜色 3 2 3 2 2 2" xfId="2765"/>
    <cellStyle name="40% - 强调文字颜色 3 2 3 2 2 2 2" xfId="2290"/>
    <cellStyle name="40% - 强调文字颜色 3 2 3 2 2 3" xfId="1907"/>
    <cellStyle name="40% - 强调文字颜色 3 2 3 2 2 4" xfId="2573"/>
    <cellStyle name="40% - 强调文字颜色 3 2 3 2 3" xfId="1439"/>
    <cellStyle name="40% - 强调文字颜色 3 2 3 2 3 2" xfId="2764"/>
    <cellStyle name="40% - 强调文字颜色 3 2 3 2 3 3" xfId="2182"/>
    <cellStyle name="40% - 强调文字颜色 3 2 3 2 4" xfId="2166"/>
    <cellStyle name="40% - 强调文字颜色 3 2 3 2 5" xfId="2238"/>
    <cellStyle name="40% - 强调文字颜色 3 2 3 3" xfId="1438"/>
    <cellStyle name="40% - 强调文字颜色 3 2 3 3 2" xfId="2763"/>
    <cellStyle name="40% - 强调文字颜色 3 2 3 3 3" xfId="3388"/>
    <cellStyle name="40% - 强调文字颜色 3 2 3 4" xfId="1942"/>
    <cellStyle name="40% - 强调文字颜色 3 2 3 5" xfId="3754"/>
    <cellStyle name="40% - 强调文字颜色 3 2 4" xfId="578"/>
    <cellStyle name="40% - 强调文字颜色 3 2 4 2" xfId="1442"/>
    <cellStyle name="40% - 强调文字颜色 3 2 4 2 2" xfId="2767"/>
    <cellStyle name="40% - 强调文字颜色 3 2 4 2 2 2" xfId="2597"/>
    <cellStyle name="40% - 强调文字颜色 3 2 4 2 3" xfId="3301"/>
    <cellStyle name="40% - 强调文字颜色 3 2 4 2 4" xfId="2533"/>
    <cellStyle name="40% - 强调文字颜色 3 2 4 3" xfId="1443"/>
    <cellStyle name="40% - 强调文字颜色 3 2 4 3 2" xfId="2768"/>
    <cellStyle name="40% - 强调文字颜色 3 2 4 3 2 2" xfId="1968"/>
    <cellStyle name="40% - 强调文字颜色 3 2 4 3 3" xfId="3271"/>
    <cellStyle name="40% - 强调文字颜色 3 2 4 4" xfId="1441"/>
    <cellStyle name="40% - 强调文字颜色 3 2 4 4 2" xfId="2766"/>
    <cellStyle name="40% - 强调文字颜色 3 2 4 4 3" xfId="2110"/>
    <cellStyle name="40% - 强调文字颜色 3 2 4 5" xfId="2624"/>
    <cellStyle name="40% - 强调文字颜色 3 2 5" xfId="668"/>
    <cellStyle name="40% - 强调文字颜色 3 2 5 2" xfId="1144"/>
    <cellStyle name="40% - 强调文字颜色 3 2 5 3" xfId="3389"/>
    <cellStyle name="40% - 强调文字颜色 3 2 6" xfId="275"/>
    <cellStyle name="40% - 强调文字颜色 3 2 6 2" xfId="2303"/>
    <cellStyle name="40% - 强调文字颜色 3 2 7" xfId="1432"/>
    <cellStyle name="40% - 强调文字颜色 3 2 7 2" xfId="2757"/>
    <cellStyle name="40% - 强调文字颜色 3 2 7 3" xfId="2313"/>
    <cellStyle name="40% - 强调文字颜色 3 2 8" xfId="2140"/>
    <cellStyle name="40% - 强调文字颜色 3 2 9" xfId="3752"/>
    <cellStyle name="40% - 强调文字颜色 4 2" xfId="6"/>
    <cellStyle name="40% - 强调文字颜色 4 2 2" xfId="92"/>
    <cellStyle name="40% - 强调文字颜色 4 2 2 2" xfId="282"/>
    <cellStyle name="40% - 强调文字颜色 4 2 2 2 2" xfId="879"/>
    <cellStyle name="40% - 强调文字颜色 4 2 2 2 2 2" xfId="1447"/>
    <cellStyle name="40% - 强调文字颜色 4 2 2 2 2 2 2" xfId="2772"/>
    <cellStyle name="40% - 强调文字颜色 4 2 2 2 2 2 3" xfId="2548"/>
    <cellStyle name="40% - 强调文字颜色 4 2 2 2 2 3" xfId="2598"/>
    <cellStyle name="40% - 强调文字颜色 4 2 2 2 2 4" xfId="3444"/>
    <cellStyle name="40% - 强调文字颜色 4 2 2 2 3" xfId="1448"/>
    <cellStyle name="40% - 强调文字颜色 4 2 2 2 3 2" xfId="2773"/>
    <cellStyle name="40% - 强调文字颜色 4 2 2 2 3 2 2" xfId="2149"/>
    <cellStyle name="40% - 强调文字颜色 4 2 2 2 3 3" xfId="2264"/>
    <cellStyle name="40% - 强调文字颜色 4 2 2 2 4" xfId="1446"/>
    <cellStyle name="40% - 强调文字颜色 4 2 2 2 4 2" xfId="2771"/>
    <cellStyle name="40% - 强调文字颜色 4 2 2 2 4 3" xfId="3322"/>
    <cellStyle name="40% - 强调文字颜色 4 2 2 2 5" xfId="1885"/>
    <cellStyle name="40% - 强调文字颜色 4 2 2 3" xfId="283"/>
    <cellStyle name="40% - 强调文字颜色 4 2 2 3 2" xfId="880"/>
    <cellStyle name="40% - 强调文字颜色 4 2 2 3 2 2" xfId="2279"/>
    <cellStyle name="40% - 强调文字颜色 4 2 2 3 3" xfId="1449"/>
    <cellStyle name="40% - 强调文字颜色 4 2 2 3 3 2" xfId="2774"/>
    <cellStyle name="40% - 强调文字颜色 4 2 2 3 3 3" xfId="2496"/>
    <cellStyle name="40% - 强调文字颜色 4 2 2 3 4" xfId="2044"/>
    <cellStyle name="40% - 强调文字颜色 4 2 2 4" xfId="712"/>
    <cellStyle name="40% - 强调文字颜色 4 2 2 4 2" xfId="1287"/>
    <cellStyle name="40% - 强调文字颜色 4 2 2 4 3" xfId="2151"/>
    <cellStyle name="40% - 强调文字颜色 4 2 2 5" xfId="878"/>
    <cellStyle name="40% - 强调文字颜色 4 2 2 5 2" xfId="3266"/>
    <cellStyle name="40% - 强调文字颜色 4 2 2 6" xfId="281"/>
    <cellStyle name="40% - 强调文字颜色 4 2 2 7" xfId="1445"/>
    <cellStyle name="40% - 强调文字颜色 4 2 2 7 2" xfId="2770"/>
    <cellStyle name="40% - 强调文字颜色 4 2 2 8" xfId="1909"/>
    <cellStyle name="40% - 强调文字颜色 4 2 2 9" xfId="3756"/>
    <cellStyle name="40% - 强调文字颜色 4 2 3" xfId="284"/>
    <cellStyle name="40% - 强调文字颜色 4 2 3 2" xfId="881"/>
    <cellStyle name="40% - 强调文字颜色 4 2 3 2 2" xfId="1452"/>
    <cellStyle name="40% - 强调文字颜色 4 2 3 2 2 2" xfId="2777"/>
    <cellStyle name="40% - 强调文字颜色 4 2 3 2 2 2 2" xfId="1844"/>
    <cellStyle name="40% - 强调文字颜色 4 2 3 2 2 3" xfId="1931"/>
    <cellStyle name="40% - 强调文字颜色 4 2 3 2 2 4" xfId="3445"/>
    <cellStyle name="40% - 强调文字颜色 4 2 3 2 3" xfId="1451"/>
    <cellStyle name="40% - 强调文字颜色 4 2 3 2 3 2" xfId="2776"/>
    <cellStyle name="40% - 强调文字颜色 4 2 3 2 3 3" xfId="2621"/>
    <cellStyle name="40% - 强调文字颜色 4 2 3 2 4" xfId="2020"/>
    <cellStyle name="40% - 强调文字颜色 4 2 3 2 5" xfId="3284"/>
    <cellStyle name="40% - 强调文字颜色 4 2 3 3" xfId="1450"/>
    <cellStyle name="40% - 强调文字颜色 4 2 3 3 2" xfId="2775"/>
    <cellStyle name="40% - 强调文字颜色 4 2 3 3 3" xfId="3323"/>
    <cellStyle name="40% - 强调文字颜色 4 2 3 4" xfId="2086"/>
    <cellStyle name="40% - 强调文字颜色 4 2 3 5" xfId="3757"/>
    <cellStyle name="40% - 强调文字颜色 4 2 4" xfId="579"/>
    <cellStyle name="40% - 强调文字颜色 4 2 4 2" xfId="1454"/>
    <cellStyle name="40% - 强调文字颜色 4 2 4 2 2" xfId="2779"/>
    <cellStyle name="40% - 强调文字颜色 4 2 4 2 2 2" xfId="3391"/>
    <cellStyle name="40% - 强调文字颜色 4 2 4 2 3" xfId="3470"/>
    <cellStyle name="40% - 强调文字颜色 4 2 4 2 4" xfId="1892"/>
    <cellStyle name="40% - 强调文字颜色 4 2 4 3" xfId="1455"/>
    <cellStyle name="40% - 强调文字颜色 4 2 4 3 2" xfId="2780"/>
    <cellStyle name="40% - 强调文字颜色 4 2 4 3 2 2" xfId="2369"/>
    <cellStyle name="40% - 强调文字颜色 4 2 4 3 3" xfId="2539"/>
    <cellStyle name="40% - 强调文字颜色 4 2 4 4" xfId="1453"/>
    <cellStyle name="40% - 强调文字颜色 4 2 4 4 2" xfId="2778"/>
    <cellStyle name="40% - 强调文字颜色 4 2 4 4 3" xfId="1883"/>
    <cellStyle name="40% - 强调文字颜色 4 2 4 5" xfId="3455"/>
    <cellStyle name="40% - 强调文字颜色 4 2 5" xfId="647"/>
    <cellStyle name="40% - 强调文字颜色 4 2 5 2" xfId="1145"/>
    <cellStyle name="40% - 强调文字颜色 4 2 5 3" xfId="3443"/>
    <cellStyle name="40% - 强调文字颜色 4 2 6" xfId="280"/>
    <cellStyle name="40% - 强调文字颜色 4 2 6 2" xfId="3466"/>
    <cellStyle name="40% - 强调文字颜色 4 2 7" xfId="1444"/>
    <cellStyle name="40% - 强调文字颜色 4 2 7 2" xfId="2769"/>
    <cellStyle name="40% - 强调文字颜色 4 2 7 3" xfId="1845"/>
    <cellStyle name="40% - 强调文字颜色 4 2 8" xfId="1855"/>
    <cellStyle name="40% - 强调文字颜色 4 2 9" xfId="3755"/>
    <cellStyle name="40% - 强调文字颜色 5 2" xfId="32"/>
    <cellStyle name="40% - 强调文字颜色 5 2 2" xfId="118"/>
    <cellStyle name="40% - 强调文字颜色 5 2 2 2" xfId="287"/>
    <cellStyle name="40% - 强调文字颜色 5 2 2 2 2" xfId="883"/>
    <cellStyle name="40% - 强调文字颜色 5 2 2 2 2 2" xfId="1459"/>
    <cellStyle name="40% - 强调文字颜色 5 2 2 2 2 2 2" xfId="2784"/>
    <cellStyle name="40% - 强调文字颜色 5 2 2 2 2 2 3" xfId="2636"/>
    <cellStyle name="40% - 强调文字颜色 5 2 2 2 2 3" xfId="2220"/>
    <cellStyle name="40% - 强调文字颜色 5 2 2 2 2 4" xfId="2599"/>
    <cellStyle name="40% - 强调文字颜色 5 2 2 2 3" xfId="1460"/>
    <cellStyle name="40% - 强调文字颜色 5 2 2 2 3 2" xfId="2785"/>
    <cellStyle name="40% - 强调文字颜色 5 2 2 2 3 2 2" xfId="2175"/>
    <cellStyle name="40% - 强调文字颜色 5 2 2 2 3 3" xfId="2610"/>
    <cellStyle name="40% - 强调文字颜色 5 2 2 2 4" xfId="1458"/>
    <cellStyle name="40% - 强调文字颜色 5 2 2 2 4 2" xfId="2783"/>
    <cellStyle name="40% - 强调文字颜色 5 2 2 2 4 3" xfId="2011"/>
    <cellStyle name="40% - 强调文字颜色 5 2 2 2 5" xfId="2247"/>
    <cellStyle name="40% - 强调文字颜色 5 2 2 3" xfId="288"/>
    <cellStyle name="40% - 强调文字颜色 5 2 2 3 2" xfId="884"/>
    <cellStyle name="40% - 强调文字颜色 5 2 2 3 2 2" xfId="1955"/>
    <cellStyle name="40% - 强调文字颜色 5 2 2 3 3" xfId="1461"/>
    <cellStyle name="40% - 强调文字颜色 5 2 2 3 3 2" xfId="2786"/>
    <cellStyle name="40% - 强调文字颜色 5 2 2 3 3 3" xfId="1995"/>
    <cellStyle name="40% - 强调文字颜色 5 2 2 3 4" xfId="2270"/>
    <cellStyle name="40% - 强调文字颜色 5 2 2 4" xfId="738"/>
    <cellStyle name="40% - 强调文字颜色 5 2 2 4 2" xfId="1288"/>
    <cellStyle name="40% - 强调文字颜色 5 2 2 4 3" xfId="2550"/>
    <cellStyle name="40% - 强调文字颜色 5 2 2 5" xfId="882"/>
    <cellStyle name="40% - 强调文字颜色 5 2 2 5 2" xfId="1932"/>
    <cellStyle name="40% - 强调文字颜色 5 2 2 6" xfId="286"/>
    <cellStyle name="40% - 强调文字颜色 5 2 2 7" xfId="1457"/>
    <cellStyle name="40% - 强调文字颜色 5 2 2 7 2" xfId="2782"/>
    <cellStyle name="40% - 强调文字颜色 5 2 2 8" xfId="2118"/>
    <cellStyle name="40% - 强调文字颜色 5 2 2 9" xfId="3759"/>
    <cellStyle name="40% - 强调文字颜色 5 2 3" xfId="289"/>
    <cellStyle name="40% - 强调文字颜色 5 2 3 2" xfId="885"/>
    <cellStyle name="40% - 强调文字颜色 5 2 3 2 2" xfId="1464"/>
    <cellStyle name="40% - 强调文字颜色 5 2 3 2 2 2" xfId="2789"/>
    <cellStyle name="40% - 强调文字颜色 5 2 3 2 2 2 2" xfId="2094"/>
    <cellStyle name="40% - 强调文字颜色 5 2 3 2 2 3" xfId="2475"/>
    <cellStyle name="40% - 强调文字颜色 5 2 3 2 2 4" xfId="2121"/>
    <cellStyle name="40% - 强调文字颜色 5 2 3 2 3" xfId="1463"/>
    <cellStyle name="40% - 强调文字颜色 5 2 3 2 3 2" xfId="2788"/>
    <cellStyle name="40% - 强调文字颜色 5 2 3 2 3 3" xfId="1876"/>
    <cellStyle name="40% - 强调文字颜色 5 2 3 2 4" xfId="2038"/>
    <cellStyle name="40% - 强调文字颜色 5 2 3 2 5" xfId="2558"/>
    <cellStyle name="40% - 强调文字颜色 5 2 3 3" xfId="1462"/>
    <cellStyle name="40% - 强调文字颜色 5 2 3 3 2" xfId="2787"/>
    <cellStyle name="40% - 强调文字颜色 5 2 3 3 3" xfId="2265"/>
    <cellStyle name="40% - 强调文字颜色 5 2 3 4" xfId="2259"/>
    <cellStyle name="40% - 强调文字颜色 5 2 3 5" xfId="3760"/>
    <cellStyle name="40% - 强调文字颜色 5 2 4" xfId="580"/>
    <cellStyle name="40% - 强调文字颜色 5 2 4 2" xfId="1466"/>
    <cellStyle name="40% - 强调文字颜色 5 2 4 2 2" xfId="2791"/>
    <cellStyle name="40% - 强调文字颜色 5 2 4 2 2 2" xfId="3393"/>
    <cellStyle name="40% - 强调文字颜色 5 2 4 2 3" xfId="3302"/>
    <cellStyle name="40% - 强调文字颜色 5 2 4 2 4" xfId="1999"/>
    <cellStyle name="40% - 强调文字颜色 5 2 4 3" xfId="1467"/>
    <cellStyle name="40% - 强调文字颜色 5 2 4 3 2" xfId="2792"/>
    <cellStyle name="40% - 强调文字颜色 5 2 4 3 2 2" xfId="1976"/>
    <cellStyle name="40% - 强调文字颜色 5 2 4 3 3" xfId="2335"/>
    <cellStyle name="40% - 强调文字颜色 5 2 4 4" xfId="1465"/>
    <cellStyle name="40% - 强调文字颜色 5 2 4 4 2" xfId="2790"/>
    <cellStyle name="40% - 强调文字颜色 5 2 4 4 3" xfId="2424"/>
    <cellStyle name="40% - 强调文字颜色 5 2 4 5" xfId="1867"/>
    <cellStyle name="40% - 强调文字颜色 5 2 5" xfId="669"/>
    <cellStyle name="40% - 强调文字颜色 5 2 5 2" xfId="1146"/>
    <cellStyle name="40% - 强调文字颜色 5 2 5 3" xfId="2190"/>
    <cellStyle name="40% - 强调文字颜色 5 2 6" xfId="285"/>
    <cellStyle name="40% - 强调文字颜色 5 2 6 2" xfId="2543"/>
    <cellStyle name="40% - 强调文字颜色 5 2 7" xfId="1456"/>
    <cellStyle name="40% - 强调文字颜色 5 2 7 2" xfId="2781"/>
    <cellStyle name="40% - 强调文字颜色 5 2 7 3" xfId="2452"/>
    <cellStyle name="40% - 强调文字颜色 5 2 8" xfId="1967"/>
    <cellStyle name="40% - 强调文字颜色 5 2 9" xfId="3758"/>
    <cellStyle name="40% - 强调文字颜色 6 2" xfId="33"/>
    <cellStyle name="40% - 强调文字颜色 6 2 2" xfId="119"/>
    <cellStyle name="40% - 强调文字颜色 6 2 2 2" xfId="292"/>
    <cellStyle name="40% - 强调文字颜色 6 2 2 2 2" xfId="887"/>
    <cellStyle name="40% - 强调文字颜色 6 2 2 2 2 2" xfId="1471"/>
    <cellStyle name="40% - 强调文字颜色 6 2 2 2 2 2 2" xfId="2796"/>
    <cellStyle name="40% - 强调文字颜色 6 2 2 2 2 2 3" xfId="2095"/>
    <cellStyle name="40% - 强调文字颜色 6 2 2 2 2 3" xfId="2059"/>
    <cellStyle name="40% - 强调文字颜色 6 2 2 2 2 4" xfId="3324"/>
    <cellStyle name="40% - 强调文字颜色 6 2 2 2 3" xfId="1472"/>
    <cellStyle name="40% - 强调文字颜色 6 2 2 2 3 2" xfId="2797"/>
    <cellStyle name="40% - 强调文字颜色 6 2 2 2 3 2 2" xfId="2109"/>
    <cellStyle name="40% - 强调文字颜色 6 2 2 2 3 3" xfId="1974"/>
    <cellStyle name="40% - 强调文字颜色 6 2 2 2 4" xfId="1470"/>
    <cellStyle name="40% - 强调文字颜色 6 2 2 2 4 2" xfId="2795"/>
    <cellStyle name="40% - 强调文字颜色 6 2 2 2 4 3" xfId="1963"/>
    <cellStyle name="40% - 强调文字颜色 6 2 2 2 5" xfId="2373"/>
    <cellStyle name="40% - 强调文字颜色 6 2 2 3" xfId="293"/>
    <cellStyle name="40% - 强调文字颜色 6 2 2 3 2" xfId="888"/>
    <cellStyle name="40% - 强调文字颜色 6 2 2 3 2 2" xfId="1903"/>
    <cellStyle name="40% - 强调文字颜色 6 2 2 3 3" xfId="1473"/>
    <cellStyle name="40% - 强调文字颜色 6 2 2 3 3 2" xfId="2798"/>
    <cellStyle name="40% - 强调文字颜色 6 2 2 3 3 3" xfId="2013"/>
    <cellStyle name="40% - 强调文字颜色 6 2 2 3 4" xfId="2067"/>
    <cellStyle name="40% - 强调文字颜色 6 2 2 4" xfId="739"/>
    <cellStyle name="40% - 强调文字颜色 6 2 2 4 2" xfId="1289"/>
    <cellStyle name="40% - 强调文字颜色 6 2 2 4 3" xfId="3392"/>
    <cellStyle name="40% - 强调文字颜色 6 2 2 5" xfId="886"/>
    <cellStyle name="40% - 强调文字颜色 6 2 2 5 2" xfId="2572"/>
    <cellStyle name="40% - 强调文字颜色 6 2 2 6" xfId="291"/>
    <cellStyle name="40% - 强调文字颜色 6 2 2 7" xfId="1469"/>
    <cellStyle name="40% - 强调文字颜色 6 2 2 7 2" xfId="2794"/>
    <cellStyle name="40% - 强调文字颜色 6 2 2 8" xfId="2397"/>
    <cellStyle name="40% - 强调文字颜色 6 2 2 9" xfId="3762"/>
    <cellStyle name="40% - 强调文字颜色 6 2 3" xfId="294"/>
    <cellStyle name="40% - 强调文字颜色 6 2 3 2" xfId="889"/>
    <cellStyle name="40% - 强调文字颜色 6 2 3 2 2" xfId="1476"/>
    <cellStyle name="40% - 强调文字颜色 6 2 3 2 2 2" xfId="2801"/>
    <cellStyle name="40% - 强调文字颜色 6 2 3 2 2 2 2" xfId="1910"/>
    <cellStyle name="40% - 强调文字颜色 6 2 3 2 2 3" xfId="2593"/>
    <cellStyle name="40% - 强调文字颜色 6 2 3 2 2 4" xfId="2047"/>
    <cellStyle name="40% - 强调文字颜色 6 2 3 2 3" xfId="1475"/>
    <cellStyle name="40% - 强调文字颜色 6 2 3 2 3 2" xfId="2800"/>
    <cellStyle name="40% - 强调文字颜色 6 2 3 2 3 3" xfId="3351"/>
    <cellStyle name="40% - 强调文字颜色 6 2 3 2 4" xfId="2350"/>
    <cellStyle name="40% - 强调文字颜色 6 2 3 2 5" xfId="3390"/>
    <cellStyle name="40% - 强调文字颜色 6 2 3 3" xfId="1474"/>
    <cellStyle name="40% - 强调文字颜色 6 2 3 3 2" xfId="2799"/>
    <cellStyle name="40% - 强调文字颜色 6 2 3 3 3" xfId="2439"/>
    <cellStyle name="40% - 强调文字颜色 6 2 3 4" xfId="3300"/>
    <cellStyle name="40% - 强调文字颜色 6 2 3 5" xfId="3763"/>
    <cellStyle name="40% - 强调文字颜色 6 2 4" xfId="581"/>
    <cellStyle name="40% - 强调文字颜色 6 2 4 2" xfId="1478"/>
    <cellStyle name="40% - 强调文字颜色 6 2 4 2 2" xfId="2803"/>
    <cellStyle name="40% - 强调文字颜色 6 2 4 2 2 2" xfId="2322"/>
    <cellStyle name="40% - 强调文字颜色 6 2 4 2 3" xfId="1921"/>
    <cellStyle name="40% - 强调文字颜色 6 2 4 2 4" xfId="2370"/>
    <cellStyle name="40% - 强调文字颜色 6 2 4 3" xfId="1479"/>
    <cellStyle name="40% - 强调文字颜色 6 2 4 3 2" xfId="2804"/>
    <cellStyle name="40% - 强调文字颜色 6 2 4 3 2 2" xfId="3164"/>
    <cellStyle name="40% - 强调文字颜色 6 2 4 3 3" xfId="2575"/>
    <cellStyle name="40% - 强调文字颜色 6 2 4 4" xfId="1477"/>
    <cellStyle name="40% - 强调文字颜色 6 2 4 4 2" xfId="2802"/>
    <cellStyle name="40% - 强调文字颜色 6 2 4 4 3" xfId="2588"/>
    <cellStyle name="40% - 强调文字颜色 6 2 4 5" xfId="1956"/>
    <cellStyle name="40% - 强调文字颜色 6 2 5" xfId="670"/>
    <cellStyle name="40% - 强调文字颜色 6 2 5 2" xfId="1147"/>
    <cellStyle name="40% - 强调文字颜色 6 2 5 3" xfId="1874"/>
    <cellStyle name="40% - 强调文字颜色 6 2 6" xfId="290"/>
    <cellStyle name="40% - 强调文字颜色 6 2 6 2" xfId="1965"/>
    <cellStyle name="40% - 强调文字颜色 6 2 7" xfId="1468"/>
    <cellStyle name="40% - 强调文字颜色 6 2 7 2" xfId="2793"/>
    <cellStyle name="40% - 强调文字颜色 6 2 7 3" xfId="2260"/>
    <cellStyle name="40% - 强调文字颜色 6 2 8" xfId="2139"/>
    <cellStyle name="40% - 强调文字颜色 6 2 9" xfId="3761"/>
    <cellStyle name="60% - Accent1" xfId="34"/>
    <cellStyle name="60% - Accent1 2" xfId="120"/>
    <cellStyle name="60% - Accent1 2 2" xfId="297"/>
    <cellStyle name="60% - Accent1 2 2 2" xfId="891"/>
    <cellStyle name="60% - Accent1 2 3" xfId="298"/>
    <cellStyle name="60% - Accent1 2 3 2" xfId="892"/>
    <cellStyle name="60% - Accent1 2 4" xfId="740"/>
    <cellStyle name="60% - Accent1 2 4 2" xfId="1290"/>
    <cellStyle name="60% - Accent1 2 5" xfId="890"/>
    <cellStyle name="60% - Accent1 2 6" xfId="296"/>
    <cellStyle name="60% - Accent1 3" xfId="299"/>
    <cellStyle name="60% - Accent1 3 2" xfId="893"/>
    <cellStyle name="60% - Accent1 4" xfId="582"/>
    <cellStyle name="60% - Accent1 5" xfId="671"/>
    <cellStyle name="60% - Accent1 5 2" xfId="1148"/>
    <cellStyle name="60% - Accent1 6" xfId="295"/>
    <cellStyle name="60% - Accent2" xfId="35"/>
    <cellStyle name="60% - Accent2 2" xfId="121"/>
    <cellStyle name="60% - Accent2 2 2" xfId="302"/>
    <cellStyle name="60% - Accent2 2 2 2" xfId="895"/>
    <cellStyle name="60% - Accent2 2 3" xfId="303"/>
    <cellStyle name="60% - Accent2 2 3 2" xfId="896"/>
    <cellStyle name="60% - Accent2 2 4" xfId="741"/>
    <cellStyle name="60% - Accent2 2 4 2" xfId="1291"/>
    <cellStyle name="60% - Accent2 2 5" xfId="894"/>
    <cellStyle name="60% - Accent2 2 6" xfId="301"/>
    <cellStyle name="60% - Accent2 3" xfId="304"/>
    <cellStyle name="60% - Accent2 3 2" xfId="897"/>
    <cellStyle name="60% - Accent2 4" xfId="583"/>
    <cellStyle name="60% - Accent2 5" xfId="672"/>
    <cellStyle name="60% - Accent2 5 2" xfId="1149"/>
    <cellStyle name="60% - Accent2 6" xfId="300"/>
    <cellStyle name="60% - Accent3" xfId="36"/>
    <cellStyle name="60% - Accent3 2" xfId="122"/>
    <cellStyle name="60% - Accent3 2 2" xfId="307"/>
    <cellStyle name="60% - Accent3 2 2 2" xfId="899"/>
    <cellStyle name="60% - Accent3 2 3" xfId="308"/>
    <cellStyle name="60% - Accent3 2 3 2" xfId="900"/>
    <cellStyle name="60% - Accent3 2 4" xfId="742"/>
    <cellStyle name="60% - Accent3 2 4 2" xfId="1292"/>
    <cellStyle name="60% - Accent3 2 5" xfId="898"/>
    <cellStyle name="60% - Accent3 2 6" xfId="306"/>
    <cellStyle name="60% - Accent3 3" xfId="309"/>
    <cellStyle name="60% - Accent3 3 2" xfId="901"/>
    <cellStyle name="60% - Accent3 4" xfId="584"/>
    <cellStyle name="60% - Accent3 5" xfId="673"/>
    <cellStyle name="60% - Accent3 5 2" xfId="1150"/>
    <cellStyle name="60% - Accent3 6" xfId="305"/>
    <cellStyle name="60% - Accent4" xfId="37"/>
    <cellStyle name="60% - Accent4 2" xfId="123"/>
    <cellStyle name="60% - Accent4 2 2" xfId="312"/>
    <cellStyle name="60% - Accent4 2 2 2" xfId="903"/>
    <cellStyle name="60% - Accent4 2 3" xfId="313"/>
    <cellStyle name="60% - Accent4 2 3 2" xfId="904"/>
    <cellStyle name="60% - Accent4 2 4" xfId="743"/>
    <cellStyle name="60% - Accent4 2 4 2" xfId="1293"/>
    <cellStyle name="60% - Accent4 2 5" xfId="902"/>
    <cellStyle name="60% - Accent4 2 6" xfId="311"/>
    <cellStyle name="60% - Accent4 3" xfId="314"/>
    <cellStyle name="60% - Accent4 3 2" xfId="905"/>
    <cellStyle name="60% - Accent4 4" xfId="585"/>
    <cellStyle name="60% - Accent4 5" xfId="674"/>
    <cellStyle name="60% - Accent4 5 2" xfId="1151"/>
    <cellStyle name="60% - Accent4 6" xfId="310"/>
    <cellStyle name="60% - Accent5" xfId="39"/>
    <cellStyle name="60% - Accent5 2" xfId="125"/>
    <cellStyle name="60% - Accent5 2 2" xfId="317"/>
    <cellStyle name="60% - Accent5 2 2 2" xfId="907"/>
    <cellStyle name="60% - Accent5 2 3" xfId="318"/>
    <cellStyle name="60% - Accent5 2 3 2" xfId="908"/>
    <cellStyle name="60% - Accent5 2 4" xfId="745"/>
    <cellStyle name="60% - Accent5 2 4 2" xfId="1294"/>
    <cellStyle name="60% - Accent5 2 5" xfId="906"/>
    <cellStyle name="60% - Accent5 2 6" xfId="316"/>
    <cellStyle name="60% - Accent5 3" xfId="319"/>
    <cellStyle name="60% - Accent5 3 2" xfId="909"/>
    <cellStyle name="60% - Accent5 4" xfId="586"/>
    <cellStyle name="60% - Accent5 5" xfId="676"/>
    <cellStyle name="60% - Accent5 5 2" xfId="1152"/>
    <cellStyle name="60% - Accent5 6" xfId="315"/>
    <cellStyle name="60% - Accent6" xfId="40"/>
    <cellStyle name="60% - Accent6 2" xfId="126"/>
    <cellStyle name="60% - Accent6 2 2" xfId="322"/>
    <cellStyle name="60% - Accent6 2 2 2" xfId="911"/>
    <cellStyle name="60% - Accent6 2 3" xfId="323"/>
    <cellStyle name="60% - Accent6 2 3 2" xfId="912"/>
    <cellStyle name="60% - Accent6 2 4" xfId="746"/>
    <cellStyle name="60% - Accent6 2 4 2" xfId="1295"/>
    <cellStyle name="60% - Accent6 2 5" xfId="910"/>
    <cellStyle name="60% - Accent6 2 6" xfId="321"/>
    <cellStyle name="60% - Accent6 3" xfId="324"/>
    <cellStyle name="60% - Accent6 3 2" xfId="913"/>
    <cellStyle name="60% - Accent6 4" xfId="587"/>
    <cellStyle name="60% - Accent6 5" xfId="677"/>
    <cellStyle name="60% - Accent6 5 2" xfId="1153"/>
    <cellStyle name="60% - Accent6 6" xfId="320"/>
    <cellStyle name="60% - 强调文字颜色 1 2" xfId="42"/>
    <cellStyle name="60% - 强调文字颜色 1 2 2" xfId="128"/>
    <cellStyle name="60% - 强调文字颜色 1 2 2 2" xfId="327"/>
    <cellStyle name="60% - 强调文字颜色 1 2 2 2 2" xfId="915"/>
    <cellStyle name="60% - 强调文字颜色 1 2 2 2 2 2" xfId="1483"/>
    <cellStyle name="60% - 强调文字颜色 1 2 2 2 2 2 2" xfId="2808"/>
    <cellStyle name="60% - 强调文字颜色 1 2 2 2 2 2 3" xfId="2325"/>
    <cellStyle name="60% - 强调文字颜色 1 2 2 2 2 3" xfId="1895"/>
    <cellStyle name="60% - 强调文字颜色 1 2 2 2 2 4" xfId="3395"/>
    <cellStyle name="60% - 强调文字颜色 1 2 2 2 3" xfId="1484"/>
    <cellStyle name="60% - 强调文字颜色 1 2 2 2 3 2" xfId="2809"/>
    <cellStyle name="60% - 强调文字颜色 1 2 2 2 3 2 2" xfId="2093"/>
    <cellStyle name="60% - 强调文字颜色 1 2 2 2 3 3" xfId="1966"/>
    <cellStyle name="60% - 强调文字颜色 1 2 2 2 4" xfId="1482"/>
    <cellStyle name="60% - 强调文字颜色 1 2 2 2 4 2" xfId="2807"/>
    <cellStyle name="60% - 强调文字颜色 1 2 2 2 4 3" xfId="2404"/>
    <cellStyle name="60% - 强调文字颜色 1 2 2 2 5" xfId="3461"/>
    <cellStyle name="60% - 强调文字颜色 1 2 2 3" xfId="328"/>
    <cellStyle name="60% - 强调文字颜色 1 2 2 3 2" xfId="916"/>
    <cellStyle name="60% - 强调文字颜色 1 2 2 3 2 2" xfId="2012"/>
    <cellStyle name="60% - 强调文字颜色 1 2 2 3 3" xfId="1485"/>
    <cellStyle name="60% - 强调文字颜色 1 2 2 3 3 2" xfId="2810"/>
    <cellStyle name="60% - 强调文字颜色 1 2 2 3 3 3" xfId="3396"/>
    <cellStyle name="60% - 强调文字颜色 1 2 2 3 4" xfId="2534"/>
    <cellStyle name="60% - 强调文字颜色 1 2 2 4" xfId="748"/>
    <cellStyle name="60% - 强调文字颜色 1 2 2 4 2" xfId="1296"/>
    <cellStyle name="60% - 强调文字颜色 1 2 2 4 3" xfId="1924"/>
    <cellStyle name="60% - 强调文字颜色 1 2 2 5" xfId="914"/>
    <cellStyle name="60% - 强调文字颜色 1 2 2 5 2" xfId="2295"/>
    <cellStyle name="60% - 强调文字颜色 1 2 2 6" xfId="326"/>
    <cellStyle name="60% - 强调文字颜色 1 2 2 7" xfId="1481"/>
    <cellStyle name="60% - 强调文字颜色 1 2 2 7 2" xfId="2806"/>
    <cellStyle name="60% - 强调文字颜色 1 2 2 8" xfId="3434"/>
    <cellStyle name="60% - 强调文字颜色 1 2 2 9" xfId="3765"/>
    <cellStyle name="60% - 强调文字颜色 1 2 3" xfId="329"/>
    <cellStyle name="60% - 强调文字颜色 1 2 3 2" xfId="917"/>
    <cellStyle name="60% - 强调文字颜色 1 2 3 2 2" xfId="1488"/>
    <cellStyle name="60% - 强调文字颜色 1 2 3 2 2 2" xfId="2813"/>
    <cellStyle name="60% - 强调文字颜色 1 2 3 2 2 2 2" xfId="1990"/>
    <cellStyle name="60% - 强调文字颜色 1 2 3 2 2 3" xfId="2552"/>
    <cellStyle name="60% - 强调文字颜色 1 2 3 2 2 4" xfId="2032"/>
    <cellStyle name="60% - 强调文字颜色 1 2 3 2 3" xfId="1487"/>
    <cellStyle name="60% - 强调文字颜色 1 2 3 2 3 2" xfId="2812"/>
    <cellStyle name="60% - 强调文字颜色 1 2 3 2 3 3" xfId="1930"/>
    <cellStyle name="60% - 强调文字颜色 1 2 3 2 4" xfId="1850"/>
    <cellStyle name="60% - 强调文字颜色 1 2 3 2 5" xfId="3321"/>
    <cellStyle name="60% - 强调文字颜色 1 2 3 3" xfId="1486"/>
    <cellStyle name="60% - 强调文字颜色 1 2 3 3 2" xfId="2811"/>
    <cellStyle name="60% - 强调文字颜色 1 2 3 3 3" xfId="2128"/>
    <cellStyle name="60% - 强调文字颜色 1 2 3 4" xfId="2564"/>
    <cellStyle name="60% - 强调文字颜色 1 2 3 5" xfId="3766"/>
    <cellStyle name="60% - 强调文字颜色 1 2 4" xfId="588"/>
    <cellStyle name="60% - 强调文字颜色 1 2 4 2" xfId="1490"/>
    <cellStyle name="60% - 强调文字颜色 1 2 4 2 2" xfId="2815"/>
    <cellStyle name="60% - 强调文字颜色 1 2 4 2 2 2" xfId="2383"/>
    <cellStyle name="60% - 强调文字颜色 1 2 4 2 3" xfId="2337"/>
    <cellStyle name="60% - 强调文字颜色 1 2 4 2 4" xfId="2033"/>
    <cellStyle name="60% - 强调文字颜色 1 2 4 3" xfId="1491"/>
    <cellStyle name="60% - 强调文字颜色 1 2 4 3 2" xfId="2816"/>
    <cellStyle name="60% - 强调文字颜色 1 2 4 3 2 2" xfId="3397"/>
    <cellStyle name="60% - 强调文字颜色 1 2 4 3 3" xfId="2492"/>
    <cellStyle name="60% - 强调文字颜色 1 2 4 4" xfId="1489"/>
    <cellStyle name="60% - 强调文字颜色 1 2 4 4 2" xfId="2814"/>
    <cellStyle name="60% - 强调文字颜色 1 2 4 4 3" xfId="3394"/>
    <cellStyle name="60% - 强调文字颜色 1 2 4 5" xfId="2421"/>
    <cellStyle name="60% - 强调文字颜色 1 2 5" xfId="678"/>
    <cellStyle name="60% - 强调文字颜色 1 2 5 2" xfId="1154"/>
    <cellStyle name="60% - 强调文字颜色 1 2 5 3" xfId="2233"/>
    <cellStyle name="60% - 强调文字颜色 1 2 6" xfId="325"/>
    <cellStyle name="60% - 强调文字颜色 1 2 6 2" xfId="2146"/>
    <cellStyle name="60% - 强调文字颜色 1 2 7" xfId="1480"/>
    <cellStyle name="60% - 强调文字颜色 1 2 7 2" xfId="2805"/>
    <cellStyle name="60% - 强调文字颜色 1 2 7 3" xfId="2407"/>
    <cellStyle name="60% - 强调文字颜色 1 2 8" xfId="3364"/>
    <cellStyle name="60% - 强调文字颜色 1 2 9" xfId="3764"/>
    <cellStyle name="60% - 强调文字颜色 2 2" xfId="43"/>
    <cellStyle name="60% - 强调文字颜色 2 2 2" xfId="129"/>
    <cellStyle name="60% - 强调文字颜色 2 2 2 2" xfId="332"/>
    <cellStyle name="60% - 强调文字颜色 2 2 2 2 2" xfId="919"/>
    <cellStyle name="60% - 强调文字颜色 2 2 2 2 2 2" xfId="1495"/>
    <cellStyle name="60% - 强调文字颜色 2 2 2 2 2 2 2" xfId="2820"/>
    <cellStyle name="60% - 强调文字颜色 2 2 2 2 2 2 3" xfId="2602"/>
    <cellStyle name="60% - 强调文字颜色 2 2 2 2 2 3" xfId="3363"/>
    <cellStyle name="60% - 强调文字颜色 2 2 2 2 2 4" xfId="2554"/>
    <cellStyle name="60% - 强调文字颜色 2 2 2 2 3" xfId="1496"/>
    <cellStyle name="60% - 强调文字颜色 2 2 2 2 3 2" xfId="2821"/>
    <cellStyle name="60% - 强调文字颜色 2 2 2 2 3 2 2" xfId="2277"/>
    <cellStyle name="60% - 强调文字颜色 2 2 2 2 3 3" xfId="2065"/>
    <cellStyle name="60% - 强调文字颜色 2 2 2 2 4" xfId="1494"/>
    <cellStyle name="60% - 强调文字颜色 2 2 2 2 4 2" xfId="2819"/>
    <cellStyle name="60% - 强调文字颜色 2 2 2 2 4 3" xfId="2457"/>
    <cellStyle name="60% - 强调文字颜色 2 2 2 2 5" xfId="3303"/>
    <cellStyle name="60% - 强调文字颜色 2 2 2 3" xfId="333"/>
    <cellStyle name="60% - 强调文字颜色 2 2 2 3 2" xfId="920"/>
    <cellStyle name="60% - 强调文字颜色 2 2 2 3 2 2" xfId="2205"/>
    <cellStyle name="60% - 强调文字颜色 2 2 2 3 3" xfId="1497"/>
    <cellStyle name="60% - 强调文字颜色 2 2 2 3 3 2" xfId="2822"/>
    <cellStyle name="60% - 强调文字颜色 2 2 2 3 3 3" xfId="2304"/>
    <cellStyle name="60% - 强调文字颜色 2 2 2 3 4" xfId="3169"/>
    <cellStyle name="60% - 强调文字颜色 2 2 2 4" xfId="749"/>
    <cellStyle name="60% - 强调文字颜色 2 2 2 4 2" xfId="1297"/>
    <cellStyle name="60% - 强调文字颜色 2 2 2 4 3" xfId="2246"/>
    <cellStyle name="60% - 强调文字颜色 2 2 2 5" xfId="918"/>
    <cellStyle name="60% - 强调文字颜色 2 2 2 5 2" xfId="2650"/>
    <cellStyle name="60% - 强调文字颜色 2 2 2 6" xfId="331"/>
    <cellStyle name="60% - 强调文字颜色 2 2 2 7" xfId="1493"/>
    <cellStyle name="60% - 强调文字颜色 2 2 2 7 2" xfId="2818"/>
    <cellStyle name="60% - 强调文字颜色 2 2 2 8" xfId="1853"/>
    <cellStyle name="60% - 强调文字颜色 2 2 2 9" xfId="3768"/>
    <cellStyle name="60% - 强调文字颜色 2 2 3" xfId="334"/>
    <cellStyle name="60% - 强调文字颜色 2 2 3 2" xfId="921"/>
    <cellStyle name="60% - 强调文字颜色 2 2 3 2 2" xfId="1500"/>
    <cellStyle name="60% - 强调文字颜色 2 2 3 2 2 2" xfId="2825"/>
    <cellStyle name="60% - 强调文字颜色 2 2 3 2 2 2 2" xfId="1992"/>
    <cellStyle name="60% - 强调文字颜色 2 2 3 2 2 3" xfId="2653"/>
    <cellStyle name="60% - 强调文字颜色 2 2 3 2 2 4" xfId="3398"/>
    <cellStyle name="60% - 强调文字颜色 2 2 3 2 3" xfId="1499"/>
    <cellStyle name="60% - 强调文字颜色 2 2 3 2 3 2" xfId="2824"/>
    <cellStyle name="60% - 强调文字颜色 2 2 3 2 3 3" xfId="2108"/>
    <cellStyle name="60% - 强调文字颜色 2 2 3 2 4" xfId="2518"/>
    <cellStyle name="60% - 强调文字颜色 2 2 3 2 5" xfId="2566"/>
    <cellStyle name="60% - 强调文字颜色 2 2 3 3" xfId="1498"/>
    <cellStyle name="60% - 强调文字颜色 2 2 3 3 2" xfId="2823"/>
    <cellStyle name="60% - 强调文字颜色 2 2 3 3 3" xfId="1887"/>
    <cellStyle name="60% - 强调文字颜色 2 2 3 4" xfId="2374"/>
    <cellStyle name="60% - 强调文字颜色 2 2 3 5" xfId="3769"/>
    <cellStyle name="60% - 强调文字颜色 2 2 4" xfId="589"/>
    <cellStyle name="60% - 强调文字颜色 2 2 4 2" xfId="1502"/>
    <cellStyle name="60% - 强调文字颜色 2 2 4 2 2" xfId="2827"/>
    <cellStyle name="60% - 强调文字颜色 2 2 4 2 2 2" xfId="1863"/>
    <cellStyle name="60% - 强调文字颜色 2 2 4 2 3" xfId="2301"/>
    <cellStyle name="60% - 强调文字颜色 2 2 4 2 4" xfId="2617"/>
    <cellStyle name="60% - 强调文字颜色 2 2 4 3" xfId="1503"/>
    <cellStyle name="60% - 强调文字颜色 2 2 4 3 2" xfId="2828"/>
    <cellStyle name="60% - 强调文字颜色 2 2 4 3 2 2" xfId="3442"/>
    <cellStyle name="60% - 强调文字颜色 2 2 4 3 3" xfId="1880"/>
    <cellStyle name="60% - 强调文字颜色 2 2 4 4" xfId="1501"/>
    <cellStyle name="60% - 强调文字颜色 2 2 4 4 2" xfId="2826"/>
    <cellStyle name="60% - 强调文字颜色 2 2 4 4 3" xfId="2192"/>
    <cellStyle name="60% - 强调文字颜色 2 2 4 5" xfId="2474"/>
    <cellStyle name="60% - 强调文字颜色 2 2 5" xfId="679"/>
    <cellStyle name="60% - 强调文字颜色 2 2 5 2" xfId="1155"/>
    <cellStyle name="60% - 强调文字颜色 2 2 5 3" xfId="3282"/>
    <cellStyle name="60% - 强调文字颜色 2 2 6" xfId="330"/>
    <cellStyle name="60% - 强调文字颜色 2 2 6 2" xfId="3326"/>
    <cellStyle name="60% - 强调文字颜色 2 2 7" xfId="1492"/>
    <cellStyle name="60% - 强调文字颜色 2 2 7 2" xfId="2817"/>
    <cellStyle name="60% - 强调文字颜色 2 2 7 3" xfId="2587"/>
    <cellStyle name="60% - 强调文字颜色 2 2 8" xfId="2609"/>
    <cellStyle name="60% - 强调文字颜色 2 2 9" xfId="3767"/>
    <cellStyle name="60% - 强调文字颜色 3 2" xfId="44"/>
    <cellStyle name="60% - 强调文字颜色 3 2 2" xfId="130"/>
    <cellStyle name="60% - 强调文字颜色 3 2 2 2" xfId="337"/>
    <cellStyle name="60% - 强调文字颜色 3 2 2 2 2" xfId="923"/>
    <cellStyle name="60% - 强调文字颜色 3 2 2 2 2 2" xfId="1507"/>
    <cellStyle name="60% - 强调文字颜色 3 2 2 2 2 2 2" xfId="2832"/>
    <cellStyle name="60% - 强调文字颜色 3 2 2 2 2 2 3" xfId="2537"/>
    <cellStyle name="60% - 强调文字颜色 3 2 2 2 2 3" xfId="2323"/>
    <cellStyle name="60% - 强调文字颜色 3 2 2 2 2 4" xfId="3399"/>
    <cellStyle name="60% - 强调文字颜色 3 2 2 2 3" xfId="1508"/>
    <cellStyle name="60% - 强调文字颜色 3 2 2 2 3 2" xfId="2833"/>
    <cellStyle name="60% - 强调文字颜色 3 2 2 2 3 2 2" xfId="1900"/>
    <cellStyle name="60% - 强调文字颜色 3 2 2 2 3 3" xfId="2291"/>
    <cellStyle name="60% - 强调文字颜色 3 2 2 2 4" xfId="1506"/>
    <cellStyle name="60% - 强调文字颜色 3 2 2 2 4 2" xfId="2831"/>
    <cellStyle name="60% - 强调文字颜色 3 2 2 2 4 3" xfId="2462"/>
    <cellStyle name="60% - 强调文字颜色 3 2 2 2 5" xfId="2138"/>
    <cellStyle name="60% - 强调文字颜色 3 2 2 3" xfId="338"/>
    <cellStyle name="60% - 强调文字颜色 3 2 2 3 2" xfId="924"/>
    <cellStyle name="60% - 强调文字颜色 3 2 2 3 2 2" xfId="2285"/>
    <cellStyle name="60% - 强调文字颜色 3 2 2 3 3" xfId="1509"/>
    <cellStyle name="60% - 强调文字颜色 3 2 2 3 3 2" xfId="2834"/>
    <cellStyle name="60% - 强调文字颜色 3 2 2 3 3 3" xfId="3400"/>
    <cellStyle name="60% - 强调文字颜色 3 2 2 3 4" xfId="3435"/>
    <cellStyle name="60% - 强调文字颜色 3 2 2 4" xfId="750"/>
    <cellStyle name="60% - 强调文字颜色 3 2 2 4 2" xfId="1298"/>
    <cellStyle name="60% - 强调文字颜色 3 2 2 4 3" xfId="2489"/>
    <cellStyle name="60% - 强调文字颜色 3 2 2 5" xfId="922"/>
    <cellStyle name="60% - 强调文字颜色 3 2 2 5 2" xfId="2127"/>
    <cellStyle name="60% - 强调文字颜色 3 2 2 6" xfId="336"/>
    <cellStyle name="60% - 强调文字颜色 3 2 2 7" xfId="1505"/>
    <cellStyle name="60% - 强调文字颜色 3 2 2 7 2" xfId="2830"/>
    <cellStyle name="60% - 强调文字颜色 3 2 2 8" xfId="2195"/>
    <cellStyle name="60% - 强调文字颜色 3 2 2 9" xfId="3771"/>
    <cellStyle name="60% - 强调文字颜色 3 2 3" xfId="339"/>
    <cellStyle name="60% - 强调文字颜色 3 2 3 2" xfId="925"/>
    <cellStyle name="60% - 强调文字颜色 3 2 3 2 2" xfId="1512"/>
    <cellStyle name="60% - 强调文字颜色 3 2 3 2 2 2" xfId="2837"/>
    <cellStyle name="60% - 强调文字颜色 3 2 3 2 2 2 2" xfId="1904"/>
    <cellStyle name="60% - 强调文字颜色 3 2 3 2 2 3" xfId="2336"/>
    <cellStyle name="60% - 强调文字颜色 3 2 3 2 2 4" xfId="2267"/>
    <cellStyle name="60% - 强调文字颜色 3 2 3 2 3" xfId="1511"/>
    <cellStyle name="60% - 强调文字颜色 3 2 3 2 3 2" xfId="2836"/>
    <cellStyle name="60% - 强调文字颜色 3 2 3 2 3 3" xfId="3402"/>
    <cellStyle name="60% - 强调文字颜色 3 2 3 2 4" xfId="2387"/>
    <cellStyle name="60% - 强调文字颜色 3 2 3 2 5" xfId="3325"/>
    <cellStyle name="60% - 强调文字颜色 3 2 3 3" xfId="1510"/>
    <cellStyle name="60% - 强调文字颜色 3 2 3 3 2" xfId="2835"/>
    <cellStyle name="60% - 强调文字颜色 3 2 3 3 3" xfId="2060"/>
    <cellStyle name="60% - 强调文字颜色 3 2 3 4" xfId="3459"/>
    <cellStyle name="60% - 强调文字颜色 3 2 3 5" xfId="3772"/>
    <cellStyle name="60% - 强调文字颜色 3 2 4" xfId="590"/>
    <cellStyle name="60% - 强调文字颜色 3 2 4 2" xfId="1514"/>
    <cellStyle name="60% - 强调文字颜色 3 2 4 2 2" xfId="2839"/>
    <cellStyle name="60% - 强调文字颜色 3 2 4 2 2 2" xfId="2217"/>
    <cellStyle name="60% - 强调文字颜色 3 2 4 2 3" xfId="3327"/>
    <cellStyle name="60% - 强调文字颜色 3 2 4 2 4" xfId="2326"/>
    <cellStyle name="60% - 强调文字颜色 3 2 4 3" xfId="1515"/>
    <cellStyle name="60% - 强调文字颜色 3 2 4 3 2" xfId="2840"/>
    <cellStyle name="60% - 强调文字颜色 3 2 4 3 2 2" xfId="2319"/>
    <cellStyle name="60% - 强调文字颜色 3 2 4 3 3" xfId="2473"/>
    <cellStyle name="60% - 强调文字颜色 3 2 4 4" xfId="1513"/>
    <cellStyle name="60% - 强调文字颜色 3 2 4 4 2" xfId="2838"/>
    <cellStyle name="60% - 强调文字颜色 3 2 4 4 3" xfId="2528"/>
    <cellStyle name="60% - 强调文字颜色 3 2 4 5" xfId="2549"/>
    <cellStyle name="60% - 强调文字颜色 3 2 5" xfId="680"/>
    <cellStyle name="60% - 强调文字颜色 3 2 5 2" xfId="1156"/>
    <cellStyle name="60% - 强调文字颜色 3 2 5 3" xfId="2284"/>
    <cellStyle name="60% - 强调文字颜色 3 2 6" xfId="335"/>
    <cellStyle name="60% - 强调文字颜色 3 2 6 2" xfId="2445"/>
    <cellStyle name="60% - 强调文字颜色 3 2 7" xfId="1504"/>
    <cellStyle name="60% - 强调文字颜色 3 2 7 2" xfId="2829"/>
    <cellStyle name="60% - 强调文字颜色 3 2 7 3" xfId="2126"/>
    <cellStyle name="60% - 强调文字颜色 3 2 8" xfId="2390"/>
    <cellStyle name="60% - 强调文字颜色 3 2 9" xfId="3770"/>
    <cellStyle name="60% - 强调文字颜色 4 2" xfId="46"/>
    <cellStyle name="60% - 强调文字颜色 4 2 2" xfId="132"/>
    <cellStyle name="60% - 强调文字颜色 4 2 2 2" xfId="342"/>
    <cellStyle name="60% - 强调文字颜色 4 2 2 2 2" xfId="927"/>
    <cellStyle name="60% - 强调文字颜色 4 2 2 2 2 2" xfId="1519"/>
    <cellStyle name="60% - 强调文字颜色 4 2 2 2 2 2 2" xfId="2844"/>
    <cellStyle name="60% - 强调文字颜色 4 2 2 2 2 2 3" xfId="1935"/>
    <cellStyle name="60% - 强调文字颜色 4 2 2 2 2 3" xfId="2202"/>
    <cellStyle name="60% - 强调文字颜色 4 2 2 2 2 4" xfId="3447"/>
    <cellStyle name="60% - 强调文字颜色 4 2 2 2 3" xfId="1520"/>
    <cellStyle name="60% - 强调文字颜色 4 2 2 2 3 2" xfId="2845"/>
    <cellStyle name="60% - 强调文字颜色 4 2 2 2 3 2 2" xfId="2294"/>
    <cellStyle name="60% - 强调文字颜色 4 2 2 2 3 3" xfId="2307"/>
    <cellStyle name="60% - 强调文字颜色 4 2 2 2 4" xfId="1518"/>
    <cellStyle name="60% - 强调文字颜色 4 2 2 2 4 2" xfId="2843"/>
    <cellStyle name="60% - 强调文字颜色 4 2 2 2 4 3" xfId="2153"/>
    <cellStyle name="60% - 强调文字颜色 4 2 2 2 5" xfId="3334"/>
    <cellStyle name="60% - 强调文字颜色 4 2 2 3" xfId="343"/>
    <cellStyle name="60% - 强调文字颜色 4 2 2 3 2" xfId="928"/>
    <cellStyle name="60% - 强调文字颜色 4 2 2 3 2 2" xfId="2501"/>
    <cellStyle name="60% - 强调文字颜色 4 2 2 3 3" xfId="1521"/>
    <cellStyle name="60% - 强调文字颜色 4 2 2 3 3 2" xfId="2846"/>
    <cellStyle name="60% - 强调文字颜色 4 2 2 3 3 3" xfId="2157"/>
    <cellStyle name="60% - 强调文字颜色 4 2 2 3 4" xfId="2042"/>
    <cellStyle name="60% - 强调文字颜色 4 2 2 4" xfId="752"/>
    <cellStyle name="60% - 强调文字颜色 4 2 2 4 2" xfId="1299"/>
    <cellStyle name="60% - 强调文字颜色 4 2 2 4 3" xfId="2615"/>
    <cellStyle name="60% - 强调文字颜色 4 2 2 5" xfId="926"/>
    <cellStyle name="60% - 强调文字颜色 4 2 2 5 2" xfId="2631"/>
    <cellStyle name="60% - 强调文字颜色 4 2 2 6" xfId="341"/>
    <cellStyle name="60% - 强调文字颜色 4 2 2 7" xfId="1517"/>
    <cellStyle name="60% - 强调文字颜色 4 2 2 7 2" xfId="2842"/>
    <cellStyle name="60% - 强调文字颜色 4 2 2 8" xfId="2314"/>
    <cellStyle name="60% - 强调文字颜色 4 2 2 9" xfId="3774"/>
    <cellStyle name="60% - 强调文字颜色 4 2 3" xfId="344"/>
    <cellStyle name="60% - 强调文字颜色 4 2 3 2" xfId="929"/>
    <cellStyle name="60% - 强调文字颜色 4 2 3 2 2" xfId="1524"/>
    <cellStyle name="60% - 强调文字颜色 4 2 3 2 2 2" xfId="2849"/>
    <cellStyle name="60% - 强调文字颜色 4 2 3 2 2 2 2" xfId="3403"/>
    <cellStyle name="60% - 强调文字颜色 4 2 3 2 2 3" xfId="1888"/>
    <cellStyle name="60% - 强调文字颜色 4 2 3 2 2 4" xfId="2244"/>
    <cellStyle name="60% - 强调文字颜色 4 2 3 2 3" xfId="1523"/>
    <cellStyle name="60% - 强调文字颜色 4 2 3 2 3 2" xfId="2848"/>
    <cellStyle name="60% - 强调文字颜色 4 2 3 2 3 3" xfId="2341"/>
    <cellStyle name="60% - 强调文字颜色 4 2 3 2 4" xfId="2287"/>
    <cellStyle name="60% - 强调文字颜色 4 2 3 2 5" xfId="2365"/>
    <cellStyle name="60% - 强调文字颜色 4 2 3 3" xfId="1522"/>
    <cellStyle name="60% - 强调文字颜色 4 2 3 3 2" xfId="2847"/>
    <cellStyle name="60% - 强调文字颜色 4 2 3 3 3" xfId="2057"/>
    <cellStyle name="60% - 强调文字颜色 4 2 3 4" xfId="1937"/>
    <cellStyle name="60% - 强调文字颜色 4 2 3 5" xfId="3775"/>
    <cellStyle name="60% - 强调文字颜色 4 2 4" xfId="591"/>
    <cellStyle name="60% - 强调文字颜色 4 2 4 2" xfId="1526"/>
    <cellStyle name="60% - 强调文字颜色 4 2 4 2 2" xfId="2851"/>
    <cellStyle name="60% - 强调文字颜色 4 2 4 2 2 2" xfId="1954"/>
    <cellStyle name="60% - 强调文字颜色 4 2 4 2 3" xfId="2019"/>
    <cellStyle name="60% - 强调文字颜色 4 2 4 2 4" xfId="2413"/>
    <cellStyle name="60% - 强调文字颜色 4 2 4 3" xfId="1527"/>
    <cellStyle name="60% - 强调文字颜色 4 2 4 3 2" xfId="2852"/>
    <cellStyle name="60% - 强调文字颜色 4 2 4 3 2 2" xfId="3446"/>
    <cellStyle name="60% - 强调文字颜色 4 2 4 3 3" xfId="1916"/>
    <cellStyle name="60% - 强调文字颜色 4 2 4 4" xfId="1525"/>
    <cellStyle name="60% - 强调文字颜色 4 2 4 4 2" xfId="2850"/>
    <cellStyle name="60% - 强调文字颜色 4 2 4 4 3" xfId="2185"/>
    <cellStyle name="60% - 强调文字颜色 4 2 4 5" xfId="1984"/>
    <cellStyle name="60% - 强调文字颜色 4 2 5" xfId="682"/>
    <cellStyle name="60% - 强调文字颜色 4 2 5 2" xfId="1157"/>
    <cellStyle name="60% - 强调文字颜色 4 2 5 3" xfId="2547"/>
    <cellStyle name="60% - 强调文字颜色 4 2 6" xfId="340"/>
    <cellStyle name="60% - 强调文字颜色 4 2 6 2" xfId="3350"/>
    <cellStyle name="60% - 强调文字颜色 4 2 7" xfId="1516"/>
    <cellStyle name="60% - 强调文字颜色 4 2 7 2" xfId="2841"/>
    <cellStyle name="60% - 强调文字颜色 4 2 7 3" xfId="2451"/>
    <cellStyle name="60% - 强调文字颜色 4 2 8" xfId="2256"/>
    <cellStyle name="60% - 强调文字颜色 4 2 9" xfId="3773"/>
    <cellStyle name="60% - 强调文字颜色 5 2" xfId="47"/>
    <cellStyle name="60% - 强调文字颜色 5 2 2" xfId="133"/>
    <cellStyle name="60% - 强调文字颜色 5 2 2 2" xfId="347"/>
    <cellStyle name="60% - 强调文字颜色 5 2 2 2 2" xfId="931"/>
    <cellStyle name="60% - 强调文字颜色 5 2 2 2 2 2" xfId="1531"/>
    <cellStyle name="60% - 强调文字颜色 5 2 2 2 2 2 2" xfId="2856"/>
    <cellStyle name="60% - 强调文字颜色 5 2 2 2 2 2 3" xfId="2237"/>
    <cellStyle name="60% - 强调文字颜色 5 2 2 2 2 3" xfId="3365"/>
    <cellStyle name="60% - 强调文字颜色 5 2 2 2 2 4" xfId="2648"/>
    <cellStyle name="60% - 强调文字颜色 5 2 2 2 3" xfId="1532"/>
    <cellStyle name="60% - 强调文字颜色 5 2 2 2 3 2" xfId="2857"/>
    <cellStyle name="60% - 强调文字颜色 5 2 2 2 3 2 2" xfId="2076"/>
    <cellStyle name="60% - 强调文字颜色 5 2 2 2 3 3" xfId="2161"/>
    <cellStyle name="60% - 强调文字颜色 5 2 2 2 4" xfId="1530"/>
    <cellStyle name="60% - 强调文字颜色 5 2 2 2 4 2" xfId="2855"/>
    <cellStyle name="60% - 强调文字颜色 5 2 2 2 4 3" xfId="3406"/>
    <cellStyle name="60% - 强调文字颜色 5 2 2 2 5" xfId="3299"/>
    <cellStyle name="60% - 强调文字颜色 5 2 2 3" xfId="348"/>
    <cellStyle name="60% - 强调文字颜色 5 2 2 3 2" xfId="932"/>
    <cellStyle name="60% - 强调文字颜色 5 2 2 3 2 2" xfId="2561"/>
    <cellStyle name="60% - 强调文字颜色 5 2 2 3 3" xfId="1533"/>
    <cellStyle name="60% - 强调文字颜色 5 2 2 3 3 2" xfId="2858"/>
    <cellStyle name="60% - 强调文字颜色 5 2 2 3 3 3" xfId="2188"/>
    <cellStyle name="60% - 强调文字颜色 5 2 2 3 4" xfId="2594"/>
    <cellStyle name="60% - 强调文字颜色 5 2 2 4" xfId="753"/>
    <cellStyle name="60% - 强调文字颜色 5 2 2 4 2" xfId="1300"/>
    <cellStyle name="60% - 强调文字颜色 5 2 2 4 3" xfId="3405"/>
    <cellStyle name="60% - 强调文字颜色 5 2 2 5" xfId="930"/>
    <cellStyle name="60% - 强调文字颜色 5 2 2 5 2" xfId="1926"/>
    <cellStyle name="60% - 强调文字颜色 5 2 2 6" xfId="346"/>
    <cellStyle name="60% - 强调文字颜色 5 2 2 7" xfId="1529"/>
    <cellStyle name="60% - 强调文字颜色 5 2 2 7 2" xfId="2854"/>
    <cellStyle name="60% - 强调文字颜色 5 2 2 8" xfId="1981"/>
    <cellStyle name="60% - 强调文字颜色 5 2 2 9" xfId="3777"/>
    <cellStyle name="60% - 强调文字颜色 5 2 3" xfId="349"/>
    <cellStyle name="60% - 强调文字颜色 5 2 3 2" xfId="933"/>
    <cellStyle name="60% - 强调文字颜色 5 2 3 2 2" xfId="1536"/>
    <cellStyle name="60% - 强调文字颜色 5 2 3 2 2 2" xfId="2861"/>
    <cellStyle name="60% - 强调文字颜色 5 2 3 2 2 2 2" xfId="2450"/>
    <cellStyle name="60% - 强调文字颜色 5 2 3 2 2 3" xfId="2305"/>
    <cellStyle name="60% - 强调文字颜色 5 2 3 2 2 4" xfId="2368"/>
    <cellStyle name="60% - 强调文字颜色 5 2 3 2 3" xfId="1535"/>
    <cellStyle name="60% - 强调文字颜色 5 2 3 2 3 2" xfId="2860"/>
    <cellStyle name="60% - 强调文字颜色 5 2 3 2 3 3" xfId="3404"/>
    <cellStyle name="60% - 强调文字颜色 5 2 3 2 4" xfId="2214"/>
    <cellStyle name="60% - 强调文字颜色 5 2 3 2 5" xfId="3469"/>
    <cellStyle name="60% - 强调文字颜色 5 2 3 3" xfId="1534"/>
    <cellStyle name="60% - 强调文字颜色 5 2 3 3 2" xfId="2859"/>
    <cellStyle name="60% - 强调文字颜色 5 2 3 3 3" xfId="2318"/>
    <cellStyle name="60% - 强调文字颜色 5 2 3 4" xfId="2503"/>
    <cellStyle name="60% - 强调文字颜色 5 2 3 5" xfId="3778"/>
    <cellStyle name="60% - 强调文字颜色 5 2 4" xfId="592"/>
    <cellStyle name="60% - 强调文字颜色 5 2 4 2" xfId="1538"/>
    <cellStyle name="60% - 强调文字颜色 5 2 4 2 2" xfId="2863"/>
    <cellStyle name="60% - 强调文字颜色 5 2 4 2 2 2" xfId="1947"/>
    <cellStyle name="60% - 强调文字颜色 5 2 4 2 3" xfId="3468"/>
    <cellStyle name="60% - 强调文字颜色 5 2 4 2 4" xfId="3401"/>
    <cellStyle name="60% - 强调文字颜色 5 2 4 3" xfId="1539"/>
    <cellStyle name="60% - 强调文字颜色 5 2 4 3 2" xfId="2864"/>
    <cellStyle name="60% - 强调文字颜色 5 2 4 3 2 2" xfId="2345"/>
    <cellStyle name="60% - 强调文字颜色 5 2 4 3 3" xfId="2137"/>
    <cellStyle name="60% - 强调文字颜色 5 2 4 4" xfId="1537"/>
    <cellStyle name="60% - 强调文字颜色 5 2 4 4 2" xfId="2862"/>
    <cellStyle name="60% - 强调文字颜色 5 2 4 4 3" xfId="2232"/>
    <cellStyle name="60% - 强调文字颜色 5 2 4 5" xfId="3449"/>
    <cellStyle name="60% - 强调文字颜色 5 2 5" xfId="683"/>
    <cellStyle name="60% - 强调文字颜色 5 2 5 2" xfId="1158"/>
    <cellStyle name="60% - 强调文字颜色 5 2 5 3" xfId="2570"/>
    <cellStyle name="60% - 强调文字颜色 5 2 6" xfId="345"/>
    <cellStyle name="60% - 强调文字颜色 5 2 6 2" xfId="1959"/>
    <cellStyle name="60% - 强调文字颜色 5 2 7" xfId="1528"/>
    <cellStyle name="60% - 强调文字颜色 5 2 7 2" xfId="2853"/>
    <cellStyle name="60% - 强调文字颜色 5 2 7 3" xfId="3448"/>
    <cellStyle name="60% - 强调文字颜色 5 2 8" xfId="2625"/>
    <cellStyle name="60% - 强调文字颜色 5 2 9" xfId="3776"/>
    <cellStyle name="60% - 强调文字颜色 6 2" xfId="48"/>
    <cellStyle name="60% - 强调文字颜色 6 2 2" xfId="134"/>
    <cellStyle name="60% - 强调文字颜色 6 2 2 2" xfId="352"/>
    <cellStyle name="60% - 强调文字颜色 6 2 2 2 2" xfId="935"/>
    <cellStyle name="60% - 强调文字颜色 6 2 2 2 2 2" xfId="1543"/>
    <cellStyle name="60% - 强调文字颜色 6 2 2 2 2 2 2" xfId="2868"/>
    <cellStyle name="60% - 强调文字颜色 6 2 2 2 2 2 3" xfId="2010"/>
    <cellStyle name="60% - 强调文字颜色 6 2 2 2 2 3" xfId="2062"/>
    <cellStyle name="60% - 强调文字颜色 6 2 2 2 2 4" xfId="3407"/>
    <cellStyle name="60% - 强调文字颜色 6 2 2 2 3" xfId="1544"/>
    <cellStyle name="60% - 强调文字颜色 6 2 2 2 3 2" xfId="2869"/>
    <cellStyle name="60% - 强调文字颜色 6 2 2 2 3 2 2" xfId="2216"/>
    <cellStyle name="60% - 强调文字颜色 6 2 2 2 3 3" xfId="2132"/>
    <cellStyle name="60% - 强调文字颜色 6 2 2 2 4" xfId="1542"/>
    <cellStyle name="60% - 强调文字颜色 6 2 2 2 4 2" xfId="2867"/>
    <cellStyle name="60% - 强调文字颜色 6 2 2 2 4 3" xfId="2080"/>
    <cellStyle name="60% - 强调文字颜色 6 2 2 2 5" xfId="2186"/>
    <cellStyle name="60% - 强调文字颜色 6 2 2 3" xfId="353"/>
    <cellStyle name="60% - 强调文字颜色 6 2 2 3 2" xfId="936"/>
    <cellStyle name="60% - 强调文字颜色 6 2 2 3 2 2" xfId="2356"/>
    <cellStyle name="60% - 强调文字颜色 6 2 2 3 3" xfId="1545"/>
    <cellStyle name="60% - 强调文字颜色 6 2 2 3 3 2" xfId="2870"/>
    <cellStyle name="60% - 强调文字颜色 6 2 2 3 3 3" xfId="2639"/>
    <cellStyle name="60% - 强调文字颜色 6 2 2 3 4" xfId="2633"/>
    <cellStyle name="60% - 强调文字颜色 6 2 2 4" xfId="754"/>
    <cellStyle name="60% - 强调文字颜色 6 2 2 4 2" xfId="1301"/>
    <cellStyle name="60% - 强调文字颜色 6 2 2 4 3" xfId="3467"/>
    <cellStyle name="60% - 强调文字颜色 6 2 2 5" xfId="934"/>
    <cellStyle name="60% - 强调文字颜色 6 2 2 5 2" xfId="2395"/>
    <cellStyle name="60% - 强调文字颜色 6 2 2 6" xfId="351"/>
    <cellStyle name="60% - 强调文字颜色 6 2 2 7" xfId="1541"/>
    <cellStyle name="60% - 强调文字颜色 6 2 2 7 2" xfId="2866"/>
    <cellStyle name="60% - 强调文字颜色 6 2 2 8" xfId="2416"/>
    <cellStyle name="60% - 强调文字颜色 6 2 2 9" xfId="3780"/>
    <cellStyle name="60% - 强调文字颜色 6 2 3" xfId="354"/>
    <cellStyle name="60% - 强调文字颜色 6 2 3 2" xfId="937"/>
    <cellStyle name="60% - 强调文字颜色 6 2 3 2 2" xfId="1548"/>
    <cellStyle name="60% - 强调文字颜色 6 2 3 2 2 2" xfId="2873"/>
    <cellStyle name="60% - 强调文字颜色 6 2 3 2 2 2 2" xfId="1882"/>
    <cellStyle name="60% - 强调文字颜色 6 2 3 2 2 3" xfId="2039"/>
    <cellStyle name="60% - 强调文字颜色 6 2 3 2 2 4" xfId="3408"/>
    <cellStyle name="60% - 强调文字颜色 6 2 3 2 3" xfId="1547"/>
    <cellStyle name="60% - 强调文字颜色 6 2 3 2 3 2" xfId="2872"/>
    <cellStyle name="60% - 强调文字颜色 6 2 3 2 3 3" xfId="2571"/>
    <cellStyle name="60% - 强调文字颜色 6 2 3 2 4" xfId="1939"/>
    <cellStyle name="60% - 强调文字颜色 6 2 3 2 5" xfId="2004"/>
    <cellStyle name="60% - 强调文字颜色 6 2 3 3" xfId="1546"/>
    <cellStyle name="60% - 强调文字颜色 6 2 3 3 2" xfId="2871"/>
    <cellStyle name="60% - 强调文字颜色 6 2 3 3 3" xfId="2498"/>
    <cellStyle name="60% - 强调文字颜色 6 2 3 4" xfId="2444"/>
    <cellStyle name="60% - 强调文字颜色 6 2 3 5" xfId="3781"/>
    <cellStyle name="60% - 强调文字颜色 6 2 4" xfId="593"/>
    <cellStyle name="60% - 强调文字颜色 6 2 4 2" xfId="1550"/>
    <cellStyle name="60% - 强调文字颜色 6 2 4 2 2" xfId="2875"/>
    <cellStyle name="60% - 强调文字颜色 6 2 4 2 2 2" xfId="2278"/>
    <cellStyle name="60% - 强调文字颜色 6 2 4 2 3" xfId="3306"/>
    <cellStyle name="60% - 强调文字颜色 6 2 4 2 4" xfId="3410"/>
    <cellStyle name="60% - 强调文字颜色 6 2 4 3" xfId="1551"/>
    <cellStyle name="60% - 强调文字颜色 6 2 4 3 2" xfId="2876"/>
    <cellStyle name="60% - 强调文字颜色 6 2 4 3 2 2" xfId="2162"/>
    <cellStyle name="60% - 强调文字颜色 6 2 4 3 3" xfId="3362"/>
    <cellStyle name="60% - 强调文字颜色 6 2 4 4" xfId="1549"/>
    <cellStyle name="60% - 强调文字颜色 6 2 4 4 2" xfId="2874"/>
    <cellStyle name="60% - 强调文字颜色 6 2 4 4 3" xfId="2008"/>
    <cellStyle name="60% - 强调文字颜色 6 2 4 5" xfId="1839"/>
    <cellStyle name="60% - 强调文字颜色 6 2 5" xfId="684"/>
    <cellStyle name="60% - 强调文字颜色 6 2 5 2" xfId="1159"/>
    <cellStyle name="60% - 强调文字颜色 6 2 5 3" xfId="1993"/>
    <cellStyle name="60% - 强调文字颜色 6 2 6" xfId="350"/>
    <cellStyle name="60% - 强调文字颜色 6 2 6 2" xfId="2052"/>
    <cellStyle name="60% - 强调文字颜色 6 2 7" xfId="1540"/>
    <cellStyle name="60% - 强调文字颜色 6 2 7 2" xfId="2865"/>
    <cellStyle name="60% - 强调文字颜色 6 2 7 3" xfId="2269"/>
    <cellStyle name="60% - 强调文字颜色 6 2 8" xfId="2360"/>
    <cellStyle name="60% - 强调文字颜色 6 2 9" xfId="3779"/>
    <cellStyle name="Accent1" xfId="49"/>
    <cellStyle name="Accent1 2" xfId="135"/>
    <cellStyle name="Accent1 2 2" xfId="357"/>
    <cellStyle name="Accent1 2 2 2" xfId="939"/>
    <cellStyle name="Accent1 2 3" xfId="358"/>
    <cellStyle name="Accent1 2 3 2" xfId="940"/>
    <cellStyle name="Accent1 2 4" xfId="755"/>
    <cellStyle name="Accent1 2 4 2" xfId="1302"/>
    <cellStyle name="Accent1 2 5" xfId="938"/>
    <cellStyle name="Accent1 2 6" xfId="356"/>
    <cellStyle name="Accent1 3" xfId="359"/>
    <cellStyle name="Accent1 3 2" xfId="941"/>
    <cellStyle name="Accent1 4" xfId="594"/>
    <cellStyle name="Accent1 5" xfId="685"/>
    <cellStyle name="Accent1 5 2" xfId="1160"/>
    <cellStyle name="Accent1 6" xfId="355"/>
    <cellStyle name="Accent2" xfId="50"/>
    <cellStyle name="Accent2 2" xfId="136"/>
    <cellStyle name="Accent2 2 2" xfId="362"/>
    <cellStyle name="Accent2 2 2 2" xfId="943"/>
    <cellStyle name="Accent2 2 3" xfId="363"/>
    <cellStyle name="Accent2 2 3 2" xfId="944"/>
    <cellStyle name="Accent2 2 4" xfId="756"/>
    <cellStyle name="Accent2 2 4 2" xfId="1303"/>
    <cellStyle name="Accent2 2 5" xfId="942"/>
    <cellStyle name="Accent2 2 6" xfId="361"/>
    <cellStyle name="Accent2 3" xfId="364"/>
    <cellStyle name="Accent2 3 2" xfId="945"/>
    <cellStyle name="Accent2 4" xfId="595"/>
    <cellStyle name="Accent2 5" xfId="686"/>
    <cellStyle name="Accent2 5 2" xfId="1161"/>
    <cellStyle name="Accent2 6" xfId="360"/>
    <cellStyle name="Accent3" xfId="51"/>
    <cellStyle name="Accent3 2" xfId="137"/>
    <cellStyle name="Accent3 2 2" xfId="367"/>
    <cellStyle name="Accent3 2 2 2" xfId="947"/>
    <cellStyle name="Accent3 2 3" xfId="368"/>
    <cellStyle name="Accent3 2 3 2" xfId="948"/>
    <cellStyle name="Accent3 2 4" xfId="757"/>
    <cellStyle name="Accent3 2 4 2" xfId="1304"/>
    <cellStyle name="Accent3 2 5" xfId="946"/>
    <cellStyle name="Accent3 2 6" xfId="366"/>
    <cellStyle name="Accent3 3" xfId="369"/>
    <cellStyle name="Accent3 3 2" xfId="949"/>
    <cellStyle name="Accent3 4" xfId="596"/>
    <cellStyle name="Accent3 5" xfId="687"/>
    <cellStyle name="Accent3 5 2" xfId="1162"/>
    <cellStyle name="Accent3 6" xfId="365"/>
    <cellStyle name="Accent4" xfId="52"/>
    <cellStyle name="Accent4 2" xfId="138"/>
    <cellStyle name="Accent4 2 2" xfId="372"/>
    <cellStyle name="Accent4 2 2 2" xfId="951"/>
    <cellStyle name="Accent4 2 3" xfId="373"/>
    <cellStyle name="Accent4 2 3 2" xfId="952"/>
    <cellStyle name="Accent4 2 4" xfId="758"/>
    <cellStyle name="Accent4 2 4 2" xfId="1305"/>
    <cellStyle name="Accent4 2 5" xfId="950"/>
    <cellStyle name="Accent4 2 6" xfId="371"/>
    <cellStyle name="Accent4 3" xfId="374"/>
    <cellStyle name="Accent4 3 2" xfId="953"/>
    <cellStyle name="Accent4 4" xfId="597"/>
    <cellStyle name="Accent4 5" xfId="688"/>
    <cellStyle name="Accent4 5 2" xfId="1163"/>
    <cellStyle name="Accent4 6" xfId="370"/>
    <cellStyle name="Accent5" xfId="53"/>
    <cellStyle name="Accent5 2" xfId="139"/>
    <cellStyle name="Accent5 2 2" xfId="377"/>
    <cellStyle name="Accent5 2 2 2" xfId="955"/>
    <cellStyle name="Accent5 2 3" xfId="378"/>
    <cellStyle name="Accent5 2 3 2" xfId="956"/>
    <cellStyle name="Accent5 2 4" xfId="759"/>
    <cellStyle name="Accent5 2 4 2" xfId="1306"/>
    <cellStyle name="Accent5 2 5" xfId="954"/>
    <cellStyle name="Accent5 2 6" xfId="376"/>
    <cellStyle name="Accent5 3" xfId="379"/>
    <cellStyle name="Accent5 3 2" xfId="957"/>
    <cellStyle name="Accent5 4" xfId="598"/>
    <cellStyle name="Accent5 5" xfId="689"/>
    <cellStyle name="Accent5 5 2" xfId="1164"/>
    <cellStyle name="Accent5 6" xfId="375"/>
    <cellStyle name="Accent6" xfId="54"/>
    <cellStyle name="Accent6 2" xfId="140"/>
    <cellStyle name="Accent6 2 2" xfId="382"/>
    <cellStyle name="Accent6 2 2 2" xfId="959"/>
    <cellStyle name="Accent6 2 3" xfId="383"/>
    <cellStyle name="Accent6 2 3 2" xfId="960"/>
    <cellStyle name="Accent6 2 4" xfId="760"/>
    <cellStyle name="Accent6 2 4 2" xfId="1307"/>
    <cellStyle name="Accent6 2 5" xfId="958"/>
    <cellStyle name="Accent6 2 6" xfId="381"/>
    <cellStyle name="Accent6 3" xfId="384"/>
    <cellStyle name="Accent6 3 2" xfId="961"/>
    <cellStyle name="Accent6 4" xfId="599"/>
    <cellStyle name="Accent6 5" xfId="690"/>
    <cellStyle name="Accent6 5 2" xfId="1165"/>
    <cellStyle name="Accent6 6" xfId="380"/>
    <cellStyle name="Bad" xfId="55"/>
    <cellStyle name="Bad 2" xfId="141"/>
    <cellStyle name="Bad 2 2" xfId="387"/>
    <cellStyle name="Bad 2 2 2" xfId="963"/>
    <cellStyle name="Bad 2 3" xfId="388"/>
    <cellStyle name="Bad 2 3 2" xfId="964"/>
    <cellStyle name="Bad 2 4" xfId="761"/>
    <cellStyle name="Bad 2 4 2" xfId="1308"/>
    <cellStyle name="Bad 2 5" xfId="962"/>
    <cellStyle name="Bad 2 6" xfId="386"/>
    <cellStyle name="Bad 3" xfId="389"/>
    <cellStyle name="Bad 3 2" xfId="965"/>
    <cellStyle name="Bad 4" xfId="600"/>
    <cellStyle name="Bad 5" xfId="691"/>
    <cellStyle name="Bad 5 2" xfId="1166"/>
    <cellStyle name="Bad 6" xfId="385"/>
    <cellStyle name="Calculation" xfId="56"/>
    <cellStyle name="Calculation 2" xfId="142"/>
    <cellStyle name="Calculation 2 2" xfId="392"/>
    <cellStyle name="Calculation 2 2 2" xfId="967"/>
    <cellStyle name="Calculation 2 2 3" xfId="1168"/>
    <cellStyle name="Calculation 2 3" xfId="393"/>
    <cellStyle name="Calculation 2 3 2" xfId="968"/>
    <cellStyle name="Calculation 2 3 3" xfId="1169"/>
    <cellStyle name="Calculation 2 4" xfId="762"/>
    <cellStyle name="Calculation 2 4 2" xfId="1309"/>
    <cellStyle name="Calculation 2 5" xfId="966"/>
    <cellStyle name="Calculation 2 6" xfId="391"/>
    <cellStyle name="Calculation 3" xfId="394"/>
    <cellStyle name="Calculation 3 2" xfId="969"/>
    <cellStyle name="Calculation 3 3" xfId="1170"/>
    <cellStyle name="Calculation 4" xfId="601"/>
    <cellStyle name="Calculation 5" xfId="692"/>
    <cellStyle name="Calculation 5 2" xfId="1167"/>
    <cellStyle name="Calculation 6" xfId="390"/>
    <cellStyle name="Check Cell" xfId="57"/>
    <cellStyle name="Check Cell 2" xfId="143"/>
    <cellStyle name="Check Cell 2 2" xfId="397"/>
    <cellStyle name="Check Cell 2 2 2" xfId="971"/>
    <cellStyle name="Check Cell 2 3" xfId="398"/>
    <cellStyle name="Check Cell 2 3 2" xfId="972"/>
    <cellStyle name="Check Cell 2 4" xfId="763"/>
    <cellStyle name="Check Cell 2 4 2" xfId="1310"/>
    <cellStyle name="Check Cell 2 5" xfId="970"/>
    <cellStyle name="Check Cell 2 6" xfId="396"/>
    <cellStyle name="Check Cell 3" xfId="399"/>
    <cellStyle name="Check Cell 3 2" xfId="973"/>
    <cellStyle name="Check Cell 4" xfId="602"/>
    <cellStyle name="Check Cell 5" xfId="693"/>
    <cellStyle name="Check Cell 5 2" xfId="1171"/>
    <cellStyle name="Check Cell 6" xfId="395"/>
    <cellStyle name="Explanatory Text" xfId="59"/>
    <cellStyle name="Explanatory Text 2" xfId="145"/>
    <cellStyle name="Explanatory Text 2 2" xfId="400"/>
    <cellStyle name="Explanatory Text 2 2 2" xfId="974"/>
    <cellStyle name="Explanatory Text 2 3" xfId="401"/>
    <cellStyle name="Explanatory Text 2 3 2" xfId="975"/>
    <cellStyle name="Explanatory Text 2 4" xfId="765"/>
    <cellStyle name="Explanatory Text 2 5" xfId="1173"/>
    <cellStyle name="Explanatory Text 3" xfId="402"/>
    <cellStyle name="Explanatory Text 3 2" xfId="976"/>
    <cellStyle name="Explanatory Text 4" xfId="603"/>
    <cellStyle name="Explanatory Text 5" xfId="1172"/>
    <cellStyle name="Good" xfId="60"/>
    <cellStyle name="Good 2" xfId="146"/>
    <cellStyle name="Good 2 2" xfId="405"/>
    <cellStyle name="Good 2 2 2" xfId="978"/>
    <cellStyle name="Good 2 3" xfId="406"/>
    <cellStyle name="Good 2 3 2" xfId="979"/>
    <cellStyle name="Good 2 4" xfId="766"/>
    <cellStyle name="Good 2 4 2" xfId="1311"/>
    <cellStyle name="Good 2 5" xfId="977"/>
    <cellStyle name="Good 2 6" xfId="404"/>
    <cellStyle name="Good 3" xfId="407"/>
    <cellStyle name="Good 3 2" xfId="980"/>
    <cellStyle name="Good 4" xfId="604"/>
    <cellStyle name="Good 5" xfId="695"/>
    <cellStyle name="Good 5 2" xfId="1174"/>
    <cellStyle name="Good 6" xfId="403"/>
    <cellStyle name="Heading 1" xfId="61"/>
    <cellStyle name="Heading 1 2" xfId="147"/>
    <cellStyle name="Heading 1 2 2" xfId="408"/>
    <cellStyle name="Heading 1 2 2 2" xfId="981"/>
    <cellStyle name="Heading 1 2 3" xfId="409"/>
    <cellStyle name="Heading 1 2 3 2" xfId="982"/>
    <cellStyle name="Heading 1 2 4" xfId="767"/>
    <cellStyle name="Heading 1 2 5" xfId="1176"/>
    <cellStyle name="Heading 1 3" xfId="410"/>
    <cellStyle name="Heading 1 3 2" xfId="983"/>
    <cellStyle name="Heading 1 4" xfId="605"/>
    <cellStyle name="Heading 1 5" xfId="1175"/>
    <cellStyle name="Heading 2" xfId="16"/>
    <cellStyle name="Heading 2 2" xfId="102"/>
    <cellStyle name="Heading 2 2 2" xfId="411"/>
    <cellStyle name="Heading 2 2 2 2" xfId="984"/>
    <cellStyle name="Heading 2 2 3" xfId="412"/>
    <cellStyle name="Heading 2 2 3 2" xfId="985"/>
    <cellStyle name="Heading 2 2 4" xfId="722"/>
    <cellStyle name="Heading 2 2 5" xfId="1178"/>
    <cellStyle name="Heading 2 3" xfId="413"/>
    <cellStyle name="Heading 2 3 2" xfId="986"/>
    <cellStyle name="Heading 2 4" xfId="606"/>
    <cellStyle name="Heading 2 5" xfId="1177"/>
    <cellStyle name="Heading 3" xfId="7"/>
    <cellStyle name="Heading 3 2" xfId="93"/>
    <cellStyle name="Heading 3 2 2" xfId="414"/>
    <cellStyle name="Heading 3 2 2 2" xfId="987"/>
    <cellStyle name="Heading 3 2 3" xfId="415"/>
    <cellStyle name="Heading 3 2 3 2" xfId="988"/>
    <cellStyle name="Heading 3 2 4" xfId="713"/>
    <cellStyle name="Heading 3 2 5" xfId="1180"/>
    <cellStyle name="Heading 3 3" xfId="416"/>
    <cellStyle name="Heading 3 3 2" xfId="989"/>
    <cellStyle name="Heading 3 4" xfId="607"/>
    <cellStyle name="Heading 3 5" xfId="1179"/>
    <cellStyle name="Heading 4" xfId="41"/>
    <cellStyle name="Heading 4 2" xfId="127"/>
    <cellStyle name="Heading 4 2 2" xfId="417"/>
    <cellStyle name="Heading 4 2 2 2" xfId="990"/>
    <cellStyle name="Heading 4 2 3" xfId="418"/>
    <cellStyle name="Heading 4 2 3 2" xfId="991"/>
    <cellStyle name="Heading 4 2 4" xfId="747"/>
    <cellStyle name="Heading 4 2 5" xfId="1182"/>
    <cellStyle name="Heading 4 3" xfId="419"/>
    <cellStyle name="Heading 4 3 2" xfId="992"/>
    <cellStyle name="Heading 4 4" xfId="608"/>
    <cellStyle name="Heading 4 5" xfId="1181"/>
    <cellStyle name="Input" xfId="5"/>
    <cellStyle name="Input 2" xfId="91"/>
    <cellStyle name="Input 2 2" xfId="422"/>
    <cellStyle name="Input 2 2 2" xfId="994"/>
    <cellStyle name="Input 2 2 3" xfId="1184"/>
    <cellStyle name="Input 2 3" xfId="423"/>
    <cellStyle name="Input 2 3 2" xfId="995"/>
    <cellStyle name="Input 2 3 3" xfId="1185"/>
    <cellStyle name="Input 2 4" xfId="711"/>
    <cellStyle name="Input 2 4 2" xfId="1312"/>
    <cellStyle name="Input 2 5" xfId="993"/>
    <cellStyle name="Input 2 6" xfId="421"/>
    <cellStyle name="Input 3" xfId="424"/>
    <cellStyle name="Input 3 2" xfId="996"/>
    <cellStyle name="Input 3 3" xfId="1186"/>
    <cellStyle name="Input 4" xfId="609"/>
    <cellStyle name="Input 5" xfId="646"/>
    <cellStyle name="Input 5 2" xfId="1183"/>
    <cellStyle name="Input 6" xfId="420"/>
    <cellStyle name="Linked Cell" xfId="63"/>
    <cellStyle name="Linked Cell 2" xfId="149"/>
    <cellStyle name="Linked Cell 2 2" xfId="425"/>
    <cellStyle name="Linked Cell 2 2 2" xfId="997"/>
    <cellStyle name="Linked Cell 2 3" xfId="426"/>
    <cellStyle name="Linked Cell 2 3 2" xfId="998"/>
    <cellStyle name="Linked Cell 2 4" xfId="769"/>
    <cellStyle name="Linked Cell 2 5" xfId="1188"/>
    <cellStyle name="Linked Cell 3" xfId="427"/>
    <cellStyle name="Linked Cell 3 2" xfId="999"/>
    <cellStyle name="Linked Cell 4" xfId="610"/>
    <cellStyle name="Linked Cell 5" xfId="1187"/>
    <cellStyle name="Neutral" xfId="45"/>
    <cellStyle name="Neutral 2" xfId="131"/>
    <cellStyle name="Neutral 2 2" xfId="430"/>
    <cellStyle name="Neutral 2 2 2" xfId="1001"/>
    <cellStyle name="Neutral 2 3" xfId="431"/>
    <cellStyle name="Neutral 2 3 2" xfId="1002"/>
    <cellStyle name="Neutral 2 4" xfId="751"/>
    <cellStyle name="Neutral 2 4 2" xfId="1313"/>
    <cellStyle name="Neutral 2 5" xfId="1000"/>
    <cellStyle name="Neutral 2 6" xfId="429"/>
    <cellStyle name="Neutral 3" xfId="432"/>
    <cellStyle name="Neutral 3 2" xfId="1003"/>
    <cellStyle name="Neutral 4" xfId="611"/>
    <cellStyle name="Neutral 5" xfId="681"/>
    <cellStyle name="Neutral 5 2" xfId="1189"/>
    <cellStyle name="Neutral 6" xfId="428"/>
    <cellStyle name="Note" xfId="64"/>
    <cellStyle name="Note 2" xfId="150"/>
    <cellStyle name="Note 2 2" xfId="435"/>
    <cellStyle name="Note 2 2 2" xfId="1005"/>
    <cellStyle name="Note 2 2 3" xfId="1191"/>
    <cellStyle name="Note 2 3" xfId="436"/>
    <cellStyle name="Note 2 3 2" xfId="1006"/>
    <cellStyle name="Note 2 3 3" xfId="1192"/>
    <cellStyle name="Note 2 4" xfId="770"/>
    <cellStyle name="Note 2 4 2" xfId="1314"/>
    <cellStyle name="Note 2 5" xfId="1004"/>
    <cellStyle name="Note 2 6" xfId="434"/>
    <cellStyle name="Note 3" xfId="437"/>
    <cellStyle name="Note 3 2" xfId="1007"/>
    <cellStyle name="Note 3 3" xfId="1193"/>
    <cellStyle name="Note 4" xfId="612"/>
    <cellStyle name="Note 5" xfId="697"/>
    <cellStyle name="Note 5 2" xfId="1190"/>
    <cellStyle name="Note 6" xfId="433"/>
    <cellStyle name="Output" xfId="65"/>
    <cellStyle name="Output 2" xfId="151"/>
    <cellStyle name="Output 2 2" xfId="440"/>
    <cellStyle name="Output 2 2 2" xfId="1009"/>
    <cellStyle name="Output 2 2 3" xfId="1195"/>
    <cellStyle name="Output 2 3" xfId="441"/>
    <cellStyle name="Output 2 3 2" xfId="1010"/>
    <cellStyle name="Output 2 3 3" xfId="1196"/>
    <cellStyle name="Output 2 4" xfId="771"/>
    <cellStyle name="Output 2 4 2" xfId="1315"/>
    <cellStyle name="Output 2 5" xfId="1008"/>
    <cellStyle name="Output 2 6" xfId="439"/>
    <cellStyle name="Output 3" xfId="442"/>
    <cellStyle name="Output 3 2" xfId="1011"/>
    <cellStyle name="Output 3 3" xfId="1197"/>
    <cellStyle name="Output 4" xfId="613"/>
    <cellStyle name="Output 4 2" xfId="1262"/>
    <cellStyle name="Output 5" xfId="698"/>
    <cellStyle name="Output 5 2" xfId="1194"/>
    <cellStyle name="Output 6" xfId="438"/>
    <cellStyle name="Title" xfId="67"/>
    <cellStyle name="Title 2" xfId="153"/>
    <cellStyle name="Title 2 2" xfId="443"/>
    <cellStyle name="Title 2 2 2" xfId="1012"/>
    <cellStyle name="Title 2 3" xfId="444"/>
    <cellStyle name="Title 2 3 2" xfId="1013"/>
    <cellStyle name="Title 2 4" xfId="773"/>
    <cellStyle name="Title 2 5" xfId="1199"/>
    <cellStyle name="Title 3" xfId="445"/>
    <cellStyle name="Title 3 2" xfId="1014"/>
    <cellStyle name="Title 4" xfId="614"/>
    <cellStyle name="Title 5" xfId="1198"/>
    <cellStyle name="Total" xfId="68"/>
    <cellStyle name="Total 2" xfId="154"/>
    <cellStyle name="Total 2 2" xfId="446"/>
    <cellStyle name="Total 2 2 2" xfId="1015"/>
    <cellStyle name="Total 2 2 3" xfId="1202"/>
    <cellStyle name="Total 2 3" xfId="447"/>
    <cellStyle name="Total 2 3 2" xfId="1016"/>
    <cellStyle name="Total 2 3 3" xfId="1203"/>
    <cellStyle name="Total 2 4" xfId="774"/>
    <cellStyle name="Total 2 5" xfId="1201"/>
    <cellStyle name="Total 3" xfId="448"/>
    <cellStyle name="Total 3 2" xfId="1017"/>
    <cellStyle name="Total 3 3" xfId="1204"/>
    <cellStyle name="Total 4" xfId="615"/>
    <cellStyle name="Total 5" xfId="1200"/>
    <cellStyle name="Warning Text" xfId="69"/>
    <cellStyle name="Warning Text 2" xfId="155"/>
    <cellStyle name="Warning Text 2 2" xfId="449"/>
    <cellStyle name="Warning Text 2 2 2" xfId="1018"/>
    <cellStyle name="Warning Text 2 3" xfId="450"/>
    <cellStyle name="Warning Text 2 3 2" xfId="1019"/>
    <cellStyle name="Warning Text 2 4" xfId="775"/>
    <cellStyle name="Warning Text 2 5" xfId="1206"/>
    <cellStyle name="Warning Text 3" xfId="451"/>
    <cellStyle name="Warning Text 3 2" xfId="1020"/>
    <cellStyle name="Warning Text 4" xfId="616"/>
    <cellStyle name="Warning Text 5" xfId="1205"/>
    <cellStyle name="标题 1 2" xfId="70"/>
    <cellStyle name="标题 1 2 2" xfId="156"/>
    <cellStyle name="标题 1 2 2 2" xfId="452"/>
    <cellStyle name="标题 1 2 2 2 2" xfId="1021"/>
    <cellStyle name="标题 1 2 2 2 2 2" xfId="1555"/>
    <cellStyle name="标题 1 2 2 2 2 2 2" xfId="2880"/>
    <cellStyle name="标题 1 2 2 2 2 2 3" xfId="1864"/>
    <cellStyle name="标题 1 2 2 2 2 3" xfId="1938"/>
    <cellStyle name="标题 1 2 2 2 2 4" xfId="1886"/>
    <cellStyle name="标题 1 2 2 2 3" xfId="1556"/>
    <cellStyle name="标题 1 2 2 2 3 2" xfId="2881"/>
    <cellStyle name="标题 1 2 2 2 3 2 2" xfId="2375"/>
    <cellStyle name="标题 1 2 2 2 3 3" xfId="2486"/>
    <cellStyle name="标题 1 2 2 2 4" xfId="1554"/>
    <cellStyle name="标题 1 2 2 2 4 2" xfId="2879"/>
    <cellStyle name="标题 1 2 2 2 4 3" xfId="1982"/>
    <cellStyle name="标题 1 2 2 2 5" xfId="2081"/>
    <cellStyle name="标题 1 2 2 3" xfId="453"/>
    <cellStyle name="标题 1 2 2 3 2" xfId="1022"/>
    <cellStyle name="标题 1 2 2 3 2 2" xfId="2423"/>
    <cellStyle name="标题 1 2 2 3 3" xfId="1557"/>
    <cellStyle name="标题 1 2 2 3 3 2" xfId="2882"/>
    <cellStyle name="标题 1 2 2 3 3 3" xfId="2488"/>
    <cellStyle name="标题 1 2 2 3 4" xfId="2592"/>
    <cellStyle name="标题 1 2 2 4" xfId="776"/>
    <cellStyle name="标题 1 2 2 4 2" xfId="2170"/>
    <cellStyle name="标题 1 2 2 5" xfId="1208"/>
    <cellStyle name="标题 1 2 2 5 2" xfId="2465"/>
    <cellStyle name="标题 1 2 2 6" xfId="1553"/>
    <cellStyle name="标题 1 2 2 6 2" xfId="2878"/>
    <cellStyle name="标题 1 2 2 7" xfId="2096"/>
    <cellStyle name="标题 1 2 2 8" xfId="3783"/>
    <cellStyle name="标题 1 2 3" xfId="454"/>
    <cellStyle name="标题 1 2 3 2" xfId="1023"/>
    <cellStyle name="标题 1 2 3 2 2" xfId="1560"/>
    <cellStyle name="标题 1 2 3 2 2 2" xfId="2885"/>
    <cellStyle name="标题 1 2 3 2 2 2 2" xfId="3412"/>
    <cellStyle name="标题 1 2 3 2 2 3" xfId="2419"/>
    <cellStyle name="标题 1 2 3 2 2 4" xfId="1905"/>
    <cellStyle name="标题 1 2 3 2 3" xfId="1559"/>
    <cellStyle name="标题 1 2 3 2 3 2" xfId="2884"/>
    <cellStyle name="标题 1 2 3 2 3 3" xfId="2077"/>
    <cellStyle name="标题 1 2 3 2 4" xfId="2227"/>
    <cellStyle name="标题 1 2 3 2 5" xfId="2449"/>
    <cellStyle name="标题 1 2 3 3" xfId="1558"/>
    <cellStyle name="标题 1 2 3 3 2" xfId="2883"/>
    <cellStyle name="标题 1 2 3 3 3" xfId="3409"/>
    <cellStyle name="标题 1 2 3 4" xfId="3305"/>
    <cellStyle name="标题 1 2 3 5" xfId="3784"/>
    <cellStyle name="标题 1 2 4" xfId="617"/>
    <cellStyle name="标题 1 2 4 2" xfId="1562"/>
    <cellStyle name="标题 1 2 4 2 2" xfId="2887"/>
    <cellStyle name="标题 1 2 4 2 2 2" xfId="2627"/>
    <cellStyle name="标题 1 2 4 2 3" xfId="2430"/>
    <cellStyle name="标题 1 2 4 2 4" xfId="3441"/>
    <cellStyle name="标题 1 2 4 3" xfId="1563"/>
    <cellStyle name="标题 1 2 4 3 2" xfId="2888"/>
    <cellStyle name="标题 1 2 4 3 2 2" xfId="3235"/>
    <cellStyle name="标题 1 2 4 3 3" xfId="3304"/>
    <cellStyle name="标题 1 2 4 4" xfId="1561"/>
    <cellStyle name="标题 1 2 4 4 2" xfId="2886"/>
    <cellStyle name="标题 1 2 4 4 3" xfId="3285"/>
    <cellStyle name="标题 1 2 4 5" xfId="2297"/>
    <cellStyle name="标题 1 2 5" xfId="1207"/>
    <cellStyle name="标题 1 2 5 2" xfId="2403"/>
    <cellStyle name="标题 1 2 6" xfId="1552"/>
    <cellStyle name="标题 1 2 6 2" xfId="2877"/>
    <cellStyle name="标题 1 2 6 3" xfId="2382"/>
    <cellStyle name="标题 1 2 7" xfId="2525"/>
    <cellStyle name="标题 1 2 8" xfId="3353"/>
    <cellStyle name="标题 1 2 9" xfId="3782"/>
    <cellStyle name="标题 2 2" xfId="71"/>
    <cellStyle name="标题 2 2 2" xfId="157"/>
    <cellStyle name="标题 2 2 2 2" xfId="455"/>
    <cellStyle name="标题 2 2 2 2 2" xfId="1024"/>
    <cellStyle name="标题 2 2 2 2 2 2" xfId="1567"/>
    <cellStyle name="标题 2 2 2 2 2 2 2" xfId="2892"/>
    <cellStyle name="标题 2 2 2 2 2 2 3" xfId="3411"/>
    <cellStyle name="标题 2 2 2 2 2 3" xfId="1953"/>
    <cellStyle name="标题 2 2 2 2 2 4" xfId="2225"/>
    <cellStyle name="标题 2 2 2 2 3" xfId="1568"/>
    <cellStyle name="标题 2 2 2 2 3 2" xfId="2893"/>
    <cellStyle name="标题 2 2 2 2 3 2 2" xfId="2378"/>
    <cellStyle name="标题 2 2 2 2 3 3" xfId="1997"/>
    <cellStyle name="标题 2 2 2 2 4" xfId="1566"/>
    <cellStyle name="标题 2 2 2 2 4 2" xfId="2891"/>
    <cellStyle name="标题 2 2 2 2 4 3" xfId="3234"/>
    <cellStyle name="标题 2 2 2 2 5" xfId="2553"/>
    <cellStyle name="标题 2 2 2 3" xfId="456"/>
    <cellStyle name="标题 2 2 2 3 2" xfId="1025"/>
    <cellStyle name="标题 2 2 2 3 2 2" xfId="3236"/>
    <cellStyle name="标题 2 2 2 3 3" xfId="1569"/>
    <cellStyle name="标题 2 2 2 3 3 2" xfId="2894"/>
    <cellStyle name="标题 2 2 2 3 3 3" xfId="2174"/>
    <cellStyle name="标题 2 2 2 3 4" xfId="2342"/>
    <cellStyle name="标题 2 2 2 4" xfId="777"/>
    <cellStyle name="标题 2 2 2 4 2" xfId="2031"/>
    <cellStyle name="标题 2 2 2 5" xfId="1210"/>
    <cellStyle name="标题 2 2 2 5 2" xfId="2150"/>
    <cellStyle name="标题 2 2 2 6" xfId="1565"/>
    <cellStyle name="标题 2 2 2 6 2" xfId="2890"/>
    <cellStyle name="标题 2 2 2 7" xfId="3433"/>
    <cellStyle name="标题 2 2 2 8" xfId="3786"/>
    <cellStyle name="标题 2 2 3" xfId="457"/>
    <cellStyle name="标题 2 2 3 2" xfId="1026"/>
    <cellStyle name="标题 2 2 3 2 2" xfId="1572"/>
    <cellStyle name="标题 2 2 3 2 2 2" xfId="2897"/>
    <cellStyle name="标题 2 2 3 2 2 2 2" xfId="1862"/>
    <cellStyle name="标题 2 2 3 2 2 3" xfId="2228"/>
    <cellStyle name="标题 2 2 3 2 2 4" xfId="2053"/>
    <cellStyle name="标题 2 2 3 2 3" xfId="1571"/>
    <cellStyle name="标题 2 2 3 2 3 2" xfId="2896"/>
    <cellStyle name="标题 2 2 3 2 3 3" xfId="2601"/>
    <cellStyle name="标题 2 2 3 2 4" xfId="2472"/>
    <cellStyle name="标题 2 2 3 2 5" xfId="2428"/>
    <cellStyle name="标题 2 2 3 3" xfId="1570"/>
    <cellStyle name="标题 2 2 3 3 2" xfId="2895"/>
    <cellStyle name="标题 2 2 3 3 3" xfId="3238"/>
    <cellStyle name="标题 2 2 3 4" xfId="1869"/>
    <cellStyle name="标题 2 2 3 5" xfId="3787"/>
    <cellStyle name="标题 2 2 4" xfId="618"/>
    <cellStyle name="标题 2 2 4 2" xfId="1574"/>
    <cellStyle name="标题 2 2 4 2 2" xfId="2899"/>
    <cellStyle name="标题 2 2 4 2 2 2" xfId="3237"/>
    <cellStyle name="标题 2 2 4 2 3" xfId="2000"/>
    <cellStyle name="标题 2 2 4 2 4" xfId="2091"/>
    <cellStyle name="标题 2 2 4 3" xfId="1575"/>
    <cellStyle name="标题 2 2 4 3 2" xfId="2900"/>
    <cellStyle name="标题 2 2 4 3 2 2" xfId="3413"/>
    <cellStyle name="标题 2 2 4 3 3" xfId="3176"/>
    <cellStyle name="标题 2 2 4 4" xfId="1573"/>
    <cellStyle name="标题 2 2 4 4 2" xfId="2898"/>
    <cellStyle name="标题 2 2 4 4 3" xfId="1847"/>
    <cellStyle name="标题 2 2 4 5" xfId="2600"/>
    <cellStyle name="标题 2 2 5" xfId="1209"/>
    <cellStyle name="标题 2 2 5 2" xfId="2466"/>
    <cellStyle name="标题 2 2 6" xfId="1564"/>
    <cellStyle name="标题 2 2 6 2" xfId="2889"/>
    <cellStyle name="标题 2 2 6 3" xfId="1934"/>
    <cellStyle name="标题 2 2 7" xfId="2254"/>
    <cellStyle name="标题 2 2 8" xfId="2156"/>
    <cellStyle name="标题 2 2 9" xfId="3785"/>
    <cellStyle name="标题 3 2" xfId="72"/>
    <cellStyle name="标题 3 2 2" xfId="158"/>
    <cellStyle name="标题 3 2 2 2" xfId="458"/>
    <cellStyle name="标题 3 2 2 2 2" xfId="1027"/>
    <cellStyle name="标题 3 2 2 2 2 2" xfId="1579"/>
    <cellStyle name="标题 3 2 2 2 2 2 2" xfId="2904"/>
    <cellStyle name="标题 3 2 2 2 2 2 3" xfId="2555"/>
    <cellStyle name="标题 3 2 2 2 2 3" xfId="2063"/>
    <cellStyle name="标题 3 2 2 2 2 4" xfId="2125"/>
    <cellStyle name="标题 3 2 2 2 3" xfId="1580"/>
    <cellStyle name="标题 3 2 2 2 3 2" xfId="2905"/>
    <cellStyle name="标题 3 2 2 2 3 2 2" xfId="2324"/>
    <cellStyle name="标题 3 2 2 2 3 3" xfId="2410"/>
    <cellStyle name="标题 3 2 2 2 4" xfId="1578"/>
    <cellStyle name="标题 3 2 2 2 4 2" xfId="2903"/>
    <cellStyle name="标题 3 2 2 2 4 3" xfId="3240"/>
    <cellStyle name="标题 3 2 2 2 5" xfId="3308"/>
    <cellStyle name="标题 3 2 2 3" xfId="459"/>
    <cellStyle name="标题 3 2 2 3 2" xfId="1028"/>
    <cellStyle name="标题 3 2 2 3 2 2" xfId="3352"/>
    <cellStyle name="标题 3 2 2 3 3" xfId="1581"/>
    <cellStyle name="标题 3 2 2 3 3 2" xfId="2906"/>
    <cellStyle name="标题 3 2 2 3 3 3" xfId="3241"/>
    <cellStyle name="标题 3 2 2 3 4" xfId="2559"/>
    <cellStyle name="标题 3 2 2 4" xfId="778"/>
    <cellStyle name="标题 3 2 2 4 2" xfId="2028"/>
    <cellStyle name="标题 3 2 2 5" xfId="1212"/>
    <cellStyle name="标题 3 2 2 5 2" xfId="2586"/>
    <cellStyle name="标题 3 2 2 6" xfId="1577"/>
    <cellStyle name="标题 3 2 2 6 2" xfId="2902"/>
    <cellStyle name="标题 3 2 2 7" xfId="2041"/>
    <cellStyle name="标题 3 2 2 8" xfId="3789"/>
    <cellStyle name="标题 3 2 3" xfId="460"/>
    <cellStyle name="标题 3 2 3 2" xfId="1029"/>
    <cellStyle name="标题 3 2 3 2 2" xfId="1584"/>
    <cellStyle name="标题 3 2 3 2 2 2" xfId="2909"/>
    <cellStyle name="标题 3 2 3 2 2 2 2" xfId="2399"/>
    <cellStyle name="标题 3 2 3 2 2 3" xfId="2105"/>
    <cellStyle name="标题 3 2 3 2 2 4" xfId="2630"/>
    <cellStyle name="标题 3 2 3 2 3" xfId="1583"/>
    <cellStyle name="标题 3 2 3 2 3 2" xfId="2908"/>
    <cellStyle name="标题 3 2 3 2 3 3" xfId="2262"/>
    <cellStyle name="标题 3 2 3 2 4" xfId="3267"/>
    <cellStyle name="标题 3 2 3 2 5" xfId="2276"/>
    <cellStyle name="标题 3 2 3 3" xfId="1582"/>
    <cellStyle name="标题 3 2 3 3 2" xfId="2907"/>
    <cellStyle name="标题 3 2 3 3 3" xfId="2288"/>
    <cellStyle name="标题 3 2 3 4" xfId="2200"/>
    <cellStyle name="标题 3 2 3 5" xfId="3790"/>
    <cellStyle name="标题 3 2 4" xfId="619"/>
    <cellStyle name="标题 3 2 4 2" xfId="1586"/>
    <cellStyle name="标题 3 2 4 2 2" xfId="2911"/>
    <cellStyle name="标题 3 2 4 2 2 2" xfId="2448"/>
    <cellStyle name="标题 3 2 4 2 3" xfId="3309"/>
    <cellStyle name="标题 3 2 4 2 4" xfId="2491"/>
    <cellStyle name="标题 3 2 4 3" xfId="1587"/>
    <cellStyle name="标题 3 2 4 3 2" xfId="2912"/>
    <cellStyle name="标题 3 2 4 3 2 2" xfId="3239"/>
    <cellStyle name="标题 3 2 4 3 3" xfId="1838"/>
    <cellStyle name="标题 3 2 4 4" xfId="1585"/>
    <cellStyle name="标题 3 2 4 4 2" xfId="2910"/>
    <cellStyle name="标题 3 2 4 4 3" xfId="2251"/>
    <cellStyle name="标题 3 2 4 5" xfId="3174"/>
    <cellStyle name="标题 3 2 5" xfId="1211"/>
    <cellStyle name="标题 3 2 5 2" xfId="3242"/>
    <cellStyle name="标题 3 2 6" xfId="1576"/>
    <cellStyle name="标题 3 2 6 2" xfId="2901"/>
    <cellStyle name="标题 3 2 6 3" xfId="2536"/>
    <cellStyle name="标题 3 2 7" xfId="3175"/>
    <cellStyle name="标题 3 2 8" xfId="2334"/>
    <cellStyle name="标题 3 2 9" xfId="3788"/>
    <cellStyle name="标题 4 2" xfId="73"/>
    <cellStyle name="标题 4 2 2" xfId="159"/>
    <cellStyle name="标题 4 2 2 2" xfId="461"/>
    <cellStyle name="标题 4 2 2 2 2" xfId="1030"/>
    <cellStyle name="标题 4 2 2 2 2 2" xfId="1591"/>
    <cellStyle name="标题 4 2 2 2 2 2 2" xfId="2916"/>
    <cellStyle name="标题 4 2 2 2 2 2 3" xfId="2354"/>
    <cellStyle name="标题 4 2 2 2 2 3" xfId="3307"/>
    <cellStyle name="标题 4 2 2 2 2 4" xfId="2644"/>
    <cellStyle name="标题 4 2 2 2 3" xfId="1592"/>
    <cellStyle name="标题 4 2 2 2 3 2" xfId="2917"/>
    <cellStyle name="标题 4 2 2 2 3 2 2" xfId="2058"/>
    <cellStyle name="标题 4 2 2 2 3 3" xfId="3367"/>
    <cellStyle name="标题 4 2 2 2 4" xfId="1590"/>
    <cellStyle name="标题 4 2 2 2 4 2" xfId="2915"/>
    <cellStyle name="标题 4 2 2 2 4 3" xfId="3244"/>
    <cellStyle name="标题 4 2 2 2 5" xfId="2388"/>
    <cellStyle name="标题 4 2 2 3" xfId="462"/>
    <cellStyle name="标题 4 2 2 3 2" xfId="1031"/>
    <cellStyle name="标题 4 2 2 3 2 2" xfId="1849"/>
    <cellStyle name="标题 4 2 2 3 3" xfId="1593"/>
    <cellStyle name="标题 4 2 2 3 3 2" xfId="2918"/>
    <cellStyle name="标题 4 2 2 3 3 3" xfId="3243"/>
    <cellStyle name="标题 4 2 2 3 4" xfId="2089"/>
    <cellStyle name="标题 4 2 2 4" xfId="779"/>
    <cellStyle name="标题 4 2 2 4 2" xfId="2201"/>
    <cellStyle name="标题 4 2 2 5" xfId="1214"/>
    <cellStyle name="标题 4 2 2 5 2" xfId="1873"/>
    <cellStyle name="标题 4 2 2 6" xfId="1589"/>
    <cellStyle name="标题 4 2 2 6 2" xfId="2914"/>
    <cellStyle name="标题 4 2 2 7" xfId="2136"/>
    <cellStyle name="标题 4 2 2 8" xfId="3792"/>
    <cellStyle name="标题 4 2 3" xfId="463"/>
    <cellStyle name="标题 4 2 3 2" xfId="1032"/>
    <cellStyle name="标题 4 2 3 2 2" xfId="1596"/>
    <cellStyle name="标题 4 2 3 2 2 2" xfId="2921"/>
    <cellStyle name="标题 4 2 3 2 2 2 2" xfId="1899"/>
    <cellStyle name="标题 4 2 3 2 2 3" xfId="2163"/>
    <cellStyle name="标题 4 2 3 2 2 4" xfId="2577"/>
    <cellStyle name="标题 4 2 3 2 3" xfId="1595"/>
    <cellStyle name="标题 4 2 3 2 3 2" xfId="2920"/>
    <cellStyle name="标题 4 2 3 2 3 3" xfId="3329"/>
    <cellStyle name="标题 4 2 3 2 4" xfId="3181"/>
    <cellStyle name="标题 4 2 3 2 5" xfId="2500"/>
    <cellStyle name="标题 4 2 3 3" xfId="1594"/>
    <cellStyle name="标题 4 2 3 3 2" xfId="2919"/>
    <cellStyle name="标题 4 2 3 3 3" xfId="1917"/>
    <cellStyle name="标题 4 2 3 4" xfId="1989"/>
    <cellStyle name="标题 4 2 3 5" xfId="3793"/>
    <cellStyle name="标题 4 2 4" xfId="620"/>
    <cellStyle name="标题 4 2 4 2" xfId="1598"/>
    <cellStyle name="标题 4 2 4 2 2" xfId="2923"/>
    <cellStyle name="标题 4 2 4 2 2 2" xfId="2191"/>
    <cellStyle name="标题 4 2 4 2 3" xfId="2148"/>
    <cellStyle name="标题 4 2 4 2 4" xfId="3414"/>
    <cellStyle name="标题 4 2 4 3" xfId="1599"/>
    <cellStyle name="标题 4 2 4 3 2" xfId="2924"/>
    <cellStyle name="标题 4 2 4 3 2 2" xfId="2074"/>
    <cellStyle name="标题 4 2 4 3 3" xfId="3173"/>
    <cellStyle name="标题 4 2 4 4" xfId="1597"/>
    <cellStyle name="标题 4 2 4 4 2" xfId="2922"/>
    <cellStyle name="标题 4 2 4 4 3" xfId="2176"/>
    <cellStyle name="标题 4 2 4 5" xfId="2580"/>
    <cellStyle name="标题 4 2 5" xfId="1213"/>
    <cellStyle name="标题 4 2 5 2" xfId="3246"/>
    <cellStyle name="标题 4 2 6" xfId="1588"/>
    <cellStyle name="标题 4 2 6 2" xfId="2913"/>
    <cellStyle name="标题 4 2 6 3" xfId="2164"/>
    <cellStyle name="标题 4 2 7" xfId="3177"/>
    <cellStyle name="标题 4 2 8" xfId="3247"/>
    <cellStyle name="标题 4 2 9" xfId="3791"/>
    <cellStyle name="标题 5" xfId="74"/>
    <cellStyle name="标题 5 2" xfId="160"/>
    <cellStyle name="标题 5 2 2" xfId="464"/>
    <cellStyle name="标题 5 2 2 2" xfId="1033"/>
    <cellStyle name="标题 5 2 2 2 2" xfId="1603"/>
    <cellStyle name="标题 5 2 2 2 2 2" xfId="2928"/>
    <cellStyle name="标题 5 2 2 2 2 3" xfId="1988"/>
    <cellStyle name="标题 5 2 2 2 3" xfId="3180"/>
    <cellStyle name="标题 5 2 2 2 4" xfId="2438"/>
    <cellStyle name="标题 5 2 2 3" xfId="1604"/>
    <cellStyle name="标题 5 2 2 3 2" xfId="2929"/>
    <cellStyle name="标题 5 2 2 3 2 2" xfId="3328"/>
    <cellStyle name="标题 5 2 2 3 3" xfId="2040"/>
    <cellStyle name="标题 5 2 2 4" xfId="1602"/>
    <cellStyle name="标题 5 2 2 4 2" xfId="2927"/>
    <cellStyle name="标题 5 2 2 4 3" xfId="2009"/>
    <cellStyle name="标题 5 2 2 5" xfId="3340"/>
    <cellStyle name="标题 5 2 3" xfId="465"/>
    <cellStyle name="标题 5 2 3 2" xfId="1034"/>
    <cellStyle name="标题 5 2 3 2 2" xfId="2396"/>
    <cellStyle name="标题 5 2 3 3" xfId="1605"/>
    <cellStyle name="标题 5 2 3 3 2" xfId="2930"/>
    <cellStyle name="标题 5 2 3 3 3" xfId="2026"/>
    <cellStyle name="标题 5 2 3 4" xfId="2133"/>
    <cellStyle name="标题 5 2 4" xfId="780"/>
    <cellStyle name="标题 5 2 4 2" xfId="2497"/>
    <cellStyle name="标题 5 2 5" xfId="1216"/>
    <cellStyle name="标题 5 2 5 2" xfId="2212"/>
    <cellStyle name="标题 5 2 6" xfId="1601"/>
    <cellStyle name="标题 5 2 6 2" xfId="2926"/>
    <cellStyle name="标题 5 2 7" xfId="2219"/>
    <cellStyle name="标题 5 2 8" xfId="3795"/>
    <cellStyle name="标题 5 3" xfId="466"/>
    <cellStyle name="标题 5 3 2" xfId="1035"/>
    <cellStyle name="标题 5 3 2 2" xfId="1608"/>
    <cellStyle name="标题 5 3 2 2 2" xfId="2933"/>
    <cellStyle name="标题 5 3 2 2 2 2" xfId="3452"/>
    <cellStyle name="标题 5 3 2 2 3" xfId="3183"/>
    <cellStyle name="标题 5 3 2 2 4" xfId="2355"/>
    <cellStyle name="标题 5 3 2 3" xfId="1607"/>
    <cellStyle name="标题 5 3 2 3 2" xfId="2932"/>
    <cellStyle name="标题 5 3 2 3 3" xfId="2115"/>
    <cellStyle name="标题 5 3 2 4" xfId="2546"/>
    <cellStyle name="标题 5 3 2 5" xfId="2483"/>
    <cellStyle name="标题 5 3 3" xfId="1606"/>
    <cellStyle name="标题 5 3 3 2" xfId="2931"/>
    <cellStyle name="标题 5 3 3 3" xfId="1972"/>
    <cellStyle name="标题 5 3 4" xfId="1906"/>
    <cellStyle name="标题 5 3 5" xfId="3796"/>
    <cellStyle name="标题 5 4" xfId="621"/>
    <cellStyle name="标题 5 4 2" xfId="1610"/>
    <cellStyle name="标题 5 4 2 2" xfId="2935"/>
    <cellStyle name="标题 5 4 2 2 2" xfId="2120"/>
    <cellStyle name="标题 5 4 2 3" xfId="2499"/>
    <cellStyle name="标题 5 4 2 4" xfId="2569"/>
    <cellStyle name="标题 5 4 3" xfId="1611"/>
    <cellStyle name="标题 5 4 3 2" xfId="2936"/>
    <cellStyle name="标题 5 4 3 2 2" xfId="1842"/>
    <cellStyle name="标题 5 4 3 3" xfId="2506"/>
    <cellStyle name="标题 5 4 4" xfId="1609"/>
    <cellStyle name="标题 5 4 4 2" xfId="2934"/>
    <cellStyle name="标题 5 4 4 3" xfId="3453"/>
    <cellStyle name="标题 5 4 5" xfId="3366"/>
    <cellStyle name="标题 5 5" xfId="1215"/>
    <cellStyle name="标题 5 5 2" xfId="1994"/>
    <cellStyle name="标题 5 6" xfId="1600"/>
    <cellStyle name="标题 5 6 2" xfId="2925"/>
    <cellStyle name="标题 5 6 3" xfId="2021"/>
    <cellStyle name="标题 5 7" xfId="2389"/>
    <cellStyle name="标题 5 8" xfId="2560"/>
    <cellStyle name="标题 5 9" xfId="3794"/>
    <cellStyle name="差 2" xfId="75"/>
    <cellStyle name="差 2 2" xfId="161"/>
    <cellStyle name="差 2 2 2" xfId="469"/>
    <cellStyle name="差 2 2 2 2" xfId="1037"/>
    <cellStyle name="差 2 2 2 2 2" xfId="1615"/>
    <cellStyle name="差 2 2 2 2 2 2" xfId="2940"/>
    <cellStyle name="差 2 2 2 2 2 3" xfId="2579"/>
    <cellStyle name="差 2 2 2 2 3" xfId="1851"/>
    <cellStyle name="差 2 2 2 2 4" xfId="2168"/>
    <cellStyle name="差 2 2 2 3" xfId="1616"/>
    <cellStyle name="差 2 2 2 3 2" xfId="2941"/>
    <cellStyle name="差 2 2 2 3 2 2" xfId="1891"/>
    <cellStyle name="差 2 2 2 3 3" xfId="3182"/>
    <cellStyle name="差 2 2 2 4" xfId="1614"/>
    <cellStyle name="差 2 2 2 4 2" xfId="2939"/>
    <cellStyle name="差 2 2 2 4 3" xfId="2087"/>
    <cellStyle name="差 2 2 2 5" xfId="2113"/>
    <cellStyle name="差 2 2 3" xfId="470"/>
    <cellStyle name="差 2 2 3 2" xfId="1038"/>
    <cellStyle name="差 2 2 3 2 2" xfId="3287"/>
    <cellStyle name="差 2 2 3 3" xfId="1617"/>
    <cellStyle name="差 2 2 3 3 2" xfId="2942"/>
    <cellStyle name="差 2 2 3 3 3" xfId="2363"/>
    <cellStyle name="差 2 2 3 4" xfId="3178"/>
    <cellStyle name="差 2 2 4" xfId="781"/>
    <cellStyle name="差 2 2 4 2" xfId="1316"/>
    <cellStyle name="差 2 2 4 3" xfId="1998"/>
    <cellStyle name="差 2 2 5" xfId="1036"/>
    <cellStyle name="差 2 2 5 2" xfId="2005"/>
    <cellStyle name="差 2 2 6" xfId="468"/>
    <cellStyle name="差 2 2 7" xfId="1613"/>
    <cellStyle name="差 2 2 7 2" xfId="2938"/>
    <cellStyle name="差 2 2 8" xfId="3179"/>
    <cellStyle name="差 2 2 9" xfId="3798"/>
    <cellStyle name="差 2 3" xfId="471"/>
    <cellStyle name="差 2 3 2" xfId="1039"/>
    <cellStyle name="差 2 3 2 2" xfId="1620"/>
    <cellStyle name="差 2 3 2 2 2" xfId="2945"/>
    <cellStyle name="差 2 3 2 2 2 2" xfId="2292"/>
    <cellStyle name="差 2 3 2 2 3" xfId="1894"/>
    <cellStyle name="差 2 3 2 2 4" xfId="2107"/>
    <cellStyle name="差 2 3 2 3" xfId="1619"/>
    <cellStyle name="差 2 3 2 3 2" xfId="2944"/>
    <cellStyle name="差 2 3 2 3 3" xfId="2050"/>
    <cellStyle name="差 2 3 2 4" xfId="3298"/>
    <cellStyle name="差 2 3 2 5" xfId="3161"/>
    <cellStyle name="差 2 3 3" xfId="1618"/>
    <cellStyle name="差 2 3 3 2" xfId="2943"/>
    <cellStyle name="差 2 3 3 3" xfId="3450"/>
    <cellStyle name="差 2 3 4" xfId="2085"/>
    <cellStyle name="差 2 3 5" xfId="3799"/>
    <cellStyle name="差 2 4" xfId="622"/>
    <cellStyle name="差 2 4 2" xfId="1622"/>
    <cellStyle name="差 2 4 2 2" xfId="2947"/>
    <cellStyle name="差 2 4 2 2 2" xfId="3330"/>
    <cellStyle name="差 2 4 2 3" xfId="1944"/>
    <cellStyle name="差 2 4 2 4" xfId="2239"/>
    <cellStyle name="差 2 4 3" xfId="1623"/>
    <cellStyle name="差 2 4 3 2" xfId="2948"/>
    <cellStyle name="差 2 4 3 2 2" xfId="3415"/>
    <cellStyle name="差 2 4 3 3" xfId="2471"/>
    <cellStyle name="差 2 4 4" xfId="1621"/>
    <cellStyle name="差 2 4 4 2" xfId="2946"/>
    <cellStyle name="差 2 4 4 3" xfId="1927"/>
    <cellStyle name="差 2 4 5" xfId="2207"/>
    <cellStyle name="差 2 5" xfId="699"/>
    <cellStyle name="差 2 5 2" xfId="1217"/>
    <cellStyle name="差 2 5 3" xfId="2568"/>
    <cellStyle name="差 2 6" xfId="467"/>
    <cellStyle name="差 2 6 2" xfId="2557"/>
    <cellStyle name="差 2 7" xfId="1612"/>
    <cellStyle name="差 2 7 2" xfId="2937"/>
    <cellStyle name="差 2 7 3" xfId="2249"/>
    <cellStyle name="差 2 8" xfId="2321"/>
    <cellStyle name="差 2 9" xfId="3797"/>
    <cellStyle name="常规" xfId="0" builtinId="0"/>
    <cellStyle name="常规 10" xfId="1110"/>
    <cellStyle name="常规 11" xfId="1114"/>
    <cellStyle name="常规 12" xfId="1113"/>
    <cellStyle name="常规 13" xfId="1335"/>
    <cellStyle name="常规 13 2" xfId="2660"/>
    <cellStyle name="常规 14" xfId="1837"/>
    <cellStyle name="常规 15" xfId="1836"/>
    <cellStyle name="常规 15 2" xfId="3713"/>
    <cellStyle name="常规 16" xfId="2046"/>
    <cellStyle name="常规 17" xfId="3727"/>
    <cellStyle name="常规 2" xfId="66"/>
    <cellStyle name="常规 2 2" xfId="152"/>
    <cellStyle name="常规 2 2 2" xfId="472"/>
    <cellStyle name="常规 2 2 2 2" xfId="1040"/>
    <cellStyle name="常规 2 2 2 2 2" xfId="1334"/>
    <cellStyle name="常规 2 2 2 2 2 2" xfId="2659"/>
    <cellStyle name="常规 2 2 2 2 2 2 2" xfId="3726"/>
    <cellStyle name="常规 2 2 2 2 2 3" xfId="3712"/>
    <cellStyle name="常规 2 2 2 2 3" xfId="3286"/>
    <cellStyle name="常规 2 2 2 3" xfId="1220"/>
    <cellStyle name="常规 2 2 2 3 2" xfId="2541"/>
    <cellStyle name="常规 2 2 2 4" xfId="1122"/>
    <cellStyle name="常规 2 2 2 4 2" xfId="2516"/>
    <cellStyle name="常规 2 2 2 4 2 2" xfId="3720"/>
    <cellStyle name="常规 2 2 2 4 3" xfId="3706"/>
    <cellStyle name="常规 2 2 2 5" xfId="1626"/>
    <cellStyle name="常规 2 2 2 5 2" xfId="2951"/>
    <cellStyle name="常规 2 2 2 6" xfId="2075"/>
    <cellStyle name="常规 2 2 3" xfId="772"/>
    <cellStyle name="常规 2 2 3 2" xfId="3357"/>
    <cellStyle name="常规 2 2 4" xfId="1219"/>
    <cellStyle name="常规 2 2 4 2" xfId="2522"/>
    <cellStyle name="常规 2 2 5" xfId="1625"/>
    <cellStyle name="常规 2 2 5 2" xfId="2950"/>
    <cellStyle name="常规 2 2 6" xfId="2266"/>
    <cellStyle name="常规 2 3" xfId="473"/>
    <cellStyle name="常规 2 3 2" xfId="1041"/>
    <cellStyle name="常规 2 3 2 2" xfId="1333"/>
    <cellStyle name="常规 2 3 2 2 2" xfId="2658"/>
    <cellStyle name="常规 2 3 2 2 2 2" xfId="3725"/>
    <cellStyle name="常规 2 3 2 2 3" xfId="3711"/>
    <cellStyle name="常规 2 3 2 3" xfId="3417"/>
    <cellStyle name="常规 2 3 3" xfId="1221"/>
    <cellStyle name="常规 2 3 3 2" xfId="2310"/>
    <cellStyle name="常规 2 3 4" xfId="1121"/>
    <cellStyle name="常规 2 3 4 2" xfId="2515"/>
    <cellStyle name="常规 2 3 4 2 2" xfId="3719"/>
    <cellStyle name="常规 2 3 4 3" xfId="3705"/>
    <cellStyle name="常规 2 3 5" xfId="1627"/>
    <cellStyle name="常规 2 3 5 2" xfId="2952"/>
    <cellStyle name="常规 2 3 6" xfId="2241"/>
    <cellStyle name="常规 2 4" xfId="623"/>
    <cellStyle name="常规 2 4 2" xfId="2641"/>
    <cellStyle name="常规 2 5" xfId="1112"/>
    <cellStyle name="常规 2 5 2" xfId="1218"/>
    <cellStyle name="常规 2 5 3" xfId="2003"/>
    <cellStyle name="常规 2 6" xfId="1624"/>
    <cellStyle name="常规 2 6 2" xfId="2949"/>
    <cellStyle name="常规 2 6 3" xfId="2502"/>
    <cellStyle name="常规 2 7" xfId="2152"/>
    <cellStyle name="常规 3" xfId="19"/>
    <cellStyle name="常规 3 2" xfId="105"/>
    <cellStyle name="常规 3 2 2" xfId="474"/>
    <cellStyle name="常规 3 2 2 2" xfId="1042"/>
    <cellStyle name="常规 3 2 2 3" xfId="3416"/>
    <cellStyle name="常规 3 2 3" xfId="725"/>
    <cellStyle name="常规 3 2 3 2" xfId="3454"/>
    <cellStyle name="常规 3 2 4" xfId="1223"/>
    <cellStyle name="常规 3 2 5" xfId="1629"/>
    <cellStyle name="常规 3 2 5 2" xfId="2954"/>
    <cellStyle name="常规 3 2 6" xfId="1943"/>
    <cellStyle name="常规 3 3" xfId="475"/>
    <cellStyle name="常规 3 3 2" xfId="1043"/>
    <cellStyle name="常规 3 3 3" xfId="3471"/>
    <cellStyle name="常规 3 4" xfId="624"/>
    <cellStyle name="常规 3 4 2" xfId="3251"/>
    <cellStyle name="常规 3 5" xfId="1111"/>
    <cellStyle name="常规 3 5 2" xfId="1222"/>
    <cellStyle name="常规 3 6" xfId="1628"/>
    <cellStyle name="常规 3 6 2" xfId="2953"/>
    <cellStyle name="常规 3 7" xfId="3339"/>
    <cellStyle name="常规 4" xfId="76"/>
    <cellStyle name="常规 4 2" xfId="162"/>
    <cellStyle name="常规 4 2 2" xfId="782"/>
    <cellStyle name="常规 4 2 3" xfId="1225"/>
    <cellStyle name="常规 4 2 4" xfId="2306"/>
    <cellStyle name="常规 4 3" xfId="476"/>
    <cellStyle name="常规 4 3 2" xfId="1044"/>
    <cellStyle name="常规 4 3 3" xfId="2230"/>
    <cellStyle name="常规 4 4" xfId="557"/>
    <cellStyle name="常规 4 5" xfId="1224"/>
    <cellStyle name="常规 4 6" xfId="1630"/>
    <cellStyle name="常规 4 6 2" xfId="2955"/>
    <cellStyle name="常规 4 7" xfId="1893"/>
    <cellStyle name="常规 5" xfId="1"/>
    <cellStyle name="常规 5 2" xfId="478"/>
    <cellStyle name="常规 5 2 2" xfId="1045"/>
    <cellStyle name="常规 5 2 3" xfId="2253"/>
    <cellStyle name="常规 5 3" xfId="642"/>
    <cellStyle name="常规 5 3 2" xfId="1329"/>
    <cellStyle name="常规 5 3 3" xfId="2272"/>
    <cellStyle name="常规 5 4" xfId="477"/>
    <cellStyle name="常规 5 5" xfId="1117"/>
    <cellStyle name="常规 5 6" xfId="1631"/>
    <cellStyle name="常规 5 6 2" xfId="2956"/>
    <cellStyle name="常规 5 7" xfId="3172"/>
    <cellStyle name="常规 6" xfId="87"/>
    <cellStyle name="常规 6 2" xfId="707"/>
    <cellStyle name="常规 6 2 2" xfId="1332"/>
    <cellStyle name="常规 6 2 2 2" xfId="2657"/>
    <cellStyle name="常规 6 2 2 2 2" xfId="3724"/>
    <cellStyle name="常规 6 2 2 3" xfId="3710"/>
    <cellStyle name="常规 6 2 3" xfId="1120"/>
    <cellStyle name="常规 6 2 3 2" xfId="2514"/>
    <cellStyle name="常规 6 2 3 2 2" xfId="3718"/>
    <cellStyle name="常规 6 2 3 3" xfId="3704"/>
    <cellStyle name="常规 6 3" xfId="1046"/>
    <cellStyle name="常规 6 3 2" xfId="1330"/>
    <cellStyle name="常规 6 3 2 2" xfId="2655"/>
    <cellStyle name="常规 6 3 2 2 2" xfId="3723"/>
    <cellStyle name="常规 6 3 2 3" xfId="3709"/>
    <cellStyle name="常规 6 3 3" xfId="1118"/>
    <cellStyle name="常规 6 3 3 2" xfId="2512"/>
    <cellStyle name="常规 6 3 3 2 2" xfId="3717"/>
    <cellStyle name="常规 6 3 3 3" xfId="3703"/>
    <cellStyle name="常规 6 4" xfId="479"/>
    <cellStyle name="常规 6 4 2" xfId="1265"/>
    <cellStyle name="常规 6 4 2 2" xfId="2611"/>
    <cellStyle name="常规 6 4 2 2 2" xfId="3722"/>
    <cellStyle name="常规 6 4 2 3" xfId="3708"/>
    <cellStyle name="常规 6 5" xfId="1226"/>
    <cellStyle name="常规 6 6" xfId="1116"/>
    <cellStyle name="常规 6 6 2" xfId="2511"/>
    <cellStyle name="常规 6 6 2 2" xfId="3716"/>
    <cellStyle name="常规 6 6 3" xfId="3702"/>
    <cellStyle name="常规 6 7" xfId="3356"/>
    <cellStyle name="常规 7" xfId="174"/>
    <cellStyle name="常规 7 2" xfId="793"/>
    <cellStyle name="常规 7 2 2" xfId="1264"/>
    <cellStyle name="常规 7 3" xfId="3250"/>
    <cellStyle name="常规 8" xfId="556"/>
    <cellStyle name="常规 8 2" xfId="2030"/>
    <cellStyle name="常规 9" xfId="173"/>
    <cellStyle name="常规 9 2" xfId="1123"/>
    <cellStyle name="常规 9 2 2" xfId="2517"/>
    <cellStyle name="常规 9 2 2 2" xfId="3721"/>
    <cellStyle name="常规 9 2 3" xfId="3707"/>
    <cellStyle name="常规 9 3" xfId="1115"/>
    <cellStyle name="常规 9 3 2" xfId="2510"/>
    <cellStyle name="常规 9 3 2 2" xfId="3715"/>
    <cellStyle name="常规 9 3 3" xfId="3701"/>
    <cellStyle name="常规 9 4" xfId="1946"/>
    <cellStyle name="常规 9 4 2" xfId="3714"/>
    <cellStyle name="常规 9 5" xfId="2123"/>
    <cellStyle name="常规 9 6" xfId="3700"/>
    <cellStyle name="超链接 2" xfId="2187"/>
    <cellStyle name="好 2" xfId="77"/>
    <cellStyle name="好 2 2" xfId="163"/>
    <cellStyle name="好 2 2 2" xfId="482"/>
    <cellStyle name="好 2 2 2 2" xfId="1048"/>
    <cellStyle name="好 2 2 2 2 2" xfId="1635"/>
    <cellStyle name="好 2 2 2 2 2 2" xfId="2960"/>
    <cellStyle name="好 2 2 2 2 2 3" xfId="1980"/>
    <cellStyle name="好 2 2 2 2 3" xfId="2226"/>
    <cellStyle name="好 2 2 2 2 4" xfId="3249"/>
    <cellStyle name="好 2 2 2 3" xfId="1636"/>
    <cellStyle name="好 2 2 2 3 2" xfId="2961"/>
    <cellStyle name="好 2 2 2 3 2 2" xfId="1961"/>
    <cellStyle name="好 2 2 2 3 3" xfId="2530"/>
    <cellStyle name="好 2 2 2 4" xfId="1634"/>
    <cellStyle name="好 2 2 2 4 2" xfId="2959"/>
    <cellStyle name="好 2 2 2 4 3" xfId="3248"/>
    <cellStyle name="好 2 2 2 5" xfId="3186"/>
    <cellStyle name="好 2 2 3" xfId="483"/>
    <cellStyle name="好 2 2 3 2" xfId="1049"/>
    <cellStyle name="好 2 2 3 2 2" xfId="2275"/>
    <cellStyle name="好 2 2 3 3" xfId="1637"/>
    <cellStyle name="好 2 2 3 3 2" xfId="2962"/>
    <cellStyle name="好 2 2 3 3 3" xfId="2406"/>
    <cellStyle name="好 2 2 3 4" xfId="2308"/>
    <cellStyle name="好 2 2 4" xfId="783"/>
    <cellStyle name="好 2 2 4 2" xfId="1317"/>
    <cellStyle name="好 2 2 4 3" xfId="2329"/>
    <cellStyle name="好 2 2 5" xfId="1047"/>
    <cellStyle name="好 2 2 5 2" xfId="2124"/>
    <cellStyle name="好 2 2 6" xfId="481"/>
    <cellStyle name="好 2 2 7" xfId="1633"/>
    <cellStyle name="好 2 2 7 2" xfId="2958"/>
    <cellStyle name="好 2 2 8" xfId="2147"/>
    <cellStyle name="好 2 2 9" xfId="3801"/>
    <cellStyle name="好 2 3" xfId="484"/>
    <cellStyle name="好 2 3 2" xfId="1050"/>
    <cellStyle name="好 2 3 2 2" xfId="1640"/>
    <cellStyle name="好 2 3 2 2 2" xfId="2965"/>
    <cellStyle name="好 2 3 2 2 2 2" xfId="2464"/>
    <cellStyle name="好 2 3 2 2 3" xfId="3188"/>
    <cellStyle name="好 2 3 2 2 4" xfId="1977"/>
    <cellStyle name="好 2 3 2 3" xfId="1639"/>
    <cellStyle name="好 2 3 2 3 2" xfId="2964"/>
    <cellStyle name="好 2 3 2 3 3" xfId="2442"/>
    <cellStyle name="好 2 3 2 4" xfId="2048"/>
    <cellStyle name="好 2 3 2 5" xfId="2173"/>
    <cellStyle name="好 2 3 3" xfId="1638"/>
    <cellStyle name="好 2 3 3 2" xfId="2963"/>
    <cellStyle name="好 2 3 3 3" xfId="3245"/>
    <cellStyle name="好 2 3 4" xfId="2576"/>
    <cellStyle name="好 2 3 5" xfId="3802"/>
    <cellStyle name="好 2 4" xfId="625"/>
    <cellStyle name="好 2 4 2" xfId="1642"/>
    <cellStyle name="好 2 4 2 2" xfId="2967"/>
    <cellStyle name="好 2 4 2 2 2" xfId="3419"/>
    <cellStyle name="好 2 4 2 3" xfId="3187"/>
    <cellStyle name="好 2 4 2 4" xfId="2461"/>
    <cellStyle name="好 2 4 3" xfId="1643"/>
    <cellStyle name="好 2 4 3 2" xfId="2968"/>
    <cellStyle name="好 2 4 3 2 2" xfId="2463"/>
    <cellStyle name="好 2 4 3 3" xfId="1858"/>
    <cellStyle name="好 2 4 4" xfId="1641"/>
    <cellStyle name="好 2 4 4 2" xfId="2966"/>
    <cellStyle name="好 2 4 4 3" xfId="1897"/>
    <cellStyle name="好 2 4 5" xfId="1866"/>
    <cellStyle name="好 2 5" xfId="700"/>
    <cellStyle name="好 2 5 2" xfId="1227"/>
    <cellStyle name="好 2 5 3" xfId="2379"/>
    <cellStyle name="好 2 6" xfId="480"/>
    <cellStyle name="好 2 6 2" xfId="3254"/>
    <cellStyle name="好 2 7" xfId="1632"/>
    <cellStyle name="好 2 7 2" xfId="2957"/>
    <cellStyle name="好 2 7 3" xfId="2007"/>
    <cellStyle name="好 2 8" xfId="1890"/>
    <cellStyle name="好 2 9" xfId="3800"/>
    <cellStyle name="汇总 2" xfId="78"/>
    <cellStyle name="汇总 2 2" xfId="164"/>
    <cellStyle name="汇总 2 2 2" xfId="485"/>
    <cellStyle name="汇总 2 2 2 2" xfId="1051"/>
    <cellStyle name="汇总 2 2 2 2 2" xfId="1647"/>
    <cellStyle name="汇总 2 2 2 2 2 2" xfId="2972"/>
    <cellStyle name="汇总 2 2 2 2 2 3" xfId="3289"/>
    <cellStyle name="汇总 2 2 2 2 3" xfId="3190"/>
    <cellStyle name="汇总 2 2 2 2 4" xfId="2061"/>
    <cellStyle name="汇总 2 2 2 3" xfId="1230"/>
    <cellStyle name="汇总 2 2 2 3 2" xfId="1648"/>
    <cellStyle name="汇总 2 2 2 3 2 2" xfId="2973"/>
    <cellStyle name="汇总 2 2 2 3 2 3" xfId="3255"/>
    <cellStyle name="汇总 2 2 2 3 3" xfId="2189"/>
    <cellStyle name="汇总 2 2 2 4" xfId="1646"/>
    <cellStyle name="汇总 2 2 2 4 2" xfId="2971"/>
    <cellStyle name="汇总 2 2 2 4 3" xfId="2229"/>
    <cellStyle name="汇总 2 2 2 5" xfId="1960"/>
    <cellStyle name="汇总 2 2 3" xfId="486"/>
    <cellStyle name="汇总 2 2 3 2" xfId="1052"/>
    <cellStyle name="汇总 2 2 3 2 2" xfId="2180"/>
    <cellStyle name="汇总 2 2 3 3" xfId="1231"/>
    <cellStyle name="汇总 2 2 3 3 2" xfId="3418"/>
    <cellStyle name="汇总 2 2 3 4" xfId="1649"/>
    <cellStyle name="汇总 2 2 3 4 2" xfId="2974"/>
    <cellStyle name="汇总 2 2 3 5" xfId="2302"/>
    <cellStyle name="汇总 2 2 4" xfId="784"/>
    <cellStyle name="汇总 2 2 4 2" xfId="3256"/>
    <cellStyle name="汇总 2 2 5" xfId="1229"/>
    <cellStyle name="汇总 2 2 5 2" xfId="3420"/>
    <cellStyle name="汇总 2 2 6" xfId="1645"/>
    <cellStyle name="汇总 2 2 6 2" xfId="2970"/>
    <cellStyle name="汇总 2 2 7" xfId="2283"/>
    <cellStyle name="汇总 2 2 8" xfId="3804"/>
    <cellStyle name="汇总 2 3" xfId="487"/>
    <cellStyle name="汇总 2 3 2" xfId="1053"/>
    <cellStyle name="汇总 2 3 2 2" xfId="1652"/>
    <cellStyle name="汇总 2 3 2 2 2" xfId="2977"/>
    <cellStyle name="汇总 2 3 2 2 2 2" xfId="3253"/>
    <cellStyle name="汇总 2 3 2 2 3" xfId="3338"/>
    <cellStyle name="汇总 2 3 2 2 4" xfId="1841"/>
    <cellStyle name="汇总 2 3 2 3" xfId="1651"/>
    <cellStyle name="汇总 2 3 2 3 2" xfId="2976"/>
    <cellStyle name="汇总 2 3 2 3 3" xfId="3257"/>
    <cellStyle name="汇总 2 3 2 4" xfId="3189"/>
    <cellStyle name="汇总 2 3 2 5" xfId="2293"/>
    <cellStyle name="汇总 2 3 3" xfId="1232"/>
    <cellStyle name="汇总 2 3 3 2" xfId="2649"/>
    <cellStyle name="汇总 2 3 4" xfId="1650"/>
    <cellStyle name="汇总 2 3 4 2" xfId="2975"/>
    <cellStyle name="汇总 2 3 4 3" xfId="2527"/>
    <cellStyle name="汇总 2 3 5" xfId="2035"/>
    <cellStyle name="汇总 2 3 6" xfId="3805"/>
    <cellStyle name="汇总 2 4" xfId="626"/>
    <cellStyle name="汇总 2 4 2" xfId="1654"/>
    <cellStyle name="汇总 2 4 2 2" xfId="2979"/>
    <cellStyle name="汇总 2 4 2 2 2" xfId="2029"/>
    <cellStyle name="汇总 2 4 2 3" xfId="1920"/>
    <cellStyle name="汇总 2 4 2 4" xfId="3288"/>
    <cellStyle name="汇总 2 4 3" xfId="1655"/>
    <cellStyle name="汇总 2 4 3 2" xfId="2980"/>
    <cellStyle name="汇总 2 4 3 2 2" xfId="3259"/>
    <cellStyle name="汇总 2 4 3 3" xfId="2519"/>
    <cellStyle name="汇总 2 4 4" xfId="1653"/>
    <cellStyle name="汇总 2 4 4 2" xfId="2978"/>
    <cellStyle name="汇总 2 4 4 3" xfId="3258"/>
    <cellStyle name="汇总 2 4 5" xfId="2647"/>
    <cellStyle name="汇总 2 5" xfId="1228"/>
    <cellStyle name="汇总 2 5 2" xfId="2524"/>
    <cellStyle name="汇总 2 6" xfId="1644"/>
    <cellStyle name="汇总 2 6 2" xfId="2969"/>
    <cellStyle name="汇总 2 6 3" xfId="1875"/>
    <cellStyle name="汇总 2 7" xfId="2520"/>
    <cellStyle name="汇总 2 8" xfId="2006"/>
    <cellStyle name="汇总 2 9" xfId="3803"/>
    <cellStyle name="计算 2" xfId="4"/>
    <cellStyle name="计算 2 2" xfId="90"/>
    <cellStyle name="计算 2 2 2" xfId="490"/>
    <cellStyle name="计算 2 2 2 2" xfId="1055"/>
    <cellStyle name="计算 2 2 2 2 2" xfId="1659"/>
    <cellStyle name="计算 2 2 2 2 2 2" xfId="2984"/>
    <cellStyle name="计算 2 2 2 2 2 3" xfId="2222"/>
    <cellStyle name="计算 2 2 2 2 3" xfId="2508"/>
    <cellStyle name="计算 2 2 2 2 4" xfId="2654"/>
    <cellStyle name="计算 2 2 2 3" xfId="1234"/>
    <cellStyle name="计算 2 2 2 3 2" xfId="1660"/>
    <cellStyle name="计算 2 2 2 3 2 2" xfId="2985"/>
    <cellStyle name="计算 2 2 2 3 2 3" xfId="1852"/>
    <cellStyle name="计算 2 2 2 3 3" xfId="2102"/>
    <cellStyle name="计算 2 2 2 4" xfId="1658"/>
    <cellStyle name="计算 2 2 2 4 2" xfId="2983"/>
    <cellStyle name="计算 2 2 2 4 3" xfId="3252"/>
    <cellStyle name="计算 2 2 2 5" xfId="3191"/>
    <cellStyle name="计算 2 2 3" xfId="491"/>
    <cellStyle name="计算 2 2 3 2" xfId="1056"/>
    <cellStyle name="计算 2 2 3 2 2" xfId="2092"/>
    <cellStyle name="计算 2 2 3 3" xfId="1235"/>
    <cellStyle name="计算 2 2 3 3 2" xfId="2434"/>
    <cellStyle name="计算 2 2 3 4" xfId="1661"/>
    <cellStyle name="计算 2 2 3 4 2" xfId="2986"/>
    <cellStyle name="计算 2 2 3 5" xfId="3185"/>
    <cellStyle name="计算 2 2 4" xfId="710"/>
    <cellStyle name="计算 2 2 4 2" xfId="1318"/>
    <cellStyle name="计算 2 2 4 3" xfId="2348"/>
    <cellStyle name="计算 2 2 5" xfId="1054"/>
    <cellStyle name="计算 2 2 5 2" xfId="2585"/>
    <cellStyle name="计算 2 2 6" xfId="489"/>
    <cellStyle name="计算 2 2 7" xfId="1657"/>
    <cellStyle name="计算 2 2 7 2" xfId="2982"/>
    <cellStyle name="计算 2 2 8" xfId="2258"/>
    <cellStyle name="计算 2 2 9" xfId="3807"/>
    <cellStyle name="计算 2 3" xfId="492"/>
    <cellStyle name="计算 2 3 2" xfId="1057"/>
    <cellStyle name="计算 2 3 2 2" xfId="1664"/>
    <cellStyle name="计算 2 3 2 2 2" xfId="2989"/>
    <cellStyle name="计算 2 3 2 2 2 2" xfId="3260"/>
    <cellStyle name="计算 2 3 2 2 3" xfId="3192"/>
    <cellStyle name="计算 2 3 2 2 4" xfId="3261"/>
    <cellStyle name="计算 2 3 2 3" xfId="1663"/>
    <cellStyle name="计算 2 3 2 3 2" xfId="2988"/>
    <cellStyle name="计算 2 3 2 3 3" xfId="2051"/>
    <cellStyle name="计算 2 3 2 4" xfId="2359"/>
    <cellStyle name="计算 2 3 2 5" xfId="2380"/>
    <cellStyle name="计算 2 3 3" xfId="1236"/>
    <cellStyle name="计算 2 3 3 2" xfId="2122"/>
    <cellStyle name="计算 2 3 4" xfId="1662"/>
    <cellStyle name="计算 2 3 4 2" xfId="2987"/>
    <cellStyle name="计算 2 3 4 3" xfId="1973"/>
    <cellStyle name="计算 2 3 5" xfId="3313"/>
    <cellStyle name="计算 2 3 6" xfId="3808"/>
    <cellStyle name="计算 2 4" xfId="627"/>
    <cellStyle name="计算 2 4 2" xfId="1666"/>
    <cellStyle name="计算 2 4 2 2" xfId="2991"/>
    <cellStyle name="计算 2 4 2 2 2" xfId="3421"/>
    <cellStyle name="计算 2 4 2 3" xfId="2538"/>
    <cellStyle name="计算 2 4 2 4" xfId="2582"/>
    <cellStyle name="计算 2 4 3" xfId="1667"/>
    <cellStyle name="计算 2 4 3 2" xfId="2992"/>
    <cellStyle name="计算 2 4 3 2 2" xfId="2405"/>
    <cellStyle name="计算 2 4 3 3" xfId="3311"/>
    <cellStyle name="计算 2 4 4" xfId="1665"/>
    <cellStyle name="计算 2 4 4 2" xfId="2990"/>
    <cellStyle name="计算 2 4 4 3" xfId="3422"/>
    <cellStyle name="计算 2 4 5" xfId="2135"/>
    <cellStyle name="计算 2 5" xfId="645"/>
    <cellStyle name="计算 2 5 2" xfId="1233"/>
    <cellStyle name="计算 2 5 3" xfId="1948"/>
    <cellStyle name="计算 2 6" xfId="488"/>
    <cellStyle name="计算 2 6 2" xfId="2381"/>
    <cellStyle name="计算 2 7" xfId="1656"/>
    <cellStyle name="计算 2 7 2" xfId="2981"/>
    <cellStyle name="计算 2 7 3" xfId="2626"/>
    <cellStyle name="计算 2 8" xfId="3312"/>
    <cellStyle name="计算 2 9" xfId="3806"/>
    <cellStyle name="检查单元格 2" xfId="62"/>
    <cellStyle name="检查单元格 2 2" xfId="148"/>
    <cellStyle name="检查单元格 2 2 2" xfId="495"/>
    <cellStyle name="检查单元格 2 2 2 2" xfId="1059"/>
    <cellStyle name="检查单元格 2 2 2 2 2" xfId="1671"/>
    <cellStyle name="检查单元格 2 2 2 2 2 2" xfId="2996"/>
    <cellStyle name="检查单元格 2 2 2 2 2 3" xfId="2343"/>
    <cellStyle name="检查单元格 2 2 2 2 3" xfId="2194"/>
    <cellStyle name="检查单元格 2 2 2 2 4" xfId="3262"/>
    <cellStyle name="检查单元格 2 2 2 3" xfId="1672"/>
    <cellStyle name="检查单元格 2 2 2 3 2" xfId="2997"/>
    <cellStyle name="检查单元格 2 2 2 3 2 2" xfId="3263"/>
    <cellStyle name="检查单元格 2 2 2 3 3" xfId="2377"/>
    <cellStyle name="检查单元格 2 2 2 4" xfId="1670"/>
    <cellStyle name="检查单元格 2 2 2 4 2" xfId="2995"/>
    <cellStyle name="检查单元格 2 2 2 4 3" xfId="3264"/>
    <cellStyle name="检查单元格 2 2 2 5" xfId="2315"/>
    <cellStyle name="检查单元格 2 2 3" xfId="496"/>
    <cellStyle name="检查单元格 2 2 3 2" xfId="1060"/>
    <cellStyle name="检查单元格 2 2 3 2 2" xfId="1975"/>
    <cellStyle name="检查单元格 2 2 3 3" xfId="1673"/>
    <cellStyle name="检查单元格 2 2 3 3 2" xfId="2998"/>
    <cellStyle name="检查单元格 2 2 3 3 3" xfId="3423"/>
    <cellStyle name="检查单元格 2 2 3 4" xfId="3195"/>
    <cellStyle name="检查单元格 2 2 4" xfId="768"/>
    <cellStyle name="检查单元格 2 2 4 2" xfId="1319"/>
    <cellStyle name="检查单元格 2 2 4 3" xfId="2584"/>
    <cellStyle name="检查单元格 2 2 5" xfId="1058"/>
    <cellStyle name="检查单元格 2 2 5 2" xfId="2066"/>
    <cellStyle name="检查单元格 2 2 6" xfId="494"/>
    <cellStyle name="检查单元格 2 2 7" xfId="1669"/>
    <cellStyle name="检查单元格 2 2 7 2" xfId="2994"/>
    <cellStyle name="检查单元格 2 2 8" xfId="3451"/>
    <cellStyle name="检查单元格 2 2 9" xfId="3810"/>
    <cellStyle name="检查单元格 2 3" xfId="497"/>
    <cellStyle name="检查单元格 2 3 2" xfId="1061"/>
    <cellStyle name="检查单元格 2 3 2 2" xfId="1676"/>
    <cellStyle name="检查单元格 2 3 2 2 2" xfId="3001"/>
    <cellStyle name="检查单元格 2 3 2 2 2 2" xfId="3265"/>
    <cellStyle name="检查单元格 2 3 2 2 3" xfId="2078"/>
    <cellStyle name="检查单元格 2 3 2 2 4" xfId="3424"/>
    <cellStyle name="检查单元格 2 3 2 3" xfId="1675"/>
    <cellStyle name="检查单元格 2 3 2 3 2" xfId="3000"/>
    <cellStyle name="检查单元格 2 3 2 3 3" xfId="2240"/>
    <cellStyle name="检查单元格 2 3 2 4" xfId="3194"/>
    <cellStyle name="检查单元格 2 3 2 5" xfId="2070"/>
    <cellStyle name="检查单元格 2 3 3" xfId="1674"/>
    <cellStyle name="检查单元格 2 3 3 2" xfId="2999"/>
    <cellStyle name="检查单元格 2 3 3 3" xfId="2493"/>
    <cellStyle name="检查单元格 2 3 4" xfId="2429"/>
    <cellStyle name="检查单元格 2 3 5" xfId="3811"/>
    <cellStyle name="检查单元格 2 4" xfId="628"/>
    <cellStyle name="检查单元格 2 4 2" xfId="1678"/>
    <cellStyle name="检查单元格 2 4 2 2" xfId="3003"/>
    <cellStyle name="检查单元格 2 4 2 2 2" xfId="2090"/>
    <cellStyle name="检查单元格 2 4 2 3" xfId="2417"/>
    <cellStyle name="检查单元格 2 4 2 4" xfId="3332"/>
    <cellStyle name="检查单元格 2 4 3" xfId="1679"/>
    <cellStyle name="检查单元格 2 4 3 2" xfId="3004"/>
    <cellStyle name="检查单元格 2 4 3 2 2" xfId="2367"/>
    <cellStyle name="检查单元格 2 4 3 3" xfId="3193"/>
    <cellStyle name="检查单元格 2 4 4" xfId="1677"/>
    <cellStyle name="检查单元格 2 4 4 2" xfId="3002"/>
    <cellStyle name="检查单元格 2 4 4 3" xfId="2154"/>
    <cellStyle name="检查单元格 2 4 5" xfId="2183"/>
    <cellStyle name="检查单元格 2 5" xfId="696"/>
    <cellStyle name="检查单元格 2 5 2" xfId="1237"/>
    <cellStyle name="检查单元格 2 5 3" xfId="2460"/>
    <cellStyle name="检查单元格 2 6" xfId="493"/>
    <cellStyle name="检查单元格 2 6 2" xfId="2339"/>
    <cellStyle name="检查单元格 2 7" xfId="1668"/>
    <cellStyle name="检查单元格 2 7 2" xfId="2993"/>
    <cellStyle name="检查单元格 2 7 3" xfId="2616"/>
    <cellStyle name="检查单元格 2 8" xfId="2551"/>
    <cellStyle name="检查单元格 2 9" xfId="3809"/>
    <cellStyle name="解释性文本 2" xfId="79"/>
    <cellStyle name="解释性文本 2 2" xfId="165"/>
    <cellStyle name="解释性文本 2 2 2" xfId="498"/>
    <cellStyle name="解释性文本 2 2 2 2" xfId="1062"/>
    <cellStyle name="解释性文本 2 2 2 2 2" xfId="1683"/>
    <cellStyle name="解释性文本 2 2 2 2 2 2" xfId="3008"/>
    <cellStyle name="解释性文本 2 2 2 2 2 3" xfId="2556"/>
    <cellStyle name="解释性文本 2 2 2 2 3" xfId="2509"/>
    <cellStyle name="解释性文本 2 2 2 2 4" xfId="3333"/>
    <cellStyle name="解释性文本 2 2 2 3" xfId="1684"/>
    <cellStyle name="解释性文本 2 2 2 3 2" xfId="3009"/>
    <cellStyle name="解释性文本 2 2 2 3 2 2" xfId="2282"/>
    <cellStyle name="解释性文本 2 2 2 3 3" xfId="2446"/>
    <cellStyle name="解释性文本 2 2 2 4" xfId="1682"/>
    <cellStyle name="解释性文本 2 2 2 4 2" xfId="3007"/>
    <cellStyle name="解释性文本 2 2 2 4 3" xfId="3426"/>
    <cellStyle name="解释性文本 2 2 2 5" xfId="1929"/>
    <cellStyle name="解释性文本 2 2 3" xfId="499"/>
    <cellStyle name="解释性文本 2 2 3 2" xfId="1063"/>
    <cellStyle name="解释性文本 2 2 3 2 2" xfId="2565"/>
    <cellStyle name="解释性文本 2 2 3 3" xfId="1685"/>
    <cellStyle name="解释性文本 2 2 3 3 2" xfId="3010"/>
    <cellStyle name="解释性文本 2 2 3 3 3" xfId="1872"/>
    <cellStyle name="解释性文本 2 2 3 4" xfId="2469"/>
    <cellStyle name="解释性文本 2 2 4" xfId="785"/>
    <cellStyle name="解释性文本 2 2 4 2" xfId="3427"/>
    <cellStyle name="解释性文本 2 2 5" xfId="1239"/>
    <cellStyle name="解释性文本 2 2 5 2" xfId="2612"/>
    <cellStyle name="解释性文本 2 2 6" xfId="1681"/>
    <cellStyle name="解释性文本 2 2 6 2" xfId="3006"/>
    <cellStyle name="解释性文本 2 2 7" xfId="1962"/>
    <cellStyle name="解释性文本 2 2 8" xfId="3813"/>
    <cellStyle name="解释性文本 2 3" xfId="500"/>
    <cellStyle name="解释性文本 2 3 2" xfId="1064"/>
    <cellStyle name="解释性文本 2 3 2 2" xfId="1688"/>
    <cellStyle name="解释性文本 2 3 2 2 2" xfId="3013"/>
    <cellStyle name="解释性文本 2 3 2 2 2 2" xfId="2184"/>
    <cellStyle name="解释性文本 2 3 2 2 3" xfId="2155"/>
    <cellStyle name="解释性文本 2 3 2 2 4" xfId="2001"/>
    <cellStyle name="解释性文本 2 3 2 3" xfId="1687"/>
    <cellStyle name="解释性文本 2 3 2 3 2" xfId="3012"/>
    <cellStyle name="解释性文本 2 3 2 3 3" xfId="3355"/>
    <cellStyle name="解释性文本 2 3 2 4" xfId="3368"/>
    <cellStyle name="解释性文本 2 3 2 5" xfId="1991"/>
    <cellStyle name="解释性文本 2 3 3" xfId="1686"/>
    <cellStyle name="解释性文本 2 3 3 2" xfId="3011"/>
    <cellStyle name="解释性文本 2 3 3 3" xfId="3162"/>
    <cellStyle name="解释性文本 2 3 4" xfId="2014"/>
    <cellStyle name="解释性文本 2 3 5" xfId="3814"/>
    <cellStyle name="解释性文本 2 4" xfId="629"/>
    <cellStyle name="解释性文本 2 4 2" xfId="1690"/>
    <cellStyle name="解释性文本 2 4 2 2" xfId="3015"/>
    <cellStyle name="解释性文本 2 4 2 2 2" xfId="2211"/>
    <cellStyle name="解释性文本 2 4 2 3" xfId="2606"/>
    <cellStyle name="解释性文本 2 4 2 4" xfId="2366"/>
    <cellStyle name="解释性文本 2 4 3" xfId="1691"/>
    <cellStyle name="解释性文本 2 4 3 2" xfId="3016"/>
    <cellStyle name="解释性文本 2 4 3 2 2" xfId="2651"/>
    <cellStyle name="解释性文本 2 4 3 3" xfId="3314"/>
    <cellStyle name="解释性文本 2 4 4" xfId="1689"/>
    <cellStyle name="解释性文本 2 4 4 2" xfId="3014"/>
    <cellStyle name="解释性文本 2 4 4 3" xfId="3429"/>
    <cellStyle name="解释性文本 2 4 5" xfId="3184"/>
    <cellStyle name="解释性文本 2 5" xfId="1238"/>
    <cellStyle name="解释性文本 2 5 2" xfId="3331"/>
    <cellStyle name="解释性文本 2 6" xfId="1680"/>
    <cellStyle name="解释性文本 2 6 2" xfId="3005"/>
    <cellStyle name="解释性文本 2 6 3" xfId="2100"/>
    <cellStyle name="解释性文本 2 7" xfId="2312"/>
    <cellStyle name="解释性文本 2 8" xfId="2437"/>
    <cellStyle name="解释性文本 2 9" xfId="3812"/>
    <cellStyle name="警告文本 2" xfId="26"/>
    <cellStyle name="警告文本 2 2" xfId="112"/>
    <cellStyle name="警告文本 2 2 2" xfId="501"/>
    <cellStyle name="警告文本 2 2 2 2" xfId="1065"/>
    <cellStyle name="警告文本 2 2 2 2 2" xfId="1695"/>
    <cellStyle name="警告文本 2 2 2 2 2 2" xfId="3020"/>
    <cellStyle name="警告文本 2 2 2 2 2 3" xfId="1925"/>
    <cellStyle name="警告文本 2 2 2 2 3" xfId="2129"/>
    <cellStyle name="警告文本 2 2 2 2 4" xfId="2340"/>
    <cellStyle name="警告文本 2 2 2 3" xfId="1696"/>
    <cellStyle name="警告文本 2 2 2 3 2" xfId="3021"/>
    <cellStyle name="警告文本 2 2 2 3 2 2" xfId="3457"/>
    <cellStyle name="警告文本 2 2 2 3 3" xfId="2209"/>
    <cellStyle name="警告文本 2 2 2 4" xfId="1694"/>
    <cellStyle name="警告文本 2 2 2 4 2" xfId="3019"/>
    <cellStyle name="警告文本 2 2 2 4 3" xfId="3431"/>
    <cellStyle name="警告文本 2 2 2 5" xfId="3462"/>
    <cellStyle name="警告文本 2 2 3" xfId="502"/>
    <cellStyle name="警告文本 2 2 3 2" xfId="1066"/>
    <cellStyle name="警告文本 2 2 3 2 2" xfId="2358"/>
    <cellStyle name="警告文本 2 2 3 3" xfId="1697"/>
    <cellStyle name="警告文本 2 2 3 3 2" xfId="3022"/>
    <cellStyle name="警告文本 2 2 3 3 3" xfId="2652"/>
    <cellStyle name="警告文本 2 2 3 4" xfId="2542"/>
    <cellStyle name="警告文本 2 2 4" xfId="732"/>
    <cellStyle name="警告文本 2 2 4 2" xfId="3428"/>
    <cellStyle name="警告文本 2 2 5" xfId="1241"/>
    <cellStyle name="警告文本 2 2 5 2" xfId="3430"/>
    <cellStyle name="警告文本 2 2 6" xfId="1693"/>
    <cellStyle name="警告文本 2 2 6 2" xfId="3018"/>
    <cellStyle name="警告文本 2 2 7" xfId="3436"/>
    <cellStyle name="警告文本 2 2 8" xfId="3816"/>
    <cellStyle name="警告文本 2 3" xfId="503"/>
    <cellStyle name="警告文本 2 3 2" xfId="1067"/>
    <cellStyle name="警告文本 2 3 2 2" xfId="1700"/>
    <cellStyle name="警告文本 2 3 2 2 2" xfId="3025"/>
    <cellStyle name="警告文本 2 3 2 2 2 2" xfId="1941"/>
    <cellStyle name="警告文本 2 3 2 2 3" xfId="3199"/>
    <cellStyle name="警告文本 2 3 2 2 4" xfId="2447"/>
    <cellStyle name="警告文本 2 3 2 3" xfId="1699"/>
    <cellStyle name="警告文本 2 3 2 3 2" xfId="3024"/>
    <cellStyle name="警告文本 2 3 2 3 3" xfId="2203"/>
    <cellStyle name="警告文本 2 3 2 4" xfId="3198"/>
    <cellStyle name="警告文本 2 3 2 5" xfId="1958"/>
    <cellStyle name="警告文本 2 3 3" xfId="1698"/>
    <cellStyle name="警告文本 2 3 3 2" xfId="3023"/>
    <cellStyle name="警告文本 2 3 3 3" xfId="3425"/>
    <cellStyle name="警告文本 2 3 4" xfId="1970"/>
    <cellStyle name="警告文本 2 3 5" xfId="3817"/>
    <cellStyle name="警告文本 2 4" xfId="630"/>
    <cellStyle name="警告文本 2 4 2" xfId="1702"/>
    <cellStyle name="警告文本 2 4 2 2" xfId="3027"/>
    <cellStyle name="警告文本 2 4 2 2 2" xfId="2106"/>
    <cellStyle name="警告文本 2 4 2 3" xfId="3342"/>
    <cellStyle name="警告文本 2 4 2 4" xfId="2208"/>
    <cellStyle name="警告文本 2 4 3" xfId="1703"/>
    <cellStyle name="警告文本 2 4 3 2" xfId="3028"/>
    <cellStyle name="警告文本 2 4 3 2 2" xfId="2215"/>
    <cellStyle name="警告文本 2 4 3 3" xfId="3201"/>
    <cellStyle name="警告文本 2 4 4" xfId="1701"/>
    <cellStyle name="警告文本 2 4 4 2" xfId="3026"/>
    <cellStyle name="警告文本 2 4 4 3" xfId="1912"/>
    <cellStyle name="警告文本 2 4 5" xfId="3200"/>
    <cellStyle name="警告文本 2 5" xfId="1240"/>
    <cellStyle name="警告文本 2 5 2" xfId="2300"/>
    <cellStyle name="警告文本 2 6" xfId="1692"/>
    <cellStyle name="警告文本 2 6 2" xfId="3017"/>
    <cellStyle name="警告文本 2 6 3" xfId="2330"/>
    <cellStyle name="警告文本 2 7" xfId="2271"/>
    <cellStyle name="警告文本 2 8" xfId="2432"/>
    <cellStyle name="警告文本 2 9" xfId="3815"/>
    <cellStyle name="链接单元格 2" xfId="80"/>
    <cellStyle name="链接单元格 2 2" xfId="166"/>
    <cellStyle name="链接单元格 2 2 2" xfId="504"/>
    <cellStyle name="链接单元格 2 2 2 2" xfId="1068"/>
    <cellStyle name="链接单元格 2 2 2 2 2" xfId="1707"/>
    <cellStyle name="链接单元格 2 2 2 2 2 2" xfId="3032"/>
    <cellStyle name="链接单元格 2 2 2 2 2 3" xfId="3477"/>
    <cellStyle name="链接单元格 2 2 2 2 3" xfId="2441"/>
    <cellStyle name="链接单元格 2 2 2 2 4" xfId="3478"/>
    <cellStyle name="链接单元格 2 2 2 3" xfId="1708"/>
    <cellStyle name="链接单元格 2 2 2 3 2" xfId="3033"/>
    <cellStyle name="链接单元格 2 2 2 3 2 2" xfId="3479"/>
    <cellStyle name="链接单元格 2 2 2 3 3" xfId="3197"/>
    <cellStyle name="链接单元格 2 2 2 4" xfId="1706"/>
    <cellStyle name="链接单元格 2 2 2 4 2" xfId="3031"/>
    <cellStyle name="链接单元格 2 2 2 4 3" xfId="3480"/>
    <cellStyle name="链接单元格 2 2 2 5" xfId="2402"/>
    <cellStyle name="链接单元格 2 2 3" xfId="505"/>
    <cellStyle name="链接单元格 2 2 3 2" xfId="1069"/>
    <cellStyle name="链接单元格 2 2 3 2 2" xfId="3481"/>
    <cellStyle name="链接单元格 2 2 3 3" xfId="1709"/>
    <cellStyle name="链接单元格 2 2 3 3 2" xfId="3034"/>
    <cellStyle name="链接单元格 2 2 3 3 3" xfId="3482"/>
    <cellStyle name="链接单元格 2 2 3 4" xfId="3166"/>
    <cellStyle name="链接单元格 2 2 4" xfId="786"/>
    <cellStyle name="链接单元格 2 2 4 2" xfId="3483"/>
    <cellStyle name="链接单元格 2 2 5" xfId="1243"/>
    <cellStyle name="链接单元格 2 2 5 2" xfId="3484"/>
    <cellStyle name="链接单元格 2 2 6" xfId="1705"/>
    <cellStyle name="链接单元格 2 2 6 2" xfId="3030"/>
    <cellStyle name="链接单元格 2 2 7" xfId="1879"/>
    <cellStyle name="链接单元格 2 2 8" xfId="3819"/>
    <cellStyle name="链接单元格 2 3" xfId="506"/>
    <cellStyle name="链接单元格 2 3 2" xfId="1070"/>
    <cellStyle name="链接单元格 2 3 2 2" xfId="1712"/>
    <cellStyle name="链接单元格 2 3 2 2 2" xfId="3037"/>
    <cellStyle name="链接单元格 2 3 2 2 2 2" xfId="3485"/>
    <cellStyle name="链接单元格 2 3 2 2 3" xfId="2563"/>
    <cellStyle name="链接单元格 2 3 2 2 4" xfId="3486"/>
    <cellStyle name="链接单元格 2 3 2 3" xfId="1711"/>
    <cellStyle name="链接单元格 2 3 2 3 2" xfId="3036"/>
    <cellStyle name="链接单元格 2 3 2 3 3" xfId="3487"/>
    <cellStyle name="链接单元格 2 3 2 4" xfId="2535"/>
    <cellStyle name="链接单元格 2 3 2 5" xfId="3488"/>
    <cellStyle name="链接单元格 2 3 3" xfId="1710"/>
    <cellStyle name="链接单元格 2 3 3 2" xfId="3035"/>
    <cellStyle name="链接单元格 2 3 3 3" xfId="3489"/>
    <cellStyle name="链接单元格 2 3 4" xfId="2112"/>
    <cellStyle name="链接单元格 2 3 5" xfId="3820"/>
    <cellStyle name="链接单元格 2 4" xfId="631"/>
    <cellStyle name="链接单元格 2 4 2" xfId="1714"/>
    <cellStyle name="链接单元格 2 4 2 2" xfId="3039"/>
    <cellStyle name="链接单元格 2 4 2 2 2" xfId="3490"/>
    <cellStyle name="链接单元格 2 4 2 3" xfId="1950"/>
    <cellStyle name="链接单元格 2 4 2 4" xfId="3491"/>
    <cellStyle name="链接单元格 2 4 3" xfId="1715"/>
    <cellStyle name="链接单元格 2 4 3 2" xfId="3040"/>
    <cellStyle name="链接单元格 2 4 3 2 2" xfId="3492"/>
    <cellStyle name="链接单元格 2 4 3 3" xfId="1996"/>
    <cellStyle name="链接单元格 2 4 4" xfId="1713"/>
    <cellStyle name="链接单元格 2 4 4 2" xfId="3038"/>
    <cellStyle name="链接单元格 2 4 4 3" xfId="3493"/>
    <cellStyle name="链接单元格 2 4 5" xfId="2064"/>
    <cellStyle name="链接单元格 2 5" xfId="1242"/>
    <cellStyle name="链接单元格 2 5 2" xfId="3494"/>
    <cellStyle name="链接单元格 2 6" xfId="1704"/>
    <cellStyle name="链接单元格 2 6 2" xfId="3029"/>
    <cellStyle name="链接单元格 2 6 3" xfId="3495"/>
    <cellStyle name="链接单元格 2 7" xfId="2386"/>
    <cellStyle name="链接单元格 2 8" xfId="3496"/>
    <cellStyle name="链接单元格 2 9" xfId="3818"/>
    <cellStyle name="强调文字颜色 1 2" xfId="58"/>
    <cellStyle name="强调文字颜色 1 2 2" xfId="144"/>
    <cellStyle name="强调文字颜色 1 2 2 2" xfId="509"/>
    <cellStyle name="强调文字颜色 1 2 2 2 2" xfId="1072"/>
    <cellStyle name="强调文字颜色 1 2 2 2 2 2" xfId="1719"/>
    <cellStyle name="强调文字颜色 1 2 2 2 2 2 2" xfId="3044"/>
    <cellStyle name="强调文字颜色 1 2 2 2 2 2 3" xfId="3497"/>
    <cellStyle name="强调文字颜色 1 2 2 2 2 3" xfId="1913"/>
    <cellStyle name="强调文字颜色 1 2 2 2 2 4" xfId="3498"/>
    <cellStyle name="强调文字颜色 1 2 2 2 3" xfId="1720"/>
    <cellStyle name="强调文字颜色 1 2 2 2 3 2" xfId="3045"/>
    <cellStyle name="强调文字颜色 1 2 2 2 3 2 2" xfId="3499"/>
    <cellStyle name="强调文字颜色 1 2 2 2 3 3" xfId="2422"/>
    <cellStyle name="强调文字颜色 1 2 2 2 4" xfId="1718"/>
    <cellStyle name="强调文字颜色 1 2 2 2 4 2" xfId="3043"/>
    <cellStyle name="强调文字颜色 1 2 2 2 4 3" xfId="3500"/>
    <cellStyle name="强调文字颜色 1 2 2 2 5" xfId="2255"/>
    <cellStyle name="强调文字颜色 1 2 2 3" xfId="510"/>
    <cellStyle name="强调文字颜色 1 2 2 3 2" xfId="1073"/>
    <cellStyle name="强调文字颜色 1 2 2 3 2 2" xfId="3501"/>
    <cellStyle name="强调文字颜色 1 2 2 3 3" xfId="1721"/>
    <cellStyle name="强调文字颜色 1 2 2 3 3 2" xfId="3046"/>
    <cellStyle name="强调文字颜色 1 2 2 3 3 3" xfId="3502"/>
    <cellStyle name="强调文字颜色 1 2 2 3 4" xfId="2436"/>
    <cellStyle name="强调文字颜色 1 2 2 4" xfId="764"/>
    <cellStyle name="强调文字颜色 1 2 2 4 2" xfId="1320"/>
    <cellStyle name="强调文字颜色 1 2 2 4 3" xfId="3503"/>
    <cellStyle name="强调文字颜色 1 2 2 5" xfId="1071"/>
    <cellStyle name="强调文字颜色 1 2 2 5 2" xfId="3504"/>
    <cellStyle name="强调文字颜色 1 2 2 6" xfId="508"/>
    <cellStyle name="强调文字颜色 1 2 2 7" xfId="1717"/>
    <cellStyle name="强调文字颜色 1 2 2 7 2" xfId="3042"/>
    <cellStyle name="强调文字颜色 1 2 2 8" xfId="2235"/>
    <cellStyle name="强调文字颜色 1 2 2 9" xfId="3822"/>
    <cellStyle name="强调文字颜色 1 2 3" xfId="511"/>
    <cellStyle name="强调文字颜色 1 2 3 2" xfId="1074"/>
    <cellStyle name="强调文字颜色 1 2 3 2 2" xfId="1724"/>
    <cellStyle name="强调文字颜色 1 2 3 2 2 2" xfId="3049"/>
    <cellStyle name="强调文字颜色 1 2 3 2 2 2 2" xfId="3505"/>
    <cellStyle name="强调文字颜色 1 2 3 2 2 3" xfId="3168"/>
    <cellStyle name="强调文字颜色 1 2 3 2 2 4" xfId="3506"/>
    <cellStyle name="强调文字颜色 1 2 3 2 3" xfId="1723"/>
    <cellStyle name="强调文字颜色 1 2 3 2 3 2" xfId="3048"/>
    <cellStyle name="强调文字颜色 1 2 3 2 3 3" xfId="3507"/>
    <cellStyle name="强调文字颜色 1 2 3 2 4" xfId="3196"/>
    <cellStyle name="强调文字颜色 1 2 3 2 5" xfId="3508"/>
    <cellStyle name="强调文字颜色 1 2 3 3" xfId="1722"/>
    <cellStyle name="强调文字颜色 1 2 3 3 2" xfId="3047"/>
    <cellStyle name="强调文字颜色 1 2 3 3 3" xfId="3509"/>
    <cellStyle name="强调文字颜色 1 2 3 4" xfId="2545"/>
    <cellStyle name="强调文字颜色 1 2 3 5" xfId="3823"/>
    <cellStyle name="强调文字颜色 1 2 4" xfId="632"/>
    <cellStyle name="强调文字颜色 1 2 4 2" xfId="1726"/>
    <cellStyle name="强调文字颜色 1 2 4 2 2" xfId="3051"/>
    <cellStyle name="强调文字颜色 1 2 4 2 2 2" xfId="3510"/>
    <cellStyle name="强调文字颜色 1 2 4 2 3" xfId="2210"/>
    <cellStyle name="强调文字颜色 1 2 4 2 4" xfId="3511"/>
    <cellStyle name="强调文字颜色 1 2 4 3" xfId="1727"/>
    <cellStyle name="强调文字颜色 1 2 4 3 2" xfId="3052"/>
    <cellStyle name="强调文字颜色 1 2 4 3 2 2" xfId="3512"/>
    <cellStyle name="强调文字颜色 1 2 4 3 3" xfId="3203"/>
    <cellStyle name="强调文字颜色 1 2 4 4" xfId="1725"/>
    <cellStyle name="强调文字颜色 1 2 4 4 2" xfId="3050"/>
    <cellStyle name="强调文字颜色 1 2 4 4 3" xfId="3513"/>
    <cellStyle name="强调文字颜色 1 2 4 5" xfId="2505"/>
    <cellStyle name="强调文字颜色 1 2 5" xfId="694"/>
    <cellStyle name="强调文字颜色 1 2 5 2" xfId="1244"/>
    <cellStyle name="强调文字颜色 1 2 5 3" xfId="3514"/>
    <cellStyle name="强调文字颜色 1 2 6" xfId="507"/>
    <cellStyle name="强调文字颜色 1 2 6 2" xfId="3515"/>
    <cellStyle name="强调文字颜色 1 2 7" xfId="1716"/>
    <cellStyle name="强调文字颜色 1 2 7 2" xfId="3041"/>
    <cellStyle name="强调文字颜色 1 2 7 3" xfId="3516"/>
    <cellStyle name="强调文字颜色 1 2 8" xfId="2134"/>
    <cellStyle name="强调文字颜色 1 2 9" xfId="3821"/>
    <cellStyle name="强调文字颜色 2 2" xfId="81"/>
    <cellStyle name="强调文字颜色 2 2 2" xfId="167"/>
    <cellStyle name="强调文字颜色 2 2 2 2" xfId="514"/>
    <cellStyle name="强调文字颜色 2 2 2 2 2" xfId="1076"/>
    <cellStyle name="强调文字颜色 2 2 2 2 2 2" xfId="1731"/>
    <cellStyle name="强调文字颜色 2 2 2 2 2 2 2" xfId="3056"/>
    <cellStyle name="强调文字颜色 2 2 2 2 2 2 3" xfId="3517"/>
    <cellStyle name="强调文字颜色 2 2 2 2 2 3" xfId="3206"/>
    <cellStyle name="强调文字颜色 2 2 2 2 2 4" xfId="3518"/>
    <cellStyle name="强调文字颜色 2 2 2 2 3" xfId="1732"/>
    <cellStyle name="强调文字颜色 2 2 2 2 3 2" xfId="3057"/>
    <cellStyle name="强调文字颜色 2 2 2 2 3 2 2" xfId="3519"/>
    <cellStyle name="强调文字颜色 2 2 2 2 3 3" xfId="1949"/>
    <cellStyle name="强调文字颜色 2 2 2 2 4" xfId="1730"/>
    <cellStyle name="强调文字颜色 2 2 2 2 4 2" xfId="3055"/>
    <cellStyle name="强调文字颜色 2 2 2 2 4 3" xfId="3520"/>
    <cellStyle name="强调文字颜色 2 2 2 2 5" xfId="3343"/>
    <cellStyle name="强调文字颜色 2 2 2 3" xfId="515"/>
    <cellStyle name="强调文字颜色 2 2 2 3 2" xfId="1077"/>
    <cellStyle name="强调文字颜色 2 2 2 3 2 2" xfId="3521"/>
    <cellStyle name="强调文字颜色 2 2 2 3 3" xfId="1733"/>
    <cellStyle name="强调文字颜色 2 2 2 3 3 2" xfId="3058"/>
    <cellStyle name="强调文字颜色 2 2 2 3 3 3" xfId="3522"/>
    <cellStyle name="强调文字颜色 2 2 2 3 4" xfId="2084"/>
    <cellStyle name="强调文字颜色 2 2 2 4" xfId="787"/>
    <cellStyle name="强调文字颜色 2 2 2 4 2" xfId="1321"/>
    <cellStyle name="强调文字颜色 2 2 2 4 3" xfId="3523"/>
    <cellStyle name="强调文字颜色 2 2 2 5" xfId="1075"/>
    <cellStyle name="强调文字颜色 2 2 2 5 2" xfId="3524"/>
    <cellStyle name="强调文字颜色 2 2 2 6" xfId="513"/>
    <cellStyle name="强调文字颜色 2 2 2 7" xfId="1729"/>
    <cellStyle name="强调文字颜色 2 2 2 7 2" xfId="3054"/>
    <cellStyle name="强调文字颜色 2 2 2 8" xfId="3204"/>
    <cellStyle name="强调文字颜色 2 2 2 9" xfId="3825"/>
    <cellStyle name="强调文字颜色 2 2 3" xfId="516"/>
    <cellStyle name="强调文字颜色 2 2 3 2" xfId="1078"/>
    <cellStyle name="强调文字颜色 2 2 3 2 2" xfId="1736"/>
    <cellStyle name="强调文字颜色 2 2 3 2 2 2" xfId="3061"/>
    <cellStyle name="强调文字颜色 2 2 3 2 2 2 2" xfId="3525"/>
    <cellStyle name="强调文字颜色 2 2 3 2 2 3" xfId="1987"/>
    <cellStyle name="强调文字颜色 2 2 3 2 2 4" xfId="3526"/>
    <cellStyle name="强调文字颜色 2 2 3 2 3" xfId="1735"/>
    <cellStyle name="强调文字颜色 2 2 3 2 3 2" xfId="3060"/>
    <cellStyle name="强调文字颜色 2 2 3 2 3 3" xfId="3527"/>
    <cellStyle name="强调文字颜色 2 2 3 2 4" xfId="3310"/>
    <cellStyle name="强调文字颜色 2 2 3 2 5" xfId="3528"/>
    <cellStyle name="强调文字颜色 2 2 3 3" xfId="1734"/>
    <cellStyle name="强调文字颜色 2 2 3 3 2" xfId="3059"/>
    <cellStyle name="强调文字颜色 2 2 3 3 3" xfId="3529"/>
    <cellStyle name="强调文字颜色 2 2 3 4" xfId="3202"/>
    <cellStyle name="强调文字颜色 2 2 3 5" xfId="3826"/>
    <cellStyle name="强调文字颜色 2 2 4" xfId="633"/>
    <cellStyle name="强调文字颜色 2 2 4 2" xfId="1738"/>
    <cellStyle name="强调文字颜色 2 2 4 2 2" xfId="3063"/>
    <cellStyle name="强调文字颜色 2 2 4 2 2 2" xfId="3530"/>
    <cellStyle name="强调文字颜色 2 2 4 2 3" xfId="2068"/>
    <cellStyle name="强调文字颜色 2 2 4 2 4" xfId="3531"/>
    <cellStyle name="强调文字颜色 2 2 4 3" xfId="1739"/>
    <cellStyle name="强调文字颜色 2 2 4 3 2" xfId="3064"/>
    <cellStyle name="强调文字颜色 2 2 4 3 2 2" xfId="3532"/>
    <cellStyle name="强调文字颜色 2 2 4 3 3" xfId="3317"/>
    <cellStyle name="强调文字颜色 2 2 4 4" xfId="1737"/>
    <cellStyle name="强调文字颜色 2 2 4 4 2" xfId="3062"/>
    <cellStyle name="强调文字颜色 2 2 4 4 3" xfId="3533"/>
    <cellStyle name="强调文字颜色 2 2 4 5" xfId="2470"/>
    <cellStyle name="强调文字颜色 2 2 5" xfId="701"/>
    <cellStyle name="强调文字颜色 2 2 5 2" xfId="1245"/>
    <cellStyle name="强调文字颜色 2 2 5 3" xfId="3534"/>
    <cellStyle name="强调文字颜色 2 2 6" xfId="512"/>
    <cellStyle name="强调文字颜色 2 2 6 2" xfId="3535"/>
    <cellStyle name="强调文字颜色 2 2 7" xfId="1728"/>
    <cellStyle name="强调文字颜色 2 2 7 2" xfId="3053"/>
    <cellStyle name="强调文字颜色 2 2 7 3" xfId="3536"/>
    <cellStyle name="强调文字颜色 2 2 8" xfId="2037"/>
    <cellStyle name="强调文字颜色 2 2 9" xfId="3824"/>
    <cellStyle name="强调文字颜色 3 2" xfId="82"/>
    <cellStyle name="强调文字颜色 3 2 2" xfId="168"/>
    <cellStyle name="强调文字颜色 3 2 2 2" xfId="519"/>
    <cellStyle name="强调文字颜色 3 2 2 2 2" xfId="1080"/>
    <cellStyle name="强调文字颜色 3 2 2 2 2 2" xfId="1743"/>
    <cellStyle name="强调文字颜色 3 2 2 2 2 2 2" xfId="3068"/>
    <cellStyle name="强调文字颜色 3 2 2 2 2 2 3" xfId="3537"/>
    <cellStyle name="强调文字颜色 3 2 2 2 2 3" xfId="2252"/>
    <cellStyle name="强调文字颜色 3 2 2 2 2 4" xfId="3538"/>
    <cellStyle name="强调文字颜色 3 2 2 2 3" xfId="1744"/>
    <cellStyle name="强调文字颜色 3 2 2 2 3 2" xfId="3069"/>
    <cellStyle name="强调文字颜色 3 2 2 2 3 2 2" xfId="3539"/>
    <cellStyle name="强调文字颜色 3 2 2 2 3 3" xfId="2454"/>
    <cellStyle name="强调文字颜色 3 2 2 2 4" xfId="1742"/>
    <cellStyle name="强调文字颜色 3 2 2 2 4 2" xfId="3067"/>
    <cellStyle name="强调文字颜色 3 2 2 2 4 3" xfId="3540"/>
    <cellStyle name="强调文字颜色 3 2 2 2 5" xfId="3207"/>
    <cellStyle name="强调文字颜色 3 2 2 3" xfId="520"/>
    <cellStyle name="强调文字颜色 3 2 2 3 2" xfId="1081"/>
    <cellStyle name="强调文字颜色 3 2 2 3 2 2" xfId="3541"/>
    <cellStyle name="强调文字颜色 3 2 2 3 3" xfId="1745"/>
    <cellStyle name="强调文字颜色 3 2 2 3 3 2" xfId="3070"/>
    <cellStyle name="强调文字颜色 3 2 2 3 3 3" xfId="3542"/>
    <cellStyle name="强调文字颜色 3 2 2 3 4" xfId="3369"/>
    <cellStyle name="强调文字颜色 3 2 2 4" xfId="788"/>
    <cellStyle name="强调文字颜色 3 2 2 4 2" xfId="1322"/>
    <cellStyle name="强调文字颜色 3 2 2 4 3" xfId="3543"/>
    <cellStyle name="强调文字颜色 3 2 2 5" xfId="1079"/>
    <cellStyle name="强调文字颜色 3 2 2 5 2" xfId="3544"/>
    <cellStyle name="强调文字颜色 3 2 2 6" xfId="518"/>
    <cellStyle name="强调文字颜色 3 2 2 7" xfId="1741"/>
    <cellStyle name="强调文字颜色 3 2 2 7 2" xfId="3066"/>
    <cellStyle name="强调文字颜色 3 2 2 8" xfId="2338"/>
    <cellStyle name="强调文字颜色 3 2 2 9" xfId="3828"/>
    <cellStyle name="强调文字颜色 3 2 3" xfId="521"/>
    <cellStyle name="强调文字颜色 3 2 3 2" xfId="1082"/>
    <cellStyle name="强调文字颜色 3 2 3 2 2" xfId="1748"/>
    <cellStyle name="强调文字颜色 3 2 3 2 2 2" xfId="3073"/>
    <cellStyle name="强调文字颜色 3 2 3 2 2 2 2" xfId="3545"/>
    <cellStyle name="强调文字颜色 3 2 3 2 2 3" xfId="1881"/>
    <cellStyle name="强调文字颜色 3 2 3 2 2 4" xfId="3546"/>
    <cellStyle name="强调文字颜色 3 2 3 2 3" xfId="1747"/>
    <cellStyle name="强调文字颜色 3 2 3 2 3 2" xfId="3072"/>
    <cellStyle name="强调文字颜色 3 2 3 2 3 3" xfId="3547"/>
    <cellStyle name="强调文字颜色 3 2 3 2 4" xfId="3205"/>
    <cellStyle name="强调文字颜色 3 2 3 2 5" xfId="3548"/>
    <cellStyle name="强调文字颜色 3 2 3 3" xfId="1746"/>
    <cellStyle name="强调文字颜色 3 2 3 3 2" xfId="3071"/>
    <cellStyle name="强调文字颜色 3 2 3 3 3" xfId="3549"/>
    <cellStyle name="强调文字颜色 3 2 3 4" xfId="2347"/>
    <cellStyle name="强调文字颜色 3 2 3 5" xfId="3829"/>
    <cellStyle name="强调文字颜色 3 2 4" xfId="634"/>
    <cellStyle name="强调文字颜色 3 2 4 2" xfId="1750"/>
    <cellStyle name="强调文字颜色 3 2 4 2 2" xfId="3075"/>
    <cellStyle name="强调文字颜色 3 2 4 2 2 2" xfId="3550"/>
    <cellStyle name="强调文字颜色 3 2 4 2 3" xfId="2532"/>
    <cellStyle name="强调文字颜色 3 2 4 2 4" xfId="3551"/>
    <cellStyle name="强调文字颜色 3 2 4 3" xfId="1751"/>
    <cellStyle name="强调文字颜色 3 2 4 3 2" xfId="3076"/>
    <cellStyle name="强调文字颜色 3 2 4 3 2 2" xfId="3552"/>
    <cellStyle name="强调文字颜色 3 2 4 3 3" xfId="2159"/>
    <cellStyle name="强调文字颜色 3 2 4 4" xfId="1749"/>
    <cellStyle name="强调文字颜色 3 2 4 4 2" xfId="3074"/>
    <cellStyle name="强调文字颜色 3 2 4 4 3" xfId="3553"/>
    <cellStyle name="强调文字颜色 3 2 4 5" xfId="2642"/>
    <cellStyle name="强调文字颜色 3 2 5" xfId="702"/>
    <cellStyle name="强调文字颜色 3 2 5 2" xfId="1246"/>
    <cellStyle name="强调文字颜色 3 2 5 3" xfId="3554"/>
    <cellStyle name="强调文字颜色 3 2 6" xfId="517"/>
    <cellStyle name="强调文字颜色 3 2 6 2" xfId="3555"/>
    <cellStyle name="强调文字颜色 3 2 7" xfId="1740"/>
    <cellStyle name="强调文字颜色 3 2 7 2" xfId="3065"/>
    <cellStyle name="强调文字颜色 3 2 7 3" xfId="3556"/>
    <cellStyle name="强调文字颜色 3 2 8" xfId="3273"/>
    <cellStyle name="强调文字颜色 3 2 9" xfId="3827"/>
    <cellStyle name="强调文字颜色 4 2" xfId="38"/>
    <cellStyle name="强调文字颜色 4 2 2" xfId="124"/>
    <cellStyle name="强调文字颜色 4 2 2 2" xfId="524"/>
    <cellStyle name="强调文字颜色 4 2 2 2 2" xfId="1084"/>
    <cellStyle name="强调文字颜色 4 2 2 2 2 2" xfId="1755"/>
    <cellStyle name="强调文字颜色 4 2 2 2 2 2 2" xfId="3080"/>
    <cellStyle name="强调文字颜色 4 2 2 2 2 2 3" xfId="3557"/>
    <cellStyle name="强调文字颜色 4 2 2 2 2 3" xfId="1933"/>
    <cellStyle name="强调文字颜色 4 2 2 2 2 4" xfId="3558"/>
    <cellStyle name="强调文字颜色 4 2 2 2 3" xfId="1756"/>
    <cellStyle name="强调文字颜色 4 2 2 2 3 2" xfId="3081"/>
    <cellStyle name="强调文字颜色 4 2 2 2 3 2 2" xfId="3559"/>
    <cellStyle name="强调文字颜色 4 2 2 2 3 3" xfId="2218"/>
    <cellStyle name="强调文字颜色 4 2 2 2 4" xfId="1754"/>
    <cellStyle name="强调文字颜色 4 2 2 2 4 2" xfId="3079"/>
    <cellStyle name="强调文字颜色 4 2 2 2 4 3" xfId="3560"/>
    <cellStyle name="强调文字颜色 4 2 2 2 5" xfId="2177"/>
    <cellStyle name="强调文字颜色 4 2 2 3" xfId="525"/>
    <cellStyle name="强调文字颜色 4 2 2 3 2" xfId="1085"/>
    <cellStyle name="强调文字颜色 4 2 2 3 2 2" xfId="3561"/>
    <cellStyle name="强调文字颜色 4 2 2 3 3" xfId="1757"/>
    <cellStyle name="强调文字颜色 4 2 2 3 3 2" xfId="3082"/>
    <cellStyle name="强调文字颜色 4 2 2 3 3 3" xfId="3562"/>
    <cellStyle name="强调文字颜色 4 2 2 3 4" xfId="2607"/>
    <cellStyle name="强调文字颜色 4 2 2 4" xfId="744"/>
    <cellStyle name="强调文字颜色 4 2 2 4 2" xfId="1323"/>
    <cellStyle name="强调文字颜色 4 2 2 4 3" xfId="3563"/>
    <cellStyle name="强调文字颜色 4 2 2 5" xfId="1083"/>
    <cellStyle name="强调文字颜色 4 2 2 5 2" xfId="3564"/>
    <cellStyle name="强调文字颜色 4 2 2 6" xfId="523"/>
    <cellStyle name="强调文字颜色 4 2 2 7" xfId="1753"/>
    <cellStyle name="强调文字颜色 4 2 2 7 2" xfId="3078"/>
    <cellStyle name="强调文字颜色 4 2 2 8" xfId="3476"/>
    <cellStyle name="强调文字颜色 4 2 2 9" xfId="3831"/>
    <cellStyle name="强调文字颜色 4 2 3" xfId="526"/>
    <cellStyle name="强调文字颜色 4 2 3 2" xfId="1086"/>
    <cellStyle name="强调文字颜色 4 2 3 2 2" xfId="1760"/>
    <cellStyle name="强调文字颜色 4 2 3 2 2 2" xfId="3085"/>
    <cellStyle name="强调文字颜色 4 2 3 2 2 2 2" xfId="3565"/>
    <cellStyle name="强调文字颜色 4 2 3 2 2 3" xfId="3211"/>
    <cellStyle name="强调文字颜色 4 2 3 2 2 4" xfId="3566"/>
    <cellStyle name="强调文字颜色 4 2 3 2 3" xfId="1759"/>
    <cellStyle name="强调文字颜色 4 2 3 2 3 2" xfId="3084"/>
    <cellStyle name="强调文字颜色 4 2 3 2 3 3" xfId="3567"/>
    <cellStyle name="强调文字颜色 4 2 3 2 4" xfId="3341"/>
    <cellStyle name="强调文字颜色 4 2 3 2 5" xfId="3568"/>
    <cellStyle name="强调文字颜色 4 2 3 3" xfId="1758"/>
    <cellStyle name="强调文字颜色 4 2 3 3 2" xfId="3083"/>
    <cellStyle name="强调文字颜色 4 2 3 3 3" xfId="3569"/>
    <cellStyle name="强调文字颜色 4 2 3 4" xfId="2223"/>
    <cellStyle name="强调文字颜色 4 2 3 5" xfId="3832"/>
    <cellStyle name="强调文字颜色 4 2 4" xfId="635"/>
    <cellStyle name="强调文字颜色 4 2 4 2" xfId="1762"/>
    <cellStyle name="强调文字颜色 4 2 4 2 2" xfId="3087"/>
    <cellStyle name="强调文字颜色 4 2 4 2 2 2" xfId="3570"/>
    <cellStyle name="强调文字颜色 4 2 4 2 3" xfId="3210"/>
    <cellStyle name="强调文字颜色 4 2 4 2 4" xfId="3571"/>
    <cellStyle name="强调文字颜色 4 2 4 3" xfId="1763"/>
    <cellStyle name="强调文字颜色 4 2 4 3 2" xfId="3088"/>
    <cellStyle name="强调文字颜色 4 2 4 3 2 2" xfId="3572"/>
    <cellStyle name="强调文字颜色 4 2 4 3 3" xfId="2384"/>
    <cellStyle name="强调文字颜色 4 2 4 4" xfId="1761"/>
    <cellStyle name="强调文字颜色 4 2 4 4 2" xfId="3086"/>
    <cellStyle name="强调文字颜色 4 2 4 4 3" xfId="3573"/>
    <cellStyle name="强调文字颜色 4 2 4 5" xfId="2024"/>
    <cellStyle name="强调文字颜色 4 2 5" xfId="675"/>
    <cellStyle name="强调文字颜色 4 2 5 2" xfId="1247"/>
    <cellStyle name="强调文字颜色 4 2 5 3" xfId="3574"/>
    <cellStyle name="强调文字颜色 4 2 6" xfId="522"/>
    <cellStyle name="强调文字颜色 4 2 6 2" xfId="3575"/>
    <cellStyle name="强调文字颜色 4 2 7" xfId="1752"/>
    <cellStyle name="强调文字颜色 4 2 7 2" xfId="3077"/>
    <cellStyle name="强调文字颜色 4 2 7 3" xfId="3576"/>
    <cellStyle name="强调文字颜色 4 2 8" xfId="2656"/>
    <cellStyle name="强调文字颜色 4 2 9" xfId="3830"/>
    <cellStyle name="强调文字颜色 5 2" xfId="83"/>
    <cellStyle name="强调文字颜色 5 2 2" xfId="169"/>
    <cellStyle name="强调文字颜色 5 2 2 2" xfId="529"/>
    <cellStyle name="强调文字颜色 5 2 2 2 2" xfId="1088"/>
    <cellStyle name="强调文字颜色 5 2 2 2 2 2" xfId="1767"/>
    <cellStyle name="强调文字颜色 5 2 2 2 2 2 2" xfId="3092"/>
    <cellStyle name="强调文字颜色 5 2 2 2 2 2 3" xfId="3577"/>
    <cellStyle name="强调文字颜色 5 2 2 2 2 3" xfId="2618"/>
    <cellStyle name="强调文字颜色 5 2 2 2 2 4" xfId="3578"/>
    <cellStyle name="强调文字颜色 5 2 2 2 3" xfId="1768"/>
    <cellStyle name="强调文字颜色 5 2 2 2 3 2" xfId="3093"/>
    <cellStyle name="强调文字颜色 5 2 2 2 3 2 2" xfId="3579"/>
    <cellStyle name="强调文字颜色 5 2 2 2 3 3" xfId="2248"/>
    <cellStyle name="强调文字颜色 5 2 2 2 4" xfId="1766"/>
    <cellStyle name="强调文字颜色 5 2 2 2 4 2" xfId="3091"/>
    <cellStyle name="强调文字颜色 5 2 2 2 4 3" xfId="3580"/>
    <cellStyle name="强调文字颜色 5 2 2 2 5" xfId="1922"/>
    <cellStyle name="强调文字颜色 5 2 2 3" xfId="530"/>
    <cellStyle name="强调文字颜色 5 2 2 3 2" xfId="1089"/>
    <cellStyle name="强调文字颜色 5 2 2 3 2 2" xfId="3581"/>
    <cellStyle name="强调文字颜色 5 2 2 3 3" xfId="1769"/>
    <cellStyle name="强调文字颜色 5 2 2 3 3 2" xfId="3094"/>
    <cellStyle name="强调文字颜色 5 2 2 3 3 3" xfId="3582"/>
    <cellStyle name="强调文字颜色 5 2 2 3 4" xfId="3209"/>
    <cellStyle name="强调文字颜色 5 2 2 4" xfId="789"/>
    <cellStyle name="强调文字颜色 5 2 2 4 2" xfId="1324"/>
    <cellStyle name="强调文字颜色 5 2 2 4 3" xfId="3583"/>
    <cellStyle name="强调文字颜色 5 2 2 5" xfId="1087"/>
    <cellStyle name="强调文字颜色 5 2 2 5 2" xfId="3584"/>
    <cellStyle name="强调文字颜色 5 2 2 6" xfId="528"/>
    <cellStyle name="强调文字颜色 5 2 2 7" xfId="1765"/>
    <cellStyle name="强调文字颜色 5 2 2 7 2" xfId="3090"/>
    <cellStyle name="强调文字颜色 5 2 2 8" xfId="2620"/>
    <cellStyle name="强调文字颜色 5 2 2 9" xfId="3834"/>
    <cellStyle name="强调文字颜色 5 2 3" xfId="531"/>
    <cellStyle name="强调文字颜色 5 2 3 2" xfId="1090"/>
    <cellStyle name="强调文字颜色 5 2 3 2 2" xfId="1772"/>
    <cellStyle name="强调文字颜色 5 2 3 2 2 2" xfId="3097"/>
    <cellStyle name="强调文字颜色 5 2 3 2 2 2 2" xfId="3585"/>
    <cellStyle name="强调文字颜色 5 2 3 2 2 3" xfId="1911"/>
    <cellStyle name="强调文字颜色 5 2 3 2 2 4" xfId="3586"/>
    <cellStyle name="强调文字颜色 5 2 3 2 3" xfId="1771"/>
    <cellStyle name="强调文字颜色 5 2 3 2 3 2" xfId="3096"/>
    <cellStyle name="强调文字颜色 5 2 3 2 3 3" xfId="3587"/>
    <cellStyle name="强调文字颜色 5 2 3 2 4" xfId="3315"/>
    <cellStyle name="强调文字颜色 5 2 3 2 5" xfId="3588"/>
    <cellStyle name="强调文字颜色 5 2 3 3" xfId="1770"/>
    <cellStyle name="强调文字颜色 5 2 3 3 2" xfId="3095"/>
    <cellStyle name="强调文字颜色 5 2 3 3 3" xfId="3589"/>
    <cellStyle name="强调文字颜色 5 2 3 4" xfId="2204"/>
    <cellStyle name="强调文字颜色 5 2 3 5" xfId="3835"/>
    <cellStyle name="强调文字颜色 5 2 4" xfId="636"/>
    <cellStyle name="强调文字颜色 5 2 4 2" xfId="1774"/>
    <cellStyle name="强调文字颜色 5 2 4 2 2" xfId="3099"/>
    <cellStyle name="强调文字颜色 5 2 4 2 2 2" xfId="3590"/>
    <cellStyle name="强调文字颜色 5 2 4 2 3" xfId="2591"/>
    <cellStyle name="强调文字颜色 5 2 4 2 4" xfId="3591"/>
    <cellStyle name="强调文字颜色 5 2 4 3" xfId="1775"/>
    <cellStyle name="强调文字颜色 5 2 4 3 2" xfId="3100"/>
    <cellStyle name="强调文字颜色 5 2 4 3 2 2" xfId="3592"/>
    <cellStyle name="强调文字颜色 5 2 4 3 3" xfId="2415"/>
    <cellStyle name="强调文字颜色 5 2 4 4" xfId="1773"/>
    <cellStyle name="强调文字颜色 5 2 4 4 2" xfId="3098"/>
    <cellStyle name="强调文字颜色 5 2 4 4 3" xfId="3593"/>
    <cellStyle name="强调文字颜色 5 2 4 5" xfId="3212"/>
    <cellStyle name="强调文字颜色 5 2 5" xfId="703"/>
    <cellStyle name="强调文字颜色 5 2 5 2" xfId="1248"/>
    <cellStyle name="强调文字颜色 5 2 5 3" xfId="3594"/>
    <cellStyle name="强调文字颜色 5 2 6" xfId="527"/>
    <cellStyle name="强调文字颜色 5 2 6 2" xfId="3595"/>
    <cellStyle name="强调文字颜色 5 2 7" xfId="1764"/>
    <cellStyle name="强调文字颜色 5 2 7 2" xfId="3089"/>
    <cellStyle name="强调文字颜色 5 2 7 3" xfId="3596"/>
    <cellStyle name="强调文字颜色 5 2 8" xfId="3316"/>
    <cellStyle name="强调文字颜色 5 2 9" xfId="3833"/>
    <cellStyle name="强调文字颜色 6 2" xfId="84"/>
    <cellStyle name="强调文字颜色 6 2 2" xfId="170"/>
    <cellStyle name="强调文字颜色 6 2 2 2" xfId="534"/>
    <cellStyle name="强调文字颜色 6 2 2 2 2" xfId="1092"/>
    <cellStyle name="强调文字颜色 6 2 2 2 2 2" xfId="1779"/>
    <cellStyle name="强调文字颜色 6 2 2 2 2 2 2" xfId="3104"/>
    <cellStyle name="强调文字颜色 6 2 2 2 2 2 3" xfId="3597"/>
    <cellStyle name="强调文字颜色 6 2 2 2 2 3" xfId="2049"/>
    <cellStyle name="强调文字颜色 6 2 2 2 2 4" xfId="3598"/>
    <cellStyle name="强调文字颜色 6 2 2 2 3" xfId="1780"/>
    <cellStyle name="强调文字颜色 6 2 2 2 3 2" xfId="3105"/>
    <cellStyle name="强调文字颜色 6 2 2 2 3 2 2" xfId="3599"/>
    <cellStyle name="强调文字颜色 6 2 2 2 3 3" xfId="2198"/>
    <cellStyle name="强调文字颜色 6 2 2 2 4" xfId="1778"/>
    <cellStyle name="强调文字颜色 6 2 2 2 4 2" xfId="3103"/>
    <cellStyle name="强调文字颜色 6 2 2 2 4 3" xfId="3600"/>
    <cellStyle name="强调文字颜色 6 2 2 2 5" xfId="3167"/>
    <cellStyle name="强调文字颜色 6 2 2 3" xfId="535"/>
    <cellStyle name="强调文字颜色 6 2 2 3 2" xfId="1093"/>
    <cellStyle name="强调文字颜色 6 2 2 3 2 2" xfId="3601"/>
    <cellStyle name="强调文字颜色 6 2 2 3 3" xfId="1781"/>
    <cellStyle name="强调文字颜色 6 2 2 3 3 2" xfId="3106"/>
    <cellStyle name="强调文字颜色 6 2 2 3 3 3" xfId="3602"/>
    <cellStyle name="强调文字颜色 6 2 2 3 4" xfId="3216"/>
    <cellStyle name="强调文字颜色 6 2 2 4" xfId="790"/>
    <cellStyle name="强调文字颜色 6 2 2 4 2" xfId="1325"/>
    <cellStyle name="强调文字颜色 6 2 2 4 3" xfId="3603"/>
    <cellStyle name="强调文字颜色 6 2 2 5" xfId="1091"/>
    <cellStyle name="强调文字颜色 6 2 2 5 2" xfId="3604"/>
    <cellStyle name="强调文字颜色 6 2 2 6" xfId="533"/>
    <cellStyle name="强调文字颜色 6 2 2 7" xfId="1777"/>
    <cellStyle name="强调文字颜色 6 2 2 7 2" xfId="3102"/>
    <cellStyle name="强调文字颜色 6 2 2 8" xfId="2426"/>
    <cellStyle name="强调文字颜色 6 2 2 9" xfId="3837"/>
    <cellStyle name="强调文字颜色 6 2 3" xfId="536"/>
    <cellStyle name="强调文字颜色 6 2 3 2" xfId="1094"/>
    <cellStyle name="强调文字颜色 6 2 3 2 2" xfId="1784"/>
    <cellStyle name="强调文字颜色 6 2 3 2 2 2" xfId="3109"/>
    <cellStyle name="强调文字颜色 6 2 3 2 2 2 2" xfId="3605"/>
    <cellStyle name="强调文字颜色 6 2 3 2 2 3" xfId="1902"/>
    <cellStyle name="强调文字颜色 6 2 3 2 2 4" xfId="3606"/>
    <cellStyle name="强调文字颜色 6 2 3 2 3" xfId="1783"/>
    <cellStyle name="强调文字颜色 6 2 3 2 3 2" xfId="3108"/>
    <cellStyle name="强调文字颜色 6 2 3 2 3 3" xfId="3607"/>
    <cellStyle name="强调文字颜色 6 2 3 2 4" xfId="2605"/>
    <cellStyle name="强调文字颜色 6 2 3 2 5" xfId="3608"/>
    <cellStyle name="强调文字颜色 6 2 3 3" xfId="1782"/>
    <cellStyle name="强调文字颜色 6 2 3 3 2" xfId="3107"/>
    <cellStyle name="强调文字颜色 6 2 3 3 3" xfId="3609"/>
    <cellStyle name="强调文字颜色 6 2 3 4" xfId="2351"/>
    <cellStyle name="强调文字颜色 6 2 3 5" xfId="3838"/>
    <cellStyle name="强调文字颜色 6 2 4" xfId="637"/>
    <cellStyle name="强调文字颜色 6 2 4 2" xfId="1786"/>
    <cellStyle name="强调文字颜色 6 2 4 2 2" xfId="3111"/>
    <cellStyle name="强调文字颜色 6 2 4 2 2 2" xfId="3610"/>
    <cellStyle name="强调文字颜色 6 2 4 2 3" xfId="2036"/>
    <cellStyle name="强调文字颜色 6 2 4 2 4" xfId="3611"/>
    <cellStyle name="强调文字颜色 6 2 4 3" xfId="1787"/>
    <cellStyle name="强调文字颜色 6 2 4 3 2" xfId="3112"/>
    <cellStyle name="强调文字颜色 6 2 4 3 2 2" xfId="3612"/>
    <cellStyle name="强调文字颜色 6 2 4 3 3" xfId="2231"/>
    <cellStyle name="强调文字颜色 6 2 4 4" xfId="1785"/>
    <cellStyle name="强调文字颜色 6 2 4 4 2" xfId="3110"/>
    <cellStyle name="强调文字颜色 6 2 4 4 3" xfId="3613"/>
    <cellStyle name="强调文字颜色 6 2 4 5" xfId="3208"/>
    <cellStyle name="强调文字颜色 6 2 5" xfId="704"/>
    <cellStyle name="强调文字颜色 6 2 5 2" xfId="1249"/>
    <cellStyle name="强调文字颜色 6 2 5 3" xfId="3614"/>
    <cellStyle name="强调文字颜色 6 2 6" xfId="532"/>
    <cellStyle name="强调文字颜色 6 2 6 2" xfId="3615"/>
    <cellStyle name="强调文字颜色 6 2 7" xfId="1776"/>
    <cellStyle name="强调文字颜色 6 2 7 2" xfId="3101"/>
    <cellStyle name="强调文字颜色 6 2 7 3" xfId="3616"/>
    <cellStyle name="强调文字颜色 6 2 8" xfId="2632"/>
    <cellStyle name="强调文字颜色 6 2 9" xfId="3836"/>
    <cellStyle name="适中 2" xfId="13"/>
    <cellStyle name="适中 2 2" xfId="99"/>
    <cellStyle name="适中 2 2 2" xfId="539"/>
    <cellStyle name="适中 2 2 2 2" xfId="1096"/>
    <cellStyle name="适中 2 2 2 2 2" xfId="1791"/>
    <cellStyle name="适中 2 2 2 2 2 2" xfId="3116"/>
    <cellStyle name="适中 2 2 2 2 2 3" xfId="3617"/>
    <cellStyle name="适中 2 2 2 2 3" xfId="2468"/>
    <cellStyle name="适中 2 2 2 2 4" xfId="3618"/>
    <cellStyle name="适中 2 2 2 3" xfId="1792"/>
    <cellStyle name="适中 2 2 2 3 2" xfId="3117"/>
    <cellStyle name="适中 2 2 2 3 2 2" xfId="3619"/>
    <cellStyle name="适中 2 2 2 3 3" xfId="3319"/>
    <cellStyle name="适中 2 2 2 4" xfId="1790"/>
    <cellStyle name="适中 2 2 2 4 2" xfId="3115"/>
    <cellStyle name="适中 2 2 2 4 3" xfId="3620"/>
    <cellStyle name="适中 2 2 2 5" xfId="2296"/>
    <cellStyle name="适中 2 2 3" xfId="540"/>
    <cellStyle name="适中 2 2 3 2" xfId="1097"/>
    <cellStyle name="适中 2 2 3 2 2" xfId="3621"/>
    <cellStyle name="适中 2 2 3 3" xfId="1793"/>
    <cellStyle name="适中 2 2 3 3 2" xfId="3118"/>
    <cellStyle name="适中 2 2 3 3 3" xfId="3622"/>
    <cellStyle name="适中 2 2 3 4" xfId="1985"/>
    <cellStyle name="适中 2 2 4" xfId="719"/>
    <cellStyle name="适中 2 2 4 2" xfId="1326"/>
    <cellStyle name="适中 2 2 4 3" xfId="3623"/>
    <cellStyle name="适中 2 2 5" xfId="1095"/>
    <cellStyle name="适中 2 2 5 2" xfId="3624"/>
    <cellStyle name="适中 2 2 6" xfId="538"/>
    <cellStyle name="适中 2 2 7" xfId="1789"/>
    <cellStyle name="适中 2 2 7 2" xfId="3114"/>
    <cellStyle name="适中 2 2 8" xfId="3215"/>
    <cellStyle name="适中 2 2 9" xfId="3840"/>
    <cellStyle name="适中 2 3" xfId="541"/>
    <cellStyle name="适中 2 3 2" xfId="1098"/>
    <cellStyle name="适中 2 3 2 2" xfId="1796"/>
    <cellStyle name="适中 2 3 2 2 2" xfId="3121"/>
    <cellStyle name="适中 2 3 2 2 2 2" xfId="3625"/>
    <cellStyle name="适中 2 3 2 2 3" xfId="2414"/>
    <cellStyle name="适中 2 3 2 2 4" xfId="3626"/>
    <cellStyle name="适中 2 3 2 3" xfId="1795"/>
    <cellStyle name="适中 2 3 2 3 2" xfId="3120"/>
    <cellStyle name="适中 2 3 2 3 3" xfId="3627"/>
    <cellStyle name="适中 2 3 2 4" xfId="2236"/>
    <cellStyle name="适中 2 3 2 5" xfId="3628"/>
    <cellStyle name="适中 2 3 3" xfId="1794"/>
    <cellStyle name="适中 2 3 3 2" xfId="3119"/>
    <cellStyle name="适中 2 3 3 3" xfId="3629"/>
    <cellStyle name="适中 2 3 4" xfId="3218"/>
    <cellStyle name="适中 2 3 5" xfId="3841"/>
    <cellStyle name="适中 2 4" xfId="638"/>
    <cellStyle name="适中 2 4 2" xfId="1798"/>
    <cellStyle name="适中 2 4 2 2" xfId="3123"/>
    <cellStyle name="适中 2 4 2 2 2" xfId="3630"/>
    <cellStyle name="适中 2 4 2 3" xfId="2400"/>
    <cellStyle name="适中 2 4 2 4" xfId="3631"/>
    <cellStyle name="适中 2 4 3" xfId="1799"/>
    <cellStyle name="适中 2 4 3 2" xfId="3124"/>
    <cellStyle name="适中 2 4 3 2 2" xfId="3632"/>
    <cellStyle name="适中 2 4 3 3" xfId="3214"/>
    <cellStyle name="适中 2 4 4" xfId="1797"/>
    <cellStyle name="适中 2 4 4 2" xfId="3122"/>
    <cellStyle name="适中 2 4 4 3" xfId="3633"/>
    <cellStyle name="适中 2 4 5" xfId="3272"/>
    <cellStyle name="适中 2 5" xfId="653"/>
    <cellStyle name="适中 2 5 2" xfId="1250"/>
    <cellStyle name="适中 2 5 3" xfId="3634"/>
    <cellStyle name="适中 2 6" xfId="537"/>
    <cellStyle name="适中 2 6 2" xfId="3635"/>
    <cellStyle name="适中 2 7" xfId="1788"/>
    <cellStyle name="适中 2 7 2" xfId="3113"/>
    <cellStyle name="适中 2 7 3" xfId="3636"/>
    <cellStyle name="适中 2 8" xfId="2179"/>
    <cellStyle name="适中 2 9" xfId="3839"/>
    <cellStyle name="输出 2" xfId="9"/>
    <cellStyle name="输出 2 2" xfId="95"/>
    <cellStyle name="输出 2 2 2" xfId="544"/>
    <cellStyle name="输出 2 2 2 2" xfId="1100"/>
    <cellStyle name="输出 2 2 2 2 2" xfId="1803"/>
    <cellStyle name="输出 2 2 2 2 2 2" xfId="3128"/>
    <cellStyle name="输出 2 2 2 2 2 3" xfId="3637"/>
    <cellStyle name="输出 2 2 2 2 3" xfId="3213"/>
    <cellStyle name="输出 2 2 2 2 4" xfId="3638"/>
    <cellStyle name="输出 2 2 2 3" xfId="1252"/>
    <cellStyle name="输出 2 2 2 3 2" xfId="1804"/>
    <cellStyle name="输出 2 2 2 3 2 2" xfId="3129"/>
    <cellStyle name="输出 2 2 2 3 2 3" xfId="3639"/>
    <cellStyle name="输出 2 2 2 3 3" xfId="1928"/>
    <cellStyle name="输出 2 2 2 4" xfId="1802"/>
    <cellStyle name="输出 2 2 2 4 2" xfId="3127"/>
    <cellStyle name="输出 2 2 2 4 3" xfId="3640"/>
    <cellStyle name="输出 2 2 2 5" xfId="3217"/>
    <cellStyle name="输出 2 2 3" xfId="545"/>
    <cellStyle name="输出 2 2 3 2" xfId="1101"/>
    <cellStyle name="输出 2 2 3 2 2" xfId="3641"/>
    <cellStyle name="输出 2 2 3 3" xfId="1253"/>
    <cellStyle name="输出 2 2 3 3 2" xfId="3642"/>
    <cellStyle name="输出 2 2 3 4" xfId="1805"/>
    <cellStyle name="输出 2 2 3 4 2" xfId="3130"/>
    <cellStyle name="输出 2 2 3 5" xfId="3318"/>
    <cellStyle name="输出 2 2 4" xfId="715"/>
    <cellStyle name="输出 2 2 4 2" xfId="1327"/>
    <cellStyle name="输出 2 2 4 3" xfId="3643"/>
    <cellStyle name="输出 2 2 5" xfId="1099"/>
    <cellStyle name="输出 2 2 5 2" xfId="3644"/>
    <cellStyle name="输出 2 2 6" xfId="543"/>
    <cellStyle name="输出 2 2 7" xfId="1801"/>
    <cellStyle name="输出 2 2 7 2" xfId="3126"/>
    <cellStyle name="输出 2 2 8" xfId="2098"/>
    <cellStyle name="输出 2 2 9" xfId="3843"/>
    <cellStyle name="输出 2 3" xfId="546"/>
    <cellStyle name="输出 2 3 2" xfId="1102"/>
    <cellStyle name="输出 2 3 2 2" xfId="1808"/>
    <cellStyle name="输出 2 3 2 2 2" xfId="3133"/>
    <cellStyle name="输出 2 3 2 2 2 2" xfId="3645"/>
    <cellStyle name="输出 2 3 2 2 3" xfId="3165"/>
    <cellStyle name="输出 2 3 2 2 4" xfId="3646"/>
    <cellStyle name="输出 2 3 2 3" xfId="1807"/>
    <cellStyle name="输出 2 3 2 3 2" xfId="3132"/>
    <cellStyle name="输出 2 3 2 3 3" xfId="3647"/>
    <cellStyle name="输出 2 3 2 4" xfId="3163"/>
    <cellStyle name="输出 2 3 2 5" xfId="3648"/>
    <cellStyle name="输出 2 3 3" xfId="1254"/>
    <cellStyle name="输出 2 3 3 2" xfId="3649"/>
    <cellStyle name="输出 2 3 4" xfId="1806"/>
    <cellStyle name="输出 2 3 4 2" xfId="3131"/>
    <cellStyle name="输出 2 3 4 3" xfId="3650"/>
    <cellStyle name="输出 2 3 5" xfId="2274"/>
    <cellStyle name="输出 2 3 6" xfId="3844"/>
    <cellStyle name="输出 2 4" xfId="639"/>
    <cellStyle name="输出 2 4 2" xfId="1263"/>
    <cellStyle name="输出 2 4 2 2" xfId="1810"/>
    <cellStyle name="输出 2 4 2 2 2" xfId="3135"/>
    <cellStyle name="输出 2 4 2 2 3" xfId="3651"/>
    <cellStyle name="输出 2 4 2 3" xfId="3291"/>
    <cellStyle name="输出 2 4 2 4" xfId="3652"/>
    <cellStyle name="输出 2 4 3" xfId="1811"/>
    <cellStyle name="输出 2 4 3 2" xfId="3136"/>
    <cellStyle name="输出 2 4 3 2 2" xfId="3653"/>
    <cellStyle name="输出 2 4 3 3" xfId="2480"/>
    <cellStyle name="输出 2 4 4" xfId="1809"/>
    <cellStyle name="输出 2 4 4 2" xfId="3134"/>
    <cellStyle name="输出 2 4 4 3" xfId="3654"/>
    <cellStyle name="输出 2 4 5" xfId="2018"/>
    <cellStyle name="输出 2 5" xfId="649"/>
    <cellStyle name="输出 2 5 2" xfId="1251"/>
    <cellStyle name="输出 2 5 3" xfId="3655"/>
    <cellStyle name="输出 2 6" xfId="542"/>
    <cellStyle name="输出 2 6 2" xfId="3656"/>
    <cellStyle name="输出 2 7" xfId="1800"/>
    <cellStyle name="输出 2 7 2" xfId="3125"/>
    <cellStyle name="输出 2 7 3" xfId="3657"/>
    <cellStyle name="输出 2 8" xfId="3320"/>
    <cellStyle name="输出 2 9" xfId="3842"/>
    <cellStyle name="输入 2" xfId="85"/>
    <cellStyle name="输入 2 2" xfId="171"/>
    <cellStyle name="输入 2 2 2" xfId="549"/>
    <cellStyle name="输入 2 2 2 2" xfId="1104"/>
    <cellStyle name="输入 2 2 2 2 2" xfId="1815"/>
    <cellStyle name="输入 2 2 2 2 2 2" xfId="3140"/>
    <cellStyle name="输入 2 2 2 2 2 3" xfId="3658"/>
    <cellStyle name="输入 2 2 2 2 3" xfId="2495"/>
    <cellStyle name="输入 2 2 2 2 4" xfId="3659"/>
    <cellStyle name="输入 2 2 2 3" xfId="1256"/>
    <cellStyle name="输入 2 2 2 3 2" xfId="1816"/>
    <cellStyle name="输入 2 2 2 3 2 2" xfId="3141"/>
    <cellStyle name="输入 2 2 2 3 2 3" xfId="3660"/>
    <cellStyle name="输入 2 2 2 3 3" xfId="1951"/>
    <cellStyle name="输入 2 2 2 4" xfId="1814"/>
    <cellStyle name="输入 2 2 2 4 2" xfId="3139"/>
    <cellStyle name="输入 2 2 2 4 3" xfId="3661"/>
    <cellStyle name="输入 2 2 2 5" xfId="2567"/>
    <cellStyle name="输入 2 2 3" xfId="550"/>
    <cellStyle name="输入 2 2 3 2" xfId="1105"/>
    <cellStyle name="输入 2 2 3 2 2" xfId="3662"/>
    <cellStyle name="输入 2 2 3 3" xfId="1257"/>
    <cellStyle name="输入 2 2 3 3 2" xfId="3663"/>
    <cellStyle name="输入 2 2 3 4" xfId="1817"/>
    <cellStyle name="输入 2 2 3 4 2" xfId="3142"/>
    <cellStyle name="输入 2 2 3 5" xfId="2485"/>
    <cellStyle name="输入 2 2 4" xfId="791"/>
    <cellStyle name="输入 2 2 4 2" xfId="1328"/>
    <cellStyle name="输入 2 2 4 3" xfId="3664"/>
    <cellStyle name="输入 2 2 5" xfId="1103"/>
    <cellStyle name="输入 2 2 5 2" xfId="3665"/>
    <cellStyle name="输入 2 2 6" xfId="548"/>
    <cellStyle name="输入 2 2 7" xfId="1813"/>
    <cellStyle name="输入 2 2 7 2" xfId="3138"/>
    <cellStyle name="输入 2 2 8" xfId="2027"/>
    <cellStyle name="输入 2 2 9" xfId="3846"/>
    <cellStyle name="输入 2 3" xfId="551"/>
    <cellStyle name="输入 2 3 2" xfId="1106"/>
    <cellStyle name="输入 2 3 2 2" xfId="1820"/>
    <cellStyle name="输入 2 3 2 2 2" xfId="3145"/>
    <cellStyle name="输入 2 3 2 2 2 2" xfId="3666"/>
    <cellStyle name="输入 2 3 2 2 3" xfId="3292"/>
    <cellStyle name="输入 2 3 2 2 4" xfId="3667"/>
    <cellStyle name="输入 2 3 2 3" xfId="1819"/>
    <cellStyle name="输入 2 3 2 3 2" xfId="3144"/>
    <cellStyle name="输入 2 3 2 3 3" xfId="3668"/>
    <cellStyle name="输入 2 3 2 4" xfId="2144"/>
    <cellStyle name="输入 2 3 2 5" xfId="3669"/>
    <cellStyle name="输入 2 3 3" xfId="1258"/>
    <cellStyle name="输入 2 3 3 2" xfId="3670"/>
    <cellStyle name="输入 2 3 4" xfId="1818"/>
    <cellStyle name="输入 2 3 4 2" xfId="3143"/>
    <cellStyle name="输入 2 3 4 3" xfId="3671"/>
    <cellStyle name="输入 2 3 5" xfId="2119"/>
    <cellStyle name="输入 2 3 6" xfId="3847"/>
    <cellStyle name="输入 2 4" xfId="640"/>
    <cellStyle name="输入 2 4 2" xfId="1822"/>
    <cellStyle name="输入 2 4 2 2" xfId="3147"/>
    <cellStyle name="输入 2 4 2 2 2" xfId="3672"/>
    <cellStyle name="输入 2 4 2 3" xfId="1848"/>
    <cellStyle name="输入 2 4 2 4" xfId="3673"/>
    <cellStyle name="输入 2 4 3" xfId="1823"/>
    <cellStyle name="输入 2 4 3 2" xfId="3148"/>
    <cellStyle name="输入 2 4 3 2 2" xfId="3674"/>
    <cellStyle name="输入 2 4 3 3" xfId="2114"/>
    <cellStyle name="输入 2 4 4" xfId="1821"/>
    <cellStyle name="输入 2 4 4 2" xfId="3146"/>
    <cellStyle name="输入 2 4 4 3" xfId="3675"/>
    <cellStyle name="输入 2 4 5" xfId="3270"/>
    <cellStyle name="输入 2 5" xfId="705"/>
    <cellStyle name="输入 2 5 2" xfId="1255"/>
    <cellStyle name="输入 2 5 3" xfId="3676"/>
    <cellStyle name="输入 2 6" xfId="547"/>
    <cellStyle name="输入 2 6 2" xfId="3677"/>
    <cellStyle name="输入 2 7" xfId="1812"/>
    <cellStyle name="输入 2 7 2" xfId="3137"/>
    <cellStyle name="输入 2 7 3" xfId="3678"/>
    <cellStyle name="输入 2 8" xfId="3358"/>
    <cellStyle name="输入 2 9" xfId="3845"/>
    <cellStyle name="注释 2" xfId="86"/>
    <cellStyle name="注释 2 2" xfId="172"/>
    <cellStyle name="注释 2 2 2" xfId="554"/>
    <cellStyle name="注释 2 2 2 2" xfId="1108"/>
    <cellStyle name="注释 2 2 2 2 2" xfId="1827"/>
    <cellStyle name="注释 2 2 2 2 2 2" xfId="3152"/>
    <cellStyle name="注释 2 2 2 2 2 3" xfId="3679"/>
    <cellStyle name="注释 2 2 2 2 3" xfId="2418"/>
    <cellStyle name="注释 2 2 2 2 4" xfId="3680"/>
    <cellStyle name="注释 2 2 2 3" xfId="1260"/>
    <cellStyle name="注释 2 2 2 3 2" xfId="1828"/>
    <cellStyle name="注释 2 2 2 3 2 2" xfId="3153"/>
    <cellStyle name="注释 2 2 2 3 2 3" xfId="3681"/>
    <cellStyle name="注释 2 2 2 3 3" xfId="2637"/>
    <cellStyle name="注释 2 2 2 4" xfId="1826"/>
    <cellStyle name="注释 2 2 2 4 2" xfId="3151"/>
    <cellStyle name="注释 2 2 2 4 3" xfId="3682"/>
    <cellStyle name="注释 2 2 2 5" xfId="2352"/>
    <cellStyle name="注释 2 2 3" xfId="792"/>
    <cellStyle name="注释 2 2 3 2" xfId="1331"/>
    <cellStyle name="注释 2 2 3 2 2" xfId="3683"/>
    <cellStyle name="注释 2 2 3 3" xfId="1119"/>
    <cellStyle name="注释 2 2 3 3 2" xfId="3684"/>
    <cellStyle name="注释 2 2 3 4" xfId="1829"/>
    <cellStyle name="注释 2 2 3 4 2" xfId="3154"/>
    <cellStyle name="注释 2 2 3 5" xfId="2614"/>
    <cellStyle name="注释 2 2 4" xfId="1107"/>
    <cellStyle name="注释 2 2 4 2" xfId="3685"/>
    <cellStyle name="注释 2 2 5" xfId="553"/>
    <cellStyle name="注释 2 2 5 2" xfId="3686"/>
    <cellStyle name="注释 2 2 6" xfId="1825"/>
    <cellStyle name="注释 2 2 6 2" xfId="3150"/>
    <cellStyle name="注释 2 2 7" xfId="1901"/>
    <cellStyle name="注释 2 2 8" xfId="3849"/>
    <cellStyle name="注释 2 3" xfId="555"/>
    <cellStyle name="注释 2 3 2" xfId="1109"/>
    <cellStyle name="注释 2 3 2 2" xfId="1832"/>
    <cellStyle name="注释 2 3 2 2 2" xfId="3157"/>
    <cellStyle name="注释 2 3 2 2 2 2" xfId="3687"/>
    <cellStyle name="注释 2 3 2 2 3" xfId="2455"/>
    <cellStyle name="注释 2 3 2 2 4" xfId="3688"/>
    <cellStyle name="注释 2 3 2 3" xfId="1831"/>
    <cellStyle name="注释 2 3 2 3 2" xfId="3156"/>
    <cellStyle name="注释 2 3 2 3 3" xfId="3689"/>
    <cellStyle name="注释 2 3 2 4" xfId="3336"/>
    <cellStyle name="注释 2 3 2 5" xfId="3690"/>
    <cellStyle name="注释 2 3 3" xfId="1261"/>
    <cellStyle name="注释 2 3 3 2" xfId="3691"/>
    <cellStyle name="注释 2 3 4" xfId="1830"/>
    <cellStyle name="注释 2 3 4 2" xfId="3155"/>
    <cellStyle name="注释 2 3 4 3" xfId="3692"/>
    <cellStyle name="注释 2 3 5" xfId="3268"/>
    <cellStyle name="注释 2 3 6" xfId="3850"/>
    <cellStyle name="注释 2 4" xfId="641"/>
    <cellStyle name="注释 2 4 2" xfId="1834"/>
    <cellStyle name="注释 2 4 2 2" xfId="3159"/>
    <cellStyle name="注释 2 4 2 2 2" xfId="3693"/>
    <cellStyle name="注释 2 4 2 3" xfId="2178"/>
    <cellStyle name="注释 2 4 2 4" xfId="3694"/>
    <cellStyle name="注释 2 4 3" xfId="1835"/>
    <cellStyle name="注释 2 4 3 2" xfId="3160"/>
    <cellStyle name="注释 2 4 3 2 2" xfId="3695"/>
    <cellStyle name="注释 2 4 3 3" xfId="1983"/>
    <cellStyle name="注释 2 4 4" xfId="1833"/>
    <cellStyle name="注释 2 4 4 2" xfId="3158"/>
    <cellStyle name="注释 2 4 4 3" xfId="3696"/>
    <cellStyle name="注释 2 4 5" xfId="2540"/>
    <cellStyle name="注释 2 5" xfId="706"/>
    <cellStyle name="注释 2 5 2" xfId="1259"/>
    <cellStyle name="注释 2 5 3" xfId="3697"/>
    <cellStyle name="注释 2 6" xfId="552"/>
    <cellStyle name="注释 2 6 2" xfId="3698"/>
    <cellStyle name="注释 2 7" xfId="1824"/>
    <cellStyle name="注释 2 7 2" xfId="3149"/>
    <cellStyle name="注释 2 7 3" xfId="3699"/>
    <cellStyle name="注释 2 8" xfId="1861"/>
    <cellStyle name="注释 2 9" xfId="3848"/>
  </cellStyles>
  <dxfs count="0"/>
  <tableStyles count="0" defaultTableStyle="TableStyleMedium2" defaultPivotStyle="PivotStyleMedium9"/>
  <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8"/>
  <sheetViews>
    <sheetView tabSelected="1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A14" sqref="A14:XFD14"/>
    </sheetView>
  </sheetViews>
  <sheetFormatPr defaultRowHeight="13.5" x14ac:dyDescent="0.15"/>
  <cols>
    <col min="1" max="1" width="8.5" style="1" bestFit="1" customWidth="1"/>
    <col min="2" max="2" width="12" style="1" customWidth="1"/>
    <col min="3" max="3" width="15.625" style="1" customWidth="1"/>
    <col min="4" max="4" width="24.5" style="2" customWidth="1"/>
    <col min="5" max="5" width="18.25" style="2" customWidth="1"/>
    <col min="6" max="6" width="19.5" style="2" customWidth="1"/>
    <col min="7" max="7" width="10.75" style="2" customWidth="1"/>
    <col min="8" max="8" width="15.75" style="2" customWidth="1"/>
    <col min="9" max="9" width="17" style="2" customWidth="1"/>
    <col min="10" max="10" width="20.75" style="2" customWidth="1"/>
    <col min="11" max="11" width="15.75" style="2" customWidth="1"/>
    <col min="12" max="12" width="13.25" style="2" customWidth="1"/>
    <col min="13" max="13" width="15.75" style="2" customWidth="1"/>
    <col min="14" max="14" width="14.5" style="2" customWidth="1"/>
    <col min="15" max="15" width="17" style="2" customWidth="1"/>
    <col min="16" max="16" width="14.5" style="2" customWidth="1"/>
    <col min="17" max="17" width="17" style="2" customWidth="1"/>
    <col min="18" max="18" width="19.5" style="2" customWidth="1"/>
    <col min="19" max="19" width="10.75" style="2" customWidth="1"/>
    <col min="20" max="20" width="19.5" style="2" customWidth="1"/>
    <col min="21" max="21" width="22" style="18" customWidth="1"/>
    <col min="22" max="22" width="29.375" style="2" customWidth="1"/>
    <col min="23" max="23" width="24" style="2" customWidth="1"/>
    <col min="24" max="24" width="18.25" style="2" customWidth="1"/>
    <col min="25" max="25" width="18.625" style="2" customWidth="1"/>
    <col min="26" max="26" width="18.25" style="2" customWidth="1"/>
    <col min="27" max="27" width="18.625" style="2" customWidth="1"/>
    <col min="28" max="29" width="22" style="2" customWidth="1"/>
    <col min="30" max="30" width="21" style="2" customWidth="1"/>
    <col min="31" max="31" width="28.25" style="2" customWidth="1"/>
    <col min="32" max="32" width="36.125" style="2" customWidth="1"/>
    <col min="33" max="33" width="24.5" style="2" bestFit="1" customWidth="1"/>
    <col min="34" max="34" width="24.5" style="2" customWidth="1"/>
    <col min="35" max="35" width="23" style="2" customWidth="1"/>
    <col min="36" max="36" width="24.5" style="2" bestFit="1" customWidth="1"/>
    <col min="37" max="16384" width="9" style="2"/>
  </cols>
  <sheetData>
    <row r="1" spans="1:36" s="5" customFormat="1" x14ac:dyDescent="0.15">
      <c r="A1" s="5" t="s">
        <v>0</v>
      </c>
      <c r="B1" s="5" t="s">
        <v>97</v>
      </c>
      <c r="C1" s="5" t="s">
        <v>98</v>
      </c>
      <c r="D1" s="5" t="s">
        <v>1</v>
      </c>
      <c r="E1" s="5" t="s">
        <v>2</v>
      </c>
      <c r="F1" s="5" t="s">
        <v>3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5" t="s">
        <v>83</v>
      </c>
      <c r="M1" s="5" t="s">
        <v>84</v>
      </c>
      <c r="N1" s="5" t="s">
        <v>85</v>
      </c>
      <c r="O1" s="5" t="s">
        <v>86</v>
      </c>
      <c r="P1" s="5" t="s">
        <v>87</v>
      </c>
      <c r="Q1" s="5" t="s">
        <v>88</v>
      </c>
      <c r="R1" s="5" t="s">
        <v>89</v>
      </c>
      <c r="S1" s="5" t="s">
        <v>90</v>
      </c>
      <c r="T1" s="5" t="s">
        <v>91</v>
      </c>
      <c r="U1" s="14" t="s">
        <v>99</v>
      </c>
      <c r="V1" s="5" t="s">
        <v>100</v>
      </c>
      <c r="W1" s="5" t="s">
        <v>101</v>
      </c>
      <c r="X1" s="5" t="s">
        <v>102</v>
      </c>
      <c r="Y1" s="5" t="s">
        <v>103</v>
      </c>
      <c r="Z1" s="5" t="s">
        <v>104</v>
      </c>
      <c r="AA1" s="5" t="s">
        <v>105</v>
      </c>
      <c r="AB1" s="5" t="s">
        <v>106</v>
      </c>
      <c r="AC1" s="5" t="s">
        <v>107</v>
      </c>
      <c r="AD1" s="5" t="s">
        <v>108</v>
      </c>
      <c r="AE1" s="5" t="s">
        <v>136</v>
      </c>
      <c r="AF1" s="5" t="s">
        <v>132</v>
      </c>
      <c r="AG1" s="5" t="s">
        <v>139</v>
      </c>
      <c r="AH1" s="5" t="s">
        <v>141</v>
      </c>
      <c r="AI1" s="5" t="s">
        <v>163</v>
      </c>
      <c r="AJ1" s="5" t="s">
        <v>164</v>
      </c>
    </row>
    <row r="2" spans="1:36" s="6" customFormat="1" x14ac:dyDescent="0.15">
      <c r="A2" s="6" t="s">
        <v>18</v>
      </c>
      <c r="B2" s="6" t="s">
        <v>109</v>
      </c>
      <c r="C2" s="6" t="s">
        <v>110</v>
      </c>
      <c r="D2" s="6" t="s">
        <v>19</v>
      </c>
      <c r="E2" s="6" t="s">
        <v>20</v>
      </c>
      <c r="F2" s="6" t="s">
        <v>111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6" t="s">
        <v>30</v>
      </c>
      <c r="Q2" s="6" t="s">
        <v>31</v>
      </c>
      <c r="R2" s="6" t="s">
        <v>32</v>
      </c>
      <c r="S2" s="6" t="s">
        <v>33</v>
      </c>
      <c r="T2" s="6" t="s">
        <v>34</v>
      </c>
      <c r="U2" s="15" t="s">
        <v>36</v>
      </c>
      <c r="V2" s="6" t="s">
        <v>37</v>
      </c>
      <c r="W2" s="6" t="s">
        <v>112</v>
      </c>
      <c r="X2" s="6" t="s">
        <v>113</v>
      </c>
      <c r="Y2" s="6" t="s">
        <v>114</v>
      </c>
      <c r="Z2" s="6" t="s">
        <v>115</v>
      </c>
      <c r="AA2" s="6" t="s">
        <v>116</v>
      </c>
      <c r="AB2" s="6" t="s">
        <v>117</v>
      </c>
      <c r="AC2" s="6" t="s">
        <v>118</v>
      </c>
      <c r="AD2" s="6" t="s">
        <v>119</v>
      </c>
      <c r="AE2" s="6" t="s">
        <v>131</v>
      </c>
      <c r="AF2" s="6" t="s">
        <v>133</v>
      </c>
      <c r="AG2" s="6" t="s">
        <v>138</v>
      </c>
      <c r="AH2" s="6" t="s">
        <v>142</v>
      </c>
      <c r="AI2" s="6" t="s">
        <v>165</v>
      </c>
      <c r="AJ2" s="6" t="s">
        <v>167</v>
      </c>
    </row>
    <row r="3" spans="1:36" s="7" customFormat="1" ht="87" customHeight="1" x14ac:dyDescent="0.15">
      <c r="D3" s="8" t="s">
        <v>120</v>
      </c>
      <c r="F3" s="8" t="s">
        <v>121</v>
      </c>
      <c r="U3" s="16" t="s">
        <v>153</v>
      </c>
      <c r="X3" s="8" t="s">
        <v>122</v>
      </c>
      <c r="Y3" s="7" t="s">
        <v>123</v>
      </c>
      <c r="Z3" s="7" t="s">
        <v>124</v>
      </c>
      <c r="AA3" s="8" t="s">
        <v>125</v>
      </c>
      <c r="AG3" s="7" t="s">
        <v>140</v>
      </c>
      <c r="AI3" s="7" t="s">
        <v>166</v>
      </c>
      <c r="AJ3" s="7" t="s">
        <v>168</v>
      </c>
    </row>
    <row r="4" spans="1:36" s="4" customFormat="1" x14ac:dyDescent="0.15">
      <c r="A4" s="3">
        <v>140001</v>
      </c>
      <c r="B4" s="1">
        <v>140002</v>
      </c>
      <c r="C4" s="3" t="s">
        <v>126</v>
      </c>
      <c r="D4" s="4">
        <v>1</v>
      </c>
      <c r="E4" s="4">
        <v>1</v>
      </c>
      <c r="F4" s="4">
        <v>3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17"/>
      <c r="V4" s="24" t="s">
        <v>130</v>
      </c>
      <c r="W4" s="31" t="s">
        <v>144</v>
      </c>
      <c r="X4" s="4">
        <v>2</v>
      </c>
      <c r="Y4" s="4" t="s">
        <v>143</v>
      </c>
      <c r="Z4" s="4">
        <v>0.7</v>
      </c>
      <c r="AA4" s="4" t="s">
        <v>157</v>
      </c>
      <c r="AB4" s="21">
        <v>-275</v>
      </c>
      <c r="AC4" s="21">
        <v>65</v>
      </c>
      <c r="AD4" s="4" t="s">
        <v>128</v>
      </c>
      <c r="AE4" s="4" t="s">
        <v>134</v>
      </c>
      <c r="AF4" s="25" t="s">
        <v>188</v>
      </c>
      <c r="AG4" s="24"/>
    </row>
    <row r="5" spans="1:36" x14ac:dyDescent="0.15">
      <c r="A5" s="3">
        <v>140002</v>
      </c>
      <c r="B5" s="23">
        <v>140003</v>
      </c>
      <c r="C5" s="3" t="s">
        <v>210</v>
      </c>
      <c r="D5" s="4">
        <v>1</v>
      </c>
      <c r="E5" s="2">
        <v>2</v>
      </c>
      <c r="F5" s="2">
        <v>12</v>
      </c>
      <c r="G5" s="4">
        <v>0</v>
      </c>
      <c r="H5" s="25">
        <v>0</v>
      </c>
      <c r="I5" s="4">
        <v>0</v>
      </c>
      <c r="J5" s="4">
        <v>0</v>
      </c>
      <c r="K5" s="4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0</v>
      </c>
      <c r="U5" s="17"/>
      <c r="V5" s="24"/>
      <c r="W5" s="31" t="s">
        <v>148</v>
      </c>
      <c r="X5" s="4">
        <v>2</v>
      </c>
      <c r="Y5" s="4" t="s">
        <v>146</v>
      </c>
      <c r="Z5" s="24">
        <v>0.7</v>
      </c>
      <c r="AA5" s="25" t="s">
        <v>157</v>
      </c>
      <c r="AB5" s="20">
        <v>-114</v>
      </c>
      <c r="AC5" s="20">
        <v>7.4</v>
      </c>
      <c r="AD5" s="4" t="s">
        <v>128</v>
      </c>
      <c r="AE5" s="25" t="s">
        <v>134</v>
      </c>
      <c r="AF5" s="25" t="s">
        <v>190</v>
      </c>
    </row>
    <row r="6" spans="1:36" s="24" customFormat="1" x14ac:dyDescent="0.15">
      <c r="A6" s="3">
        <v>140003</v>
      </c>
      <c r="B6" s="23">
        <v>140004</v>
      </c>
      <c r="C6" s="3" t="s">
        <v>211</v>
      </c>
      <c r="D6" s="25">
        <v>1</v>
      </c>
      <c r="E6" s="25">
        <v>3</v>
      </c>
      <c r="F6" s="24">
        <v>15</v>
      </c>
      <c r="G6" s="25">
        <v>0</v>
      </c>
      <c r="H6" s="25">
        <v>0</v>
      </c>
      <c r="I6" s="25">
        <v>0</v>
      </c>
      <c r="J6" s="25">
        <v>0</v>
      </c>
      <c r="K6" s="25">
        <v>0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0</v>
      </c>
      <c r="U6" s="26"/>
      <c r="W6" s="31" t="s">
        <v>221</v>
      </c>
      <c r="X6" s="25">
        <v>2</v>
      </c>
      <c r="Y6" s="25" t="s">
        <v>143</v>
      </c>
      <c r="Z6" s="25">
        <v>0.7</v>
      </c>
      <c r="AA6" s="25" t="s">
        <v>157</v>
      </c>
      <c r="AB6" s="21">
        <v>47</v>
      </c>
      <c r="AC6" s="21">
        <v>-50.2</v>
      </c>
      <c r="AD6" s="25" t="s">
        <v>128</v>
      </c>
      <c r="AE6" s="25" t="s">
        <v>134</v>
      </c>
      <c r="AF6" s="35" t="s">
        <v>194</v>
      </c>
    </row>
    <row r="7" spans="1:36" x14ac:dyDescent="0.15">
      <c r="A7" s="3">
        <v>140004</v>
      </c>
      <c r="B7" s="23">
        <v>140005</v>
      </c>
      <c r="C7" s="3" t="s">
        <v>92</v>
      </c>
      <c r="D7" s="4">
        <v>1</v>
      </c>
      <c r="E7" s="24">
        <v>4</v>
      </c>
      <c r="F7" s="2">
        <v>18</v>
      </c>
      <c r="G7" s="4">
        <v>0</v>
      </c>
      <c r="H7" s="25">
        <v>0</v>
      </c>
      <c r="I7" s="4">
        <v>0</v>
      </c>
      <c r="J7" s="4">
        <v>0</v>
      </c>
      <c r="K7" s="4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0</v>
      </c>
      <c r="S7" s="25">
        <v>0</v>
      </c>
      <c r="T7" s="25">
        <v>0</v>
      </c>
      <c r="W7" s="28" t="s">
        <v>208</v>
      </c>
      <c r="X7" s="4">
        <v>2</v>
      </c>
      <c r="Y7" s="4" t="s">
        <v>127</v>
      </c>
      <c r="Z7" s="24">
        <v>0.7</v>
      </c>
      <c r="AA7" s="25" t="s">
        <v>157</v>
      </c>
      <c r="AB7" s="20">
        <v>-20</v>
      </c>
      <c r="AC7" s="20">
        <v>100</v>
      </c>
      <c r="AD7" s="25" t="s">
        <v>128</v>
      </c>
      <c r="AE7" s="25" t="s">
        <v>134</v>
      </c>
      <c r="AF7" s="25" t="s">
        <v>189</v>
      </c>
      <c r="AG7" s="24"/>
      <c r="AH7" s="2">
        <v>804021</v>
      </c>
    </row>
    <row r="8" spans="1:36" x14ac:dyDescent="0.15">
      <c r="A8" s="3">
        <v>140005</v>
      </c>
      <c r="B8" s="23">
        <v>140006</v>
      </c>
      <c r="C8" s="3" t="s">
        <v>212</v>
      </c>
      <c r="D8" s="25">
        <v>1</v>
      </c>
      <c r="E8" s="25">
        <v>5</v>
      </c>
      <c r="F8" s="25">
        <v>21</v>
      </c>
      <c r="G8" s="4">
        <v>0</v>
      </c>
      <c r="H8" s="25">
        <v>0</v>
      </c>
      <c r="I8" s="4">
        <v>0</v>
      </c>
      <c r="J8" s="4">
        <v>0</v>
      </c>
      <c r="K8" s="4">
        <v>0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17"/>
      <c r="W8" s="32" t="s">
        <v>169</v>
      </c>
      <c r="X8" s="4">
        <v>2</v>
      </c>
      <c r="Y8" s="4" t="s">
        <v>143</v>
      </c>
      <c r="Z8" s="25">
        <v>0.7</v>
      </c>
      <c r="AA8" s="25" t="s">
        <v>157</v>
      </c>
      <c r="AB8" s="19">
        <v>-20</v>
      </c>
      <c r="AC8" s="19">
        <v>155</v>
      </c>
      <c r="AD8" s="25" t="s">
        <v>128</v>
      </c>
      <c r="AE8" s="2" t="s">
        <v>135</v>
      </c>
      <c r="AF8" s="25" t="s">
        <v>191</v>
      </c>
    </row>
    <row r="9" spans="1:36" ht="15" customHeight="1" x14ac:dyDescent="0.15">
      <c r="A9" s="3">
        <v>140006</v>
      </c>
      <c r="B9" s="23">
        <v>140007</v>
      </c>
      <c r="C9" s="3" t="s">
        <v>93</v>
      </c>
      <c r="D9" s="25">
        <v>1</v>
      </c>
      <c r="E9" s="24">
        <v>6</v>
      </c>
      <c r="F9" s="24">
        <v>24</v>
      </c>
      <c r="G9" s="4">
        <v>0</v>
      </c>
      <c r="H9" s="25">
        <v>0</v>
      </c>
      <c r="I9" s="4">
        <v>0</v>
      </c>
      <c r="J9" s="4">
        <v>0</v>
      </c>
      <c r="K9" s="4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W9" s="28" t="s">
        <v>171</v>
      </c>
      <c r="X9" s="4">
        <v>2</v>
      </c>
      <c r="Y9" s="4" t="s">
        <v>147</v>
      </c>
      <c r="Z9" s="25">
        <v>0.7</v>
      </c>
      <c r="AA9" s="25" t="s">
        <v>157</v>
      </c>
      <c r="AB9" s="21">
        <v>10</v>
      </c>
      <c r="AC9" s="21">
        <v>204</v>
      </c>
      <c r="AD9" s="25" t="s">
        <v>128</v>
      </c>
      <c r="AE9" s="24" t="s">
        <v>135</v>
      </c>
      <c r="AF9" s="30" t="s">
        <v>192</v>
      </c>
    </row>
    <row r="10" spans="1:36" x14ac:dyDescent="0.15">
      <c r="A10" s="3">
        <v>140007</v>
      </c>
      <c r="B10" s="23">
        <v>140008</v>
      </c>
      <c r="C10" s="3" t="s">
        <v>158</v>
      </c>
      <c r="D10" s="25">
        <v>1</v>
      </c>
      <c r="E10" s="25">
        <v>7</v>
      </c>
      <c r="F10" s="24">
        <v>27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6"/>
      <c r="V10" s="24"/>
      <c r="W10" s="22" t="s">
        <v>170</v>
      </c>
      <c r="X10" s="25">
        <v>2</v>
      </c>
      <c r="Y10" s="25" t="s">
        <v>146</v>
      </c>
      <c r="Z10" s="24">
        <v>0.7</v>
      </c>
      <c r="AA10" s="25" t="s">
        <v>157</v>
      </c>
      <c r="AB10" s="21">
        <v>57</v>
      </c>
      <c r="AC10" s="21">
        <v>213</v>
      </c>
      <c r="AD10" s="25" t="s">
        <v>128</v>
      </c>
      <c r="AE10" s="24" t="s">
        <v>135</v>
      </c>
      <c r="AF10" s="25" t="s">
        <v>193</v>
      </c>
    </row>
    <row r="11" spans="1:36" x14ac:dyDescent="0.15">
      <c r="A11" s="3">
        <v>140008</v>
      </c>
      <c r="B11" s="23">
        <v>140009</v>
      </c>
      <c r="C11" s="3" t="s">
        <v>159</v>
      </c>
      <c r="D11" s="25">
        <v>1</v>
      </c>
      <c r="E11" s="24">
        <v>8</v>
      </c>
      <c r="F11" s="24">
        <v>33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7"/>
      <c r="V11" s="24" t="s">
        <v>137</v>
      </c>
      <c r="W11" s="22" t="s">
        <v>172</v>
      </c>
      <c r="X11" s="25">
        <v>2</v>
      </c>
      <c r="Y11" s="25" t="s">
        <v>127</v>
      </c>
      <c r="Z11" s="24">
        <v>0.7</v>
      </c>
      <c r="AA11" s="25" t="s">
        <v>157</v>
      </c>
      <c r="AB11" s="21">
        <v>143</v>
      </c>
      <c r="AC11" s="21">
        <v>182</v>
      </c>
      <c r="AD11" s="25" t="s">
        <v>128</v>
      </c>
      <c r="AE11" s="24" t="s">
        <v>135</v>
      </c>
      <c r="AF11" s="25" t="s">
        <v>194</v>
      </c>
    </row>
    <row r="12" spans="1:36" x14ac:dyDescent="0.15">
      <c r="A12" s="3">
        <v>140009</v>
      </c>
      <c r="B12" s="23">
        <v>140010</v>
      </c>
      <c r="C12" s="3" t="s">
        <v>220</v>
      </c>
      <c r="D12" s="25">
        <v>1</v>
      </c>
      <c r="E12" s="25">
        <v>9</v>
      </c>
      <c r="F12" s="24">
        <v>45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6"/>
      <c r="W12" s="33" t="s">
        <v>209</v>
      </c>
      <c r="X12" s="25">
        <v>2</v>
      </c>
      <c r="Y12" s="25" t="s">
        <v>146</v>
      </c>
      <c r="Z12" s="24">
        <v>0.7</v>
      </c>
      <c r="AA12" s="25" t="s">
        <v>157</v>
      </c>
      <c r="AB12" s="21">
        <v>183</v>
      </c>
      <c r="AC12" s="21">
        <v>-79</v>
      </c>
      <c r="AD12" s="25" t="s">
        <v>128</v>
      </c>
      <c r="AE12" s="24" t="s">
        <v>135</v>
      </c>
      <c r="AF12" s="25" t="s">
        <v>195</v>
      </c>
      <c r="AH12" s="2">
        <v>805021</v>
      </c>
    </row>
    <row r="13" spans="1:36" x14ac:dyDescent="0.15">
      <c r="A13" s="3">
        <v>140010</v>
      </c>
      <c r="B13" s="23">
        <v>140011</v>
      </c>
      <c r="C13" s="3" t="s">
        <v>213</v>
      </c>
      <c r="D13" s="2">
        <v>2</v>
      </c>
      <c r="E13" s="25">
        <v>1</v>
      </c>
      <c r="F13" s="24">
        <v>51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7"/>
      <c r="W13" s="22" t="s">
        <v>173</v>
      </c>
      <c r="X13" s="25">
        <v>2</v>
      </c>
      <c r="Y13" s="25" t="s">
        <v>147</v>
      </c>
      <c r="Z13" s="24">
        <v>0.7</v>
      </c>
      <c r="AA13" s="25" t="s">
        <v>157</v>
      </c>
      <c r="AB13" s="21">
        <v>-261</v>
      </c>
      <c r="AC13" s="21">
        <v>-127</v>
      </c>
      <c r="AD13" s="2" t="s">
        <v>129</v>
      </c>
      <c r="AE13" s="24" t="s">
        <v>135</v>
      </c>
      <c r="AF13" s="30" t="s">
        <v>196</v>
      </c>
    </row>
    <row r="14" spans="1:36" x14ac:dyDescent="0.15">
      <c r="A14" s="3">
        <v>140011</v>
      </c>
      <c r="B14" s="23">
        <v>140012</v>
      </c>
      <c r="C14" s="3" t="s">
        <v>160</v>
      </c>
      <c r="D14" s="2">
        <v>2</v>
      </c>
      <c r="E14" s="25">
        <v>2</v>
      </c>
      <c r="F14" s="24">
        <v>54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6"/>
      <c r="W14" s="22" t="s">
        <v>174</v>
      </c>
      <c r="X14" s="25">
        <v>2</v>
      </c>
      <c r="Y14" s="25" t="s">
        <v>143</v>
      </c>
      <c r="Z14" s="25">
        <v>0.7</v>
      </c>
      <c r="AA14" s="25" t="s">
        <v>157</v>
      </c>
      <c r="AB14" s="21">
        <v>-190</v>
      </c>
      <c r="AC14" s="21">
        <v>-50</v>
      </c>
      <c r="AD14" s="2" t="s">
        <v>129</v>
      </c>
      <c r="AE14" s="24" t="s">
        <v>135</v>
      </c>
      <c r="AF14" s="30" t="s">
        <v>197</v>
      </c>
    </row>
    <row r="15" spans="1:36" x14ac:dyDescent="0.15">
      <c r="A15" s="3">
        <v>140012</v>
      </c>
      <c r="B15" s="23">
        <v>140013</v>
      </c>
      <c r="C15" s="3" t="s">
        <v>214</v>
      </c>
      <c r="D15" s="2">
        <v>2</v>
      </c>
      <c r="E15" s="25">
        <v>3</v>
      </c>
      <c r="F15" s="24">
        <v>63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6"/>
      <c r="W15" s="22" t="s">
        <v>175</v>
      </c>
      <c r="X15" s="25">
        <v>2</v>
      </c>
      <c r="Y15" s="25" t="s">
        <v>143</v>
      </c>
      <c r="Z15" s="24">
        <v>0.7</v>
      </c>
      <c r="AA15" s="25" t="s">
        <v>157</v>
      </c>
      <c r="AB15" s="21">
        <v>-60</v>
      </c>
      <c r="AC15" s="21">
        <v>50</v>
      </c>
      <c r="AD15" s="2" t="s">
        <v>129</v>
      </c>
      <c r="AE15" s="24" t="s">
        <v>135</v>
      </c>
      <c r="AF15" s="30" t="s">
        <v>198</v>
      </c>
    </row>
    <row r="16" spans="1:36" x14ac:dyDescent="0.15">
      <c r="A16" s="3">
        <v>140013</v>
      </c>
      <c r="B16" s="23">
        <v>140014</v>
      </c>
      <c r="C16" s="3" t="s">
        <v>215</v>
      </c>
      <c r="D16" s="2">
        <v>2</v>
      </c>
      <c r="E16" s="25">
        <v>4</v>
      </c>
      <c r="F16" s="24">
        <v>72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6" t="s">
        <v>154</v>
      </c>
      <c r="W16" s="22" t="s">
        <v>176</v>
      </c>
      <c r="X16" s="25">
        <v>2</v>
      </c>
      <c r="Y16" s="25" t="s">
        <v>127</v>
      </c>
      <c r="Z16" s="25">
        <v>0.7</v>
      </c>
      <c r="AA16" s="25" t="s">
        <v>157</v>
      </c>
      <c r="AB16" s="2">
        <v>45</v>
      </c>
      <c r="AC16" s="2">
        <v>196</v>
      </c>
      <c r="AD16" s="2" t="s">
        <v>129</v>
      </c>
      <c r="AE16" s="24" t="s">
        <v>135</v>
      </c>
      <c r="AF16" s="25" t="s">
        <v>199</v>
      </c>
      <c r="AH16" s="2">
        <v>107</v>
      </c>
    </row>
    <row r="17" spans="1:34" x14ac:dyDescent="0.15">
      <c r="A17" s="3">
        <v>140014</v>
      </c>
      <c r="B17" s="23">
        <v>140015</v>
      </c>
      <c r="C17" s="3" t="s">
        <v>94</v>
      </c>
      <c r="D17" s="2">
        <v>2</v>
      </c>
      <c r="E17" s="25">
        <v>5</v>
      </c>
      <c r="F17" s="25">
        <v>75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6"/>
      <c r="W17" s="22" t="s">
        <v>177</v>
      </c>
      <c r="X17" s="25">
        <v>2</v>
      </c>
      <c r="Y17" s="25" t="s">
        <v>147</v>
      </c>
      <c r="Z17" s="24">
        <v>0.7</v>
      </c>
      <c r="AA17" s="25" t="s">
        <v>157</v>
      </c>
      <c r="AB17" s="2">
        <v>140</v>
      </c>
      <c r="AC17" s="2">
        <v>154</v>
      </c>
      <c r="AD17" s="2" t="s">
        <v>129</v>
      </c>
      <c r="AE17" s="24" t="s">
        <v>135</v>
      </c>
      <c r="AF17" s="30" t="s">
        <v>191</v>
      </c>
    </row>
    <row r="18" spans="1:34" x14ac:dyDescent="0.15">
      <c r="A18" s="3">
        <v>140015</v>
      </c>
      <c r="B18" s="23">
        <v>140016</v>
      </c>
      <c r="C18" s="3" t="s">
        <v>216</v>
      </c>
      <c r="D18" s="24">
        <v>2</v>
      </c>
      <c r="E18" s="25">
        <v>6</v>
      </c>
      <c r="F18" s="24">
        <v>81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6"/>
      <c r="V18" s="24" t="s">
        <v>187</v>
      </c>
      <c r="W18" s="34" t="s">
        <v>178</v>
      </c>
      <c r="X18" s="25">
        <v>2</v>
      </c>
      <c r="Y18" s="25" t="s">
        <v>145</v>
      </c>
      <c r="Z18" s="24">
        <v>0.7</v>
      </c>
      <c r="AA18" s="25" t="s">
        <v>157</v>
      </c>
      <c r="AB18" s="2">
        <v>231</v>
      </c>
      <c r="AC18" s="2">
        <v>66</v>
      </c>
      <c r="AD18" s="24" t="s">
        <v>129</v>
      </c>
      <c r="AE18" s="24" t="s">
        <v>135</v>
      </c>
      <c r="AF18" s="25" t="s">
        <v>200</v>
      </c>
    </row>
    <row r="19" spans="1:34" x14ac:dyDescent="0.15">
      <c r="A19" s="3">
        <v>140016</v>
      </c>
      <c r="B19" s="23">
        <v>140017</v>
      </c>
      <c r="C19" s="3" t="s">
        <v>217</v>
      </c>
      <c r="D19" s="24">
        <v>2</v>
      </c>
      <c r="E19" s="25">
        <v>7</v>
      </c>
      <c r="F19" s="24">
        <v>84</v>
      </c>
      <c r="G19" s="4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17"/>
      <c r="V19" s="24"/>
      <c r="W19" s="22" t="s">
        <v>179</v>
      </c>
      <c r="X19" s="25">
        <v>2</v>
      </c>
      <c r="Y19" s="25" t="s">
        <v>127</v>
      </c>
      <c r="Z19" s="25">
        <v>0.7</v>
      </c>
      <c r="AA19" s="25" t="s">
        <v>157</v>
      </c>
      <c r="AB19" s="21">
        <v>205</v>
      </c>
      <c r="AC19" s="21">
        <v>25</v>
      </c>
      <c r="AD19" s="24" t="s">
        <v>129</v>
      </c>
      <c r="AE19" s="24" t="s">
        <v>135</v>
      </c>
      <c r="AF19" s="25" t="s">
        <v>201</v>
      </c>
    </row>
    <row r="20" spans="1:34" x14ac:dyDescent="0.15">
      <c r="A20" s="3">
        <v>140017</v>
      </c>
      <c r="B20" s="23">
        <v>140018</v>
      </c>
      <c r="C20" s="3" t="s">
        <v>95</v>
      </c>
      <c r="D20" s="24">
        <v>2</v>
      </c>
      <c r="E20" s="25">
        <v>8</v>
      </c>
      <c r="F20" s="24">
        <v>87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7" t="s">
        <v>154</v>
      </c>
      <c r="W20" s="22" t="s">
        <v>184</v>
      </c>
      <c r="X20" s="25">
        <v>2</v>
      </c>
      <c r="Y20" s="25" t="s">
        <v>147</v>
      </c>
      <c r="Z20" s="25">
        <v>0.7</v>
      </c>
      <c r="AA20" s="25" t="s">
        <v>157</v>
      </c>
      <c r="AB20" s="21">
        <v>140</v>
      </c>
      <c r="AC20" s="21">
        <v>10</v>
      </c>
      <c r="AD20" s="24" t="s">
        <v>129</v>
      </c>
      <c r="AE20" s="2" t="s">
        <v>156</v>
      </c>
      <c r="AF20" s="2" t="s">
        <v>202</v>
      </c>
    </row>
    <row r="21" spans="1:34" x14ac:dyDescent="0.15">
      <c r="A21" s="3">
        <v>140018</v>
      </c>
      <c r="B21" s="23">
        <v>140019</v>
      </c>
      <c r="C21" s="3" t="s">
        <v>96</v>
      </c>
      <c r="D21" s="24">
        <v>2</v>
      </c>
      <c r="E21" s="25">
        <v>9</v>
      </c>
      <c r="F21" s="24">
        <v>96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7" t="s">
        <v>154</v>
      </c>
      <c r="W21" s="22" t="s">
        <v>180</v>
      </c>
      <c r="X21" s="25">
        <v>2</v>
      </c>
      <c r="Y21" s="25" t="s">
        <v>143</v>
      </c>
      <c r="Z21" s="24">
        <v>0.7</v>
      </c>
      <c r="AA21" s="25" t="s">
        <v>157</v>
      </c>
      <c r="AB21" s="20">
        <v>15</v>
      </c>
      <c r="AC21" s="20">
        <v>-75</v>
      </c>
      <c r="AD21" s="24" t="s">
        <v>129</v>
      </c>
      <c r="AE21" s="24" t="s">
        <v>156</v>
      </c>
      <c r="AF21" s="2" t="s">
        <v>199</v>
      </c>
      <c r="AH21" s="2">
        <v>106</v>
      </c>
    </row>
    <row r="22" spans="1:34" x14ac:dyDescent="0.15">
      <c r="A22" s="3">
        <v>140019</v>
      </c>
      <c r="B22" s="23">
        <v>140020</v>
      </c>
      <c r="C22" s="29" t="s">
        <v>161</v>
      </c>
      <c r="D22" s="24">
        <v>3</v>
      </c>
      <c r="E22" s="25">
        <v>1</v>
      </c>
      <c r="F22" s="24">
        <v>99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W22" s="22" t="s">
        <v>181</v>
      </c>
      <c r="X22" s="25">
        <v>2</v>
      </c>
      <c r="Y22" s="25" t="s">
        <v>147</v>
      </c>
      <c r="Z22" s="25">
        <v>0.7</v>
      </c>
      <c r="AA22" s="25" t="s">
        <v>157</v>
      </c>
      <c r="AB22" s="21">
        <v>113</v>
      </c>
      <c r="AC22" s="21">
        <v>-78</v>
      </c>
      <c r="AD22" s="24" t="s">
        <v>152</v>
      </c>
      <c r="AE22" s="24" t="s">
        <v>156</v>
      </c>
      <c r="AF22" s="2" t="s">
        <v>203</v>
      </c>
    </row>
    <row r="23" spans="1:34" x14ac:dyDescent="0.15">
      <c r="A23" s="3">
        <v>140020</v>
      </c>
      <c r="B23" s="23">
        <v>140021</v>
      </c>
      <c r="C23" s="29" t="s">
        <v>162</v>
      </c>
      <c r="D23" s="24">
        <v>3</v>
      </c>
      <c r="E23" s="25">
        <v>2</v>
      </c>
      <c r="F23" s="24">
        <v>102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17"/>
      <c r="W23" s="22" t="s">
        <v>182</v>
      </c>
      <c r="X23" s="25">
        <v>2</v>
      </c>
      <c r="Y23" s="25" t="s">
        <v>143</v>
      </c>
      <c r="Z23" s="24">
        <v>0.7</v>
      </c>
      <c r="AA23" s="25" t="s">
        <v>157</v>
      </c>
      <c r="AB23" s="20">
        <v>79</v>
      </c>
      <c r="AC23" s="20">
        <v>6</v>
      </c>
      <c r="AD23" s="24" t="s">
        <v>152</v>
      </c>
      <c r="AE23" s="24" t="s">
        <v>156</v>
      </c>
      <c r="AF23" s="30" t="s">
        <v>204</v>
      </c>
    </row>
    <row r="24" spans="1:34" x14ac:dyDescent="0.15">
      <c r="A24" s="3">
        <v>140021</v>
      </c>
      <c r="B24" s="23">
        <v>140022</v>
      </c>
      <c r="C24" s="29" t="s">
        <v>149</v>
      </c>
      <c r="D24" s="24">
        <v>3</v>
      </c>
      <c r="E24" s="25">
        <v>3</v>
      </c>
      <c r="F24" s="24">
        <v>105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18" t="s">
        <v>154</v>
      </c>
      <c r="W24" s="22" t="s">
        <v>184</v>
      </c>
      <c r="X24" s="25">
        <v>2</v>
      </c>
      <c r="Y24" s="25" t="s">
        <v>143</v>
      </c>
      <c r="Z24" s="25">
        <v>0.7</v>
      </c>
      <c r="AA24" s="25" t="s">
        <v>157</v>
      </c>
      <c r="AB24" s="19">
        <v>121</v>
      </c>
      <c r="AC24" s="19">
        <v>59</v>
      </c>
      <c r="AD24" s="24" t="s">
        <v>152</v>
      </c>
      <c r="AE24" s="24" t="s">
        <v>156</v>
      </c>
      <c r="AF24" s="2" t="s">
        <v>202</v>
      </c>
    </row>
    <row r="25" spans="1:34" x14ac:dyDescent="0.15">
      <c r="A25" s="3">
        <v>140022</v>
      </c>
      <c r="B25" s="23">
        <v>140023</v>
      </c>
      <c r="C25" s="29" t="s">
        <v>150</v>
      </c>
      <c r="D25" s="24">
        <v>3</v>
      </c>
      <c r="E25" s="25">
        <v>4</v>
      </c>
      <c r="F25" s="24">
        <v>108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W25" s="22" t="s">
        <v>183</v>
      </c>
      <c r="X25" s="25">
        <v>2</v>
      </c>
      <c r="Y25" s="25" t="s">
        <v>127</v>
      </c>
      <c r="Z25" s="24">
        <v>0.7</v>
      </c>
      <c r="AA25" s="25" t="s">
        <v>157</v>
      </c>
      <c r="AB25" s="21">
        <v>104</v>
      </c>
      <c r="AC25" s="21">
        <v>126</v>
      </c>
      <c r="AD25" s="24" t="s">
        <v>152</v>
      </c>
      <c r="AE25" s="24" t="s">
        <v>156</v>
      </c>
      <c r="AF25" s="2" t="s">
        <v>205</v>
      </c>
    </row>
    <row r="26" spans="1:34" x14ac:dyDescent="0.15">
      <c r="A26" s="3">
        <v>140023</v>
      </c>
      <c r="B26" s="23">
        <v>140024</v>
      </c>
      <c r="C26" s="29" t="s">
        <v>218</v>
      </c>
      <c r="D26" s="24">
        <v>3</v>
      </c>
      <c r="E26" s="25">
        <v>5</v>
      </c>
      <c r="F26" s="24">
        <v>117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W26" s="22" t="s">
        <v>185</v>
      </c>
      <c r="X26" s="25">
        <v>2</v>
      </c>
      <c r="Y26" s="25" t="s">
        <v>147</v>
      </c>
      <c r="Z26" s="25">
        <v>0.7</v>
      </c>
      <c r="AA26" s="25" t="s">
        <v>157</v>
      </c>
      <c r="AB26" s="21">
        <v>-11</v>
      </c>
      <c r="AC26" s="21">
        <v>119</v>
      </c>
      <c r="AD26" s="24" t="s">
        <v>152</v>
      </c>
      <c r="AE26" s="24" t="s">
        <v>156</v>
      </c>
      <c r="AF26" s="24" t="s">
        <v>206</v>
      </c>
    </row>
    <row r="27" spans="1:34" x14ac:dyDescent="0.15">
      <c r="A27" s="3">
        <v>140024</v>
      </c>
      <c r="B27" s="23">
        <v>140025</v>
      </c>
      <c r="C27" s="29" t="s">
        <v>219</v>
      </c>
      <c r="D27" s="24">
        <v>3</v>
      </c>
      <c r="E27" s="25">
        <v>6</v>
      </c>
      <c r="F27" s="24">
        <v>120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7" t="s">
        <v>155</v>
      </c>
      <c r="W27" s="22" t="s">
        <v>184</v>
      </c>
      <c r="X27" s="25">
        <v>2</v>
      </c>
      <c r="Y27" s="25" t="s">
        <v>127</v>
      </c>
      <c r="Z27" s="24">
        <v>0.7</v>
      </c>
      <c r="AA27" s="25" t="s">
        <v>157</v>
      </c>
      <c r="AB27" s="21">
        <v>-14</v>
      </c>
      <c r="AC27" s="21">
        <v>182</v>
      </c>
      <c r="AD27" s="24" t="s">
        <v>152</v>
      </c>
      <c r="AE27" s="24" t="s">
        <v>156</v>
      </c>
      <c r="AF27" s="24" t="s">
        <v>207</v>
      </c>
    </row>
    <row r="28" spans="1:34" x14ac:dyDescent="0.15">
      <c r="A28" s="3">
        <v>140025</v>
      </c>
      <c r="B28" s="23">
        <v>0</v>
      </c>
      <c r="C28" s="29" t="s">
        <v>151</v>
      </c>
      <c r="D28" s="24">
        <v>3</v>
      </c>
      <c r="E28" s="25">
        <v>7</v>
      </c>
      <c r="F28" s="2">
        <v>10000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W28" s="22" t="s">
        <v>186</v>
      </c>
      <c r="X28" s="25">
        <v>2</v>
      </c>
      <c r="Y28" s="25" t="s">
        <v>147</v>
      </c>
      <c r="Z28" s="25">
        <v>0.7</v>
      </c>
      <c r="AA28" s="25" t="s">
        <v>157</v>
      </c>
      <c r="AB28" s="21">
        <v>-90</v>
      </c>
      <c r="AC28" s="21">
        <v>213</v>
      </c>
      <c r="AD28" s="24" t="s">
        <v>152</v>
      </c>
      <c r="AE28" s="24" t="s">
        <v>156</v>
      </c>
      <c r="AF28" s="2" t="s">
        <v>204</v>
      </c>
    </row>
    <row r="29" spans="1:34" x14ac:dyDescent="0.15">
      <c r="A29" s="2"/>
      <c r="B29" s="2"/>
      <c r="C29" s="2"/>
      <c r="E29" s="4"/>
    </row>
    <row r="30" spans="1:34" x14ac:dyDescent="0.15">
      <c r="A30" s="2"/>
      <c r="B30" s="2"/>
      <c r="C30" s="2"/>
      <c r="E30" s="4"/>
    </row>
    <row r="31" spans="1:34" x14ac:dyDescent="0.15">
      <c r="A31" s="2"/>
      <c r="B31" s="2"/>
      <c r="C31" s="2"/>
      <c r="E31" s="4"/>
    </row>
    <row r="32" spans="1:34" x14ac:dyDescent="0.15">
      <c r="A32" s="2"/>
      <c r="B32" s="2"/>
      <c r="C32" s="2"/>
      <c r="E32" s="4"/>
    </row>
    <row r="33" spans="1:5" x14ac:dyDescent="0.15">
      <c r="A33" s="2"/>
      <c r="B33" s="2"/>
      <c r="C33" s="2"/>
      <c r="E33" s="4"/>
    </row>
    <row r="34" spans="1:5" x14ac:dyDescent="0.15">
      <c r="A34" s="2"/>
      <c r="B34" s="2"/>
      <c r="C34" s="2"/>
      <c r="E34" s="4"/>
    </row>
    <row r="35" spans="1:5" x14ac:dyDescent="0.15">
      <c r="A35" s="2"/>
      <c r="B35" s="2"/>
      <c r="C35" s="2"/>
      <c r="E35" s="4"/>
    </row>
    <row r="36" spans="1:5" x14ac:dyDescent="0.15">
      <c r="A36" s="2"/>
      <c r="B36" s="2"/>
      <c r="C36" s="2"/>
      <c r="E36" s="4"/>
    </row>
    <row r="37" spans="1:5" x14ac:dyDescent="0.15">
      <c r="A37" s="2"/>
      <c r="B37" s="2"/>
      <c r="C37" s="2"/>
      <c r="E37" s="4"/>
    </row>
    <row r="38" spans="1:5" x14ac:dyDescent="0.15">
      <c r="A38" s="2"/>
      <c r="B38" s="2"/>
      <c r="C38" s="2"/>
      <c r="E38" s="4"/>
    </row>
    <row r="39" spans="1:5" x14ac:dyDescent="0.15">
      <c r="A39" s="2"/>
      <c r="B39" s="2"/>
      <c r="C39" s="2"/>
      <c r="E39" s="4"/>
    </row>
    <row r="40" spans="1:5" x14ac:dyDescent="0.15">
      <c r="A40" s="2"/>
      <c r="B40" s="2"/>
      <c r="C40" s="2"/>
      <c r="E40" s="4"/>
    </row>
    <row r="41" spans="1:5" x14ac:dyDescent="0.15">
      <c r="A41" s="2"/>
      <c r="B41" s="2"/>
      <c r="C41" s="2"/>
      <c r="E41" s="4"/>
    </row>
    <row r="42" spans="1:5" x14ac:dyDescent="0.15">
      <c r="A42" s="2"/>
      <c r="B42" s="2"/>
      <c r="C42" s="2"/>
      <c r="E42" s="4"/>
    </row>
    <row r="43" spans="1:5" x14ac:dyDescent="0.15">
      <c r="A43" s="2"/>
      <c r="B43" s="2"/>
      <c r="C43" s="2"/>
      <c r="E43" s="4"/>
    </row>
    <row r="44" spans="1:5" x14ac:dyDescent="0.15">
      <c r="A44" s="2"/>
      <c r="B44" s="2"/>
      <c r="C44" s="2"/>
      <c r="E44" s="4"/>
    </row>
    <row r="45" spans="1:5" x14ac:dyDescent="0.15">
      <c r="A45" s="2"/>
      <c r="B45" s="2"/>
      <c r="C45" s="2"/>
      <c r="E45" s="4"/>
    </row>
    <row r="46" spans="1:5" x14ac:dyDescent="0.15">
      <c r="A46" s="2"/>
      <c r="B46" s="2"/>
      <c r="C46" s="2"/>
      <c r="E46" s="4"/>
    </row>
    <row r="47" spans="1:5" x14ac:dyDescent="0.15">
      <c r="A47" s="2"/>
      <c r="B47" s="2"/>
      <c r="C47" s="2"/>
      <c r="E47" s="4"/>
    </row>
    <row r="48" spans="1:5" x14ac:dyDescent="0.15">
      <c r="A48" s="2"/>
      <c r="B48" s="2"/>
      <c r="C48" s="2"/>
      <c r="E48" s="4"/>
    </row>
    <row r="49" spans="1:5" x14ac:dyDescent="0.15">
      <c r="A49" s="2"/>
      <c r="B49" s="2"/>
      <c r="C49" s="2"/>
      <c r="E49" s="4"/>
    </row>
    <row r="50" spans="1:5" x14ac:dyDescent="0.15">
      <c r="A50" s="2"/>
      <c r="B50" s="2"/>
      <c r="C50" s="2"/>
      <c r="E50" s="4"/>
    </row>
    <row r="51" spans="1:5" x14ac:dyDescent="0.15">
      <c r="A51" s="2"/>
      <c r="B51" s="2"/>
      <c r="C51" s="2"/>
      <c r="E51" s="4"/>
    </row>
    <row r="52" spans="1:5" x14ac:dyDescent="0.15">
      <c r="A52" s="2"/>
      <c r="B52" s="2"/>
      <c r="C52" s="2"/>
      <c r="E52" s="4"/>
    </row>
    <row r="53" spans="1:5" x14ac:dyDescent="0.15">
      <c r="A53" s="2"/>
      <c r="B53" s="2"/>
      <c r="C53" s="2"/>
      <c r="E53" s="4"/>
    </row>
    <row r="54" spans="1:5" x14ac:dyDescent="0.15">
      <c r="A54" s="2"/>
      <c r="B54" s="2"/>
      <c r="C54" s="2"/>
      <c r="E54" s="4"/>
    </row>
    <row r="55" spans="1:5" x14ac:dyDescent="0.15">
      <c r="A55" s="2"/>
      <c r="B55" s="2"/>
      <c r="C55" s="2"/>
      <c r="E55" s="4"/>
    </row>
    <row r="56" spans="1:5" x14ac:dyDescent="0.15">
      <c r="A56" s="2"/>
      <c r="B56" s="2"/>
      <c r="C56" s="2"/>
      <c r="E56" s="4"/>
    </row>
    <row r="57" spans="1:5" x14ac:dyDescent="0.15">
      <c r="A57" s="2"/>
      <c r="B57" s="2"/>
      <c r="C57" s="2"/>
      <c r="E57" s="4"/>
    </row>
    <row r="58" spans="1:5" x14ac:dyDescent="0.15">
      <c r="A58" s="2"/>
      <c r="B58" s="2"/>
      <c r="C58" s="2"/>
      <c r="E58" s="4"/>
    </row>
    <row r="59" spans="1:5" x14ac:dyDescent="0.15">
      <c r="A59" s="2"/>
      <c r="B59" s="2"/>
      <c r="C59" s="2"/>
      <c r="E59" s="4"/>
    </row>
    <row r="60" spans="1:5" x14ac:dyDescent="0.15">
      <c r="A60" s="2"/>
      <c r="B60" s="2"/>
      <c r="C60" s="2"/>
      <c r="E60" s="4"/>
    </row>
    <row r="61" spans="1:5" x14ac:dyDescent="0.15">
      <c r="A61" s="2"/>
      <c r="B61" s="2"/>
      <c r="C61" s="2"/>
      <c r="E61" s="4"/>
    </row>
    <row r="62" spans="1:5" x14ac:dyDescent="0.15">
      <c r="A62" s="2"/>
      <c r="B62" s="2"/>
      <c r="C62" s="2"/>
      <c r="E62" s="4"/>
    </row>
    <row r="63" spans="1:5" x14ac:dyDescent="0.15">
      <c r="A63" s="2"/>
      <c r="B63" s="2"/>
      <c r="C63" s="2"/>
      <c r="E63" s="4"/>
    </row>
    <row r="64" spans="1:5" x14ac:dyDescent="0.15">
      <c r="A64" s="2"/>
      <c r="B64" s="2"/>
      <c r="C64" s="2"/>
      <c r="E64" s="4"/>
    </row>
    <row r="65" spans="1:5" x14ac:dyDescent="0.15">
      <c r="A65" s="2"/>
      <c r="B65" s="2"/>
      <c r="C65" s="2"/>
      <c r="E65" s="4"/>
    </row>
    <row r="66" spans="1:5" x14ac:dyDescent="0.15">
      <c r="A66" s="2"/>
      <c r="B66" s="2"/>
      <c r="C66" s="2"/>
      <c r="E66" s="4"/>
    </row>
    <row r="67" spans="1:5" x14ac:dyDescent="0.15">
      <c r="A67" s="2"/>
      <c r="B67" s="2"/>
      <c r="C67" s="2"/>
      <c r="E67" s="4"/>
    </row>
    <row r="68" spans="1:5" x14ac:dyDescent="0.15">
      <c r="A68" s="2"/>
      <c r="B68" s="2"/>
      <c r="C68" s="2"/>
      <c r="E68" s="4"/>
    </row>
    <row r="69" spans="1:5" x14ac:dyDescent="0.15">
      <c r="A69" s="2"/>
      <c r="B69" s="2"/>
      <c r="C69" s="2"/>
      <c r="E69" s="4"/>
    </row>
    <row r="70" spans="1:5" x14ac:dyDescent="0.15">
      <c r="A70" s="2"/>
      <c r="B70" s="2"/>
      <c r="C70" s="2"/>
      <c r="E70" s="4"/>
    </row>
    <row r="71" spans="1:5" x14ac:dyDescent="0.15">
      <c r="A71" s="2"/>
      <c r="B71" s="2"/>
      <c r="C71" s="2"/>
      <c r="E71" s="4"/>
    </row>
    <row r="72" spans="1:5" x14ac:dyDescent="0.15">
      <c r="A72" s="2"/>
      <c r="B72" s="2"/>
      <c r="C72" s="2"/>
      <c r="E72" s="4"/>
    </row>
    <row r="73" spans="1:5" x14ac:dyDescent="0.15">
      <c r="A73" s="2"/>
      <c r="B73" s="2"/>
      <c r="C73" s="2"/>
      <c r="E73" s="4"/>
    </row>
    <row r="74" spans="1:5" x14ac:dyDescent="0.15">
      <c r="A74" s="2"/>
      <c r="B74" s="2"/>
      <c r="C74" s="2"/>
      <c r="E74" s="4"/>
    </row>
    <row r="75" spans="1:5" x14ac:dyDescent="0.15">
      <c r="A75" s="2"/>
      <c r="B75" s="2"/>
      <c r="C75" s="2"/>
      <c r="E75" s="4"/>
    </row>
    <row r="76" spans="1:5" x14ac:dyDescent="0.15">
      <c r="A76" s="2"/>
      <c r="B76" s="2"/>
      <c r="C76" s="2"/>
      <c r="E76" s="4"/>
    </row>
    <row r="77" spans="1:5" x14ac:dyDescent="0.15">
      <c r="A77" s="2"/>
      <c r="B77" s="2"/>
      <c r="C77" s="2"/>
      <c r="E77" s="4"/>
    </row>
    <row r="78" spans="1:5" x14ac:dyDescent="0.15">
      <c r="A78" s="2"/>
      <c r="B78" s="2"/>
      <c r="C78" s="2"/>
      <c r="E78" s="4"/>
    </row>
    <row r="79" spans="1:5" x14ac:dyDescent="0.15">
      <c r="A79" s="2"/>
      <c r="B79" s="2"/>
      <c r="C79" s="2"/>
      <c r="E79" s="4"/>
    </row>
    <row r="80" spans="1:5" x14ac:dyDescent="0.15">
      <c r="A80" s="2"/>
      <c r="B80" s="2"/>
      <c r="C80" s="2"/>
      <c r="E80" s="4"/>
    </row>
    <row r="81" spans="1:5" x14ac:dyDescent="0.15">
      <c r="A81" s="2"/>
      <c r="B81" s="2"/>
      <c r="C81" s="2"/>
      <c r="E81" s="4"/>
    </row>
    <row r="82" spans="1:5" x14ac:dyDescent="0.15">
      <c r="A82" s="2"/>
      <c r="B82" s="2"/>
      <c r="C82" s="2"/>
      <c r="E82" s="4"/>
    </row>
    <row r="83" spans="1:5" x14ac:dyDescent="0.15">
      <c r="A83" s="2"/>
      <c r="B83" s="2"/>
      <c r="C83" s="2"/>
      <c r="E83" s="4"/>
    </row>
    <row r="84" spans="1:5" x14ac:dyDescent="0.15">
      <c r="A84" s="2"/>
      <c r="B84" s="2"/>
      <c r="C84" s="2"/>
      <c r="E84" s="4"/>
    </row>
    <row r="85" spans="1:5" x14ac:dyDescent="0.15">
      <c r="A85" s="2"/>
      <c r="B85" s="2"/>
      <c r="C85" s="2"/>
      <c r="E85" s="4"/>
    </row>
    <row r="86" spans="1:5" x14ac:dyDescent="0.15">
      <c r="A86" s="2"/>
      <c r="B86" s="2"/>
      <c r="C86" s="2"/>
      <c r="E86" s="4"/>
    </row>
    <row r="87" spans="1:5" x14ac:dyDescent="0.15">
      <c r="A87" s="2"/>
      <c r="B87" s="2"/>
      <c r="C87" s="2"/>
      <c r="E87" s="4"/>
    </row>
    <row r="88" spans="1:5" x14ac:dyDescent="0.15">
      <c r="A88" s="2"/>
      <c r="B88" s="2"/>
      <c r="C88" s="2"/>
      <c r="E88" s="4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4"/>
  <sheetViews>
    <sheetView workbookViewId="0">
      <selection activeCell="E4" sqref="E4"/>
    </sheetView>
  </sheetViews>
  <sheetFormatPr defaultRowHeight="13.5" x14ac:dyDescent="0.15"/>
  <cols>
    <col min="1" max="1" width="8.5" style="1" bestFit="1" customWidth="1"/>
    <col min="2" max="2" width="24.5" style="2" bestFit="1" customWidth="1"/>
    <col min="3" max="3" width="18.25" style="2" bestFit="1" customWidth="1"/>
    <col min="4" max="4" width="19.5" style="2" bestFit="1" customWidth="1"/>
    <col min="5" max="5" width="8.5" style="2" bestFit="1" customWidth="1"/>
    <col min="6" max="6" width="13.25" style="2" bestFit="1" customWidth="1"/>
    <col min="7" max="7" width="14.5" style="2" bestFit="1" customWidth="1"/>
    <col min="8" max="8" width="18.25" style="2" bestFit="1" customWidth="1"/>
    <col min="9" max="9" width="13.25" style="2" bestFit="1" customWidth="1"/>
    <col min="10" max="10" width="10.75" style="2" bestFit="1" customWidth="1"/>
    <col min="11" max="11" width="13.25" style="2" bestFit="1" customWidth="1"/>
    <col min="12" max="12" width="12" style="2" bestFit="1" customWidth="1"/>
    <col min="13" max="13" width="14.5" style="2" bestFit="1" customWidth="1"/>
    <col min="14" max="14" width="12" style="2" bestFit="1" customWidth="1"/>
    <col min="15" max="15" width="14.5" style="2" bestFit="1" customWidth="1"/>
    <col min="16" max="16" width="17" style="2" bestFit="1" customWidth="1"/>
    <col min="17" max="17" width="8.5" style="2" bestFit="1" customWidth="1"/>
    <col min="18" max="18" width="17" style="2" bestFit="1" customWidth="1"/>
    <col min="19" max="19" width="27" style="2" bestFit="1" customWidth="1"/>
    <col min="20" max="21" width="22" style="2" bestFit="1" customWidth="1"/>
    <col min="22" max="22" width="17" style="2" bestFit="1" customWidth="1"/>
    <col min="23" max="23" width="18.25" style="2" bestFit="1" customWidth="1"/>
    <col min="24" max="25" width="14.875" style="2" customWidth="1"/>
    <col min="26" max="26" width="18.625" style="2" bestFit="1" customWidth="1"/>
    <col min="27" max="28" width="22" style="2" bestFit="1" customWidth="1"/>
    <col min="29" max="16384" width="9" style="2"/>
  </cols>
  <sheetData>
    <row r="1" spans="1:28" s="5" customForma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40</v>
      </c>
      <c r="T1" s="5" t="s">
        <v>38</v>
      </c>
      <c r="U1" s="5" t="s">
        <v>39</v>
      </c>
      <c r="V1" s="5" t="s">
        <v>45</v>
      </c>
      <c r="W1" s="5" t="s">
        <v>48</v>
      </c>
      <c r="X1" s="5" t="s">
        <v>56</v>
      </c>
      <c r="Y1" s="5" t="s">
        <v>57</v>
      </c>
      <c r="Z1" s="5" t="s">
        <v>63</v>
      </c>
      <c r="AA1" s="5" t="s">
        <v>68</v>
      </c>
      <c r="AB1" s="5" t="s">
        <v>69</v>
      </c>
    </row>
    <row r="2" spans="1:28" s="6" customFormat="1" x14ac:dyDescent="0.15">
      <c r="A2" s="6" t="s">
        <v>18</v>
      </c>
      <c r="B2" s="6" t="s">
        <v>19</v>
      </c>
      <c r="C2" s="6" t="s">
        <v>20</v>
      </c>
      <c r="D2" s="6" t="s">
        <v>42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6" t="s">
        <v>34</v>
      </c>
      <c r="S2" s="6" t="s">
        <v>35</v>
      </c>
      <c r="T2" s="6" t="s">
        <v>36</v>
      </c>
      <c r="U2" s="6" t="s">
        <v>37</v>
      </c>
      <c r="V2" s="6" t="s">
        <v>44</v>
      </c>
      <c r="W2" s="6" t="s">
        <v>46</v>
      </c>
      <c r="X2" s="6" t="s">
        <v>49</v>
      </c>
      <c r="Y2" s="6" t="s">
        <v>50</v>
      </c>
      <c r="Z2" s="6" t="s">
        <v>58</v>
      </c>
      <c r="AA2" s="6" t="s">
        <v>66</v>
      </c>
      <c r="AB2" s="6" t="s">
        <v>67</v>
      </c>
    </row>
    <row r="3" spans="1:28" s="7" customFormat="1" ht="54" x14ac:dyDescent="0.15">
      <c r="B3" s="8" t="s">
        <v>41</v>
      </c>
      <c r="D3" s="8" t="s">
        <v>43</v>
      </c>
      <c r="W3" s="8" t="s">
        <v>47</v>
      </c>
      <c r="X3" s="7" t="s">
        <v>51</v>
      </c>
      <c r="Y3" s="7" t="s">
        <v>52</v>
      </c>
      <c r="Z3" s="8" t="s">
        <v>64</v>
      </c>
    </row>
    <row r="4" spans="1:28" s="4" customFormat="1" x14ac:dyDescent="0.15">
      <c r="A4" s="3">
        <f>140001</f>
        <v>140001</v>
      </c>
      <c r="B4" s="4">
        <v>1</v>
      </c>
      <c r="C4" s="4">
        <v>1</v>
      </c>
      <c r="D4" s="4">
        <v>1</v>
      </c>
      <c r="E4" s="4">
        <f>IF(OR($C4=3,$C4=7),VLOOKUP($D4,Sheet3!$A:$E,5,),0)</f>
        <v>0</v>
      </c>
      <c r="F4" s="4">
        <f>IF(OR($C4=1,$C4=5,$C4=9),VLOOKUP($D4,Sheet3!$A:$E,5,),0)</f>
        <v>19</v>
      </c>
      <c r="G4" s="4">
        <f>IF(OR($C4=2,$C4=6,$C4=10),VLOOKUP($D4,Sheet3!$A:$E,5,),0)</f>
        <v>0</v>
      </c>
      <c r="H4" s="4">
        <f>IF(OR($C4=4,$C4=8),VLOOKUP($D4,Sheet3!$A:$E,5,),0)</f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V4" s="4" t="str">
        <f>Sheet3!D2&amp;"+"&amp;Sheet3!E2</f>
        <v>攻击+19</v>
      </c>
      <c r="W4" s="4">
        <v>2</v>
      </c>
      <c r="X4" s="4" t="s">
        <v>53</v>
      </c>
      <c r="Y4" s="4">
        <v>1</v>
      </c>
      <c r="Z4" s="4" t="s">
        <v>60</v>
      </c>
      <c r="AA4" s="9">
        <v>-310</v>
      </c>
      <c r="AB4" s="9">
        <v>130</v>
      </c>
    </row>
    <row r="5" spans="1:28" x14ac:dyDescent="0.15">
      <c r="A5" s="1">
        <v>140002</v>
      </c>
      <c r="B5" s="2">
        <v>1</v>
      </c>
      <c r="C5" s="2">
        <v>2</v>
      </c>
      <c r="D5" s="2">
        <v>2</v>
      </c>
      <c r="E5" s="4">
        <f>IF(OR($C5=3,$C5=7),VLOOKUP($D5,Sheet3!$A:$E,5,),0)</f>
        <v>0</v>
      </c>
      <c r="F5" s="4">
        <f>IF(OR($C5=1,$C5=5,$C5=9),VLOOKUP($D5,Sheet3!$A:$E,5,),0)</f>
        <v>0</v>
      </c>
      <c r="G5" s="4">
        <f>IF(OR($C5=2,$C5=6,$C5=10),VLOOKUP($D5,Sheet3!$A:$E,5,),0)</f>
        <v>19</v>
      </c>
      <c r="H5" s="4">
        <f>IF(OR($C5=4,$C5=8),VLOOKUP($D5,Sheet3!$A:$E,5,),0)</f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2">
        <v>0</v>
      </c>
      <c r="Q5" s="2">
        <v>0</v>
      </c>
      <c r="R5" s="2">
        <v>0</v>
      </c>
      <c r="V5" s="4" t="str">
        <f>Sheet3!D3&amp;"+"&amp;Sheet3!E3</f>
        <v>防御+19</v>
      </c>
      <c r="W5" s="2">
        <v>2</v>
      </c>
      <c r="X5" s="2" t="s">
        <v>53</v>
      </c>
      <c r="Y5" s="2">
        <v>1</v>
      </c>
      <c r="Z5" s="4" t="s">
        <v>60</v>
      </c>
      <c r="AA5" s="9">
        <v>-137</v>
      </c>
      <c r="AB5" s="9">
        <v>130</v>
      </c>
    </row>
    <row r="6" spans="1:28" x14ac:dyDescent="0.15">
      <c r="A6" s="1">
        <v>140003</v>
      </c>
      <c r="B6" s="4">
        <v>1</v>
      </c>
      <c r="C6" s="2">
        <v>3</v>
      </c>
      <c r="D6" s="4">
        <v>3</v>
      </c>
      <c r="E6" s="4">
        <f>IF(OR($C6=3,$C6=7),VLOOKUP($D6,Sheet3!$A:$E,5,),0)</f>
        <v>142</v>
      </c>
      <c r="F6" s="4">
        <f>IF(OR($C6=1,$C6=5,$C6=9),VLOOKUP($D6,Sheet3!$A:$E,5,),0)</f>
        <v>0</v>
      </c>
      <c r="G6" s="4">
        <f>IF(OR($C6=2,$C6=6,$C6=10),VLOOKUP($D6,Sheet3!$A:$E,5,),0)</f>
        <v>0</v>
      </c>
      <c r="H6" s="4">
        <f>IF(OR($C6=4,$C6=8),VLOOKUP($D6,Sheet3!$A:$E,5,),0)</f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2">
        <v>0</v>
      </c>
      <c r="Q6" s="2">
        <v>0</v>
      </c>
      <c r="R6" s="2">
        <v>0</v>
      </c>
      <c r="V6" s="4" t="str">
        <f>Sheet3!D4&amp;"+"&amp;Sheet3!E4</f>
        <v>生命+142</v>
      </c>
      <c r="W6" s="2">
        <v>2</v>
      </c>
      <c r="X6" s="4" t="s">
        <v>53</v>
      </c>
      <c r="Y6" s="2">
        <v>1</v>
      </c>
      <c r="Z6" s="4" t="s">
        <v>59</v>
      </c>
      <c r="AA6" s="9">
        <v>-137</v>
      </c>
      <c r="AB6" s="9">
        <v>-115</v>
      </c>
    </row>
    <row r="7" spans="1:28" x14ac:dyDescent="0.15">
      <c r="A7" s="1">
        <v>140004</v>
      </c>
      <c r="B7" s="2">
        <v>1</v>
      </c>
      <c r="C7" s="2">
        <v>4</v>
      </c>
      <c r="D7" s="2">
        <v>4</v>
      </c>
      <c r="E7" s="4">
        <f>IF(OR($C7=3,$C7=7),VLOOKUP($D7,Sheet3!$A:$E,5,),0)</f>
        <v>0</v>
      </c>
      <c r="F7" s="4">
        <f>IF(OR($C7=1,$C7=5,$C7=9),VLOOKUP($D7,Sheet3!$A:$E,5,),0)</f>
        <v>0</v>
      </c>
      <c r="G7" s="4">
        <f>IF(OR($C7=2,$C7=6,$C7=10),VLOOKUP($D7,Sheet3!$A:$E,5,),0)</f>
        <v>0</v>
      </c>
      <c r="H7" s="4">
        <f>IF(OR($C7=4,$C7=8),VLOOKUP($D7,Sheet3!$A:$E,5,),0)</f>
        <v>28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2">
        <v>0</v>
      </c>
      <c r="Q7" s="2">
        <v>0</v>
      </c>
      <c r="R7" s="2">
        <v>0</v>
      </c>
      <c r="V7" s="4" t="str">
        <f>Sheet3!D5&amp;"+"&amp;Sheet3!E5</f>
        <v>霸气+28</v>
      </c>
      <c r="W7" s="2">
        <v>2</v>
      </c>
      <c r="X7" s="2" t="s">
        <v>53</v>
      </c>
      <c r="Y7" s="2">
        <v>1</v>
      </c>
      <c r="Z7" s="4" t="s">
        <v>59</v>
      </c>
      <c r="AA7" s="9">
        <v>92</v>
      </c>
      <c r="AB7" s="9">
        <v>-115</v>
      </c>
    </row>
    <row r="8" spans="1:28" x14ac:dyDescent="0.15">
      <c r="A8" s="1">
        <v>140005</v>
      </c>
      <c r="B8" s="4">
        <v>1</v>
      </c>
      <c r="C8" s="2">
        <v>5</v>
      </c>
      <c r="D8" s="4">
        <v>5</v>
      </c>
      <c r="E8" s="4">
        <f>IF(OR($C8=3,$C8=7),VLOOKUP($D8,Sheet3!$A:$E,5,),0)</f>
        <v>0</v>
      </c>
      <c r="F8" s="4">
        <f>IF(OR($C8=1,$C8=5,$C8=9),VLOOKUP($D8,Sheet3!$A:$E,5,),0)</f>
        <v>19</v>
      </c>
      <c r="G8" s="4">
        <f>IF(OR($C8=2,$C8=6,$C8=10),VLOOKUP($D8,Sheet3!$A:$E,5,),0)</f>
        <v>0</v>
      </c>
      <c r="H8" s="4">
        <f>IF(OR($C8=4,$C8=8),VLOOKUP($D8,Sheet3!$A:$E,5,),0)</f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2">
        <v>0</v>
      </c>
      <c r="Q8" s="2">
        <v>0</v>
      </c>
      <c r="R8" s="2">
        <v>0</v>
      </c>
      <c r="V8" s="4" t="str">
        <f>Sheet3!D6&amp;"+"&amp;Sheet3!E6</f>
        <v>攻击+19</v>
      </c>
      <c r="W8" s="2">
        <v>2</v>
      </c>
      <c r="X8" s="4" t="s">
        <v>53</v>
      </c>
      <c r="Y8" s="2">
        <v>1</v>
      </c>
      <c r="Z8" s="4" t="s">
        <v>59</v>
      </c>
      <c r="AA8" s="9">
        <v>92</v>
      </c>
      <c r="AB8" s="9">
        <v>55</v>
      </c>
    </row>
    <row r="9" spans="1:28" x14ac:dyDescent="0.15">
      <c r="A9" s="1">
        <v>140006</v>
      </c>
      <c r="B9" s="2">
        <v>1</v>
      </c>
      <c r="C9" s="2">
        <v>6</v>
      </c>
      <c r="D9" s="2">
        <v>6</v>
      </c>
      <c r="E9" s="4">
        <f>IF(OR($C9=3,$C9=7),VLOOKUP($D9,Sheet3!$A:$E,5,),0)</f>
        <v>0</v>
      </c>
      <c r="F9" s="4">
        <f>IF(OR($C9=1,$C9=5,$C9=9),VLOOKUP($D9,Sheet3!$A:$E,5,),0)</f>
        <v>0</v>
      </c>
      <c r="G9" s="4">
        <f>IF(OR($C9=2,$C9=6,$C9=10),VLOOKUP($D9,Sheet3!$A:$E,5,),0)</f>
        <v>19</v>
      </c>
      <c r="H9" s="4">
        <f>IF(OR($C9=4,$C9=8),VLOOKUP($D9,Sheet3!$A:$E,5,),0)</f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2">
        <v>0</v>
      </c>
      <c r="Q9" s="2">
        <v>0</v>
      </c>
      <c r="R9" s="2">
        <v>0</v>
      </c>
      <c r="V9" s="4" t="str">
        <f>Sheet3!D7&amp;"+"&amp;Sheet3!E7</f>
        <v>防御+19</v>
      </c>
      <c r="W9" s="2">
        <v>2</v>
      </c>
      <c r="X9" s="2" t="s">
        <v>53</v>
      </c>
      <c r="Y9" s="2">
        <v>1.3</v>
      </c>
      <c r="Z9" s="4" t="s">
        <v>59</v>
      </c>
      <c r="AA9" s="9">
        <v>340</v>
      </c>
      <c r="AB9" s="9">
        <v>55</v>
      </c>
    </row>
    <row r="10" spans="1:28" x14ac:dyDescent="0.15">
      <c r="A10" s="1">
        <v>140007</v>
      </c>
      <c r="B10" s="4">
        <v>1</v>
      </c>
      <c r="C10" s="4">
        <v>7</v>
      </c>
      <c r="D10" s="4">
        <v>7</v>
      </c>
      <c r="E10" s="4">
        <f>IF(OR($C10=3,$C10=7),VLOOKUP($D10,Sheet3!$A:$E,5,),0)</f>
        <v>142</v>
      </c>
      <c r="F10" s="4">
        <f>IF(OR($C10=1,$C10=5,$C10=9),VLOOKUP($D10,Sheet3!$A:$E,5,),0)</f>
        <v>0</v>
      </c>
      <c r="G10" s="4">
        <f>IF(OR($C10=2,$C10=6,$C10=10),VLOOKUP($D10,Sheet3!$A:$E,5,),0)</f>
        <v>0</v>
      </c>
      <c r="H10" s="4">
        <f>IF(OR($C10=4,$C10=8),VLOOKUP($D10,Sheet3!$A:$E,5,),0)</f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2">
        <v>0</v>
      </c>
      <c r="Q10" s="2">
        <v>0</v>
      </c>
      <c r="R10" s="2">
        <v>0</v>
      </c>
      <c r="V10" s="4" t="str">
        <f>Sheet3!D8&amp;"+"&amp;Sheet3!E8</f>
        <v>生命+142</v>
      </c>
      <c r="W10" s="2">
        <v>2</v>
      </c>
      <c r="X10" s="2" t="s">
        <v>55</v>
      </c>
      <c r="Y10" s="4">
        <v>1</v>
      </c>
      <c r="Z10" s="4" t="s">
        <v>62</v>
      </c>
      <c r="AA10" s="9">
        <v>-310</v>
      </c>
      <c r="AB10" s="9">
        <v>130</v>
      </c>
    </row>
    <row r="11" spans="1:28" x14ac:dyDescent="0.15">
      <c r="A11" s="1">
        <v>140008</v>
      </c>
      <c r="B11" s="2">
        <v>1</v>
      </c>
      <c r="C11" s="2">
        <v>8</v>
      </c>
      <c r="D11" s="2">
        <v>8</v>
      </c>
      <c r="E11" s="4">
        <f>IF(OR($C11=3,$C11=7),VLOOKUP($D11,Sheet3!$A:$E,5,),0)</f>
        <v>0</v>
      </c>
      <c r="F11" s="4">
        <f>IF(OR($C11=1,$C11=5,$C11=9),VLOOKUP($D11,Sheet3!$A:$E,5,),0)</f>
        <v>0</v>
      </c>
      <c r="G11" s="4">
        <f>IF(OR($C11=2,$C11=6,$C11=10),VLOOKUP($D11,Sheet3!$A:$E,5,),0)</f>
        <v>0</v>
      </c>
      <c r="H11" s="4">
        <f>IF(OR($C11=4,$C11=8),VLOOKUP($D11,Sheet3!$A:$E,5,),0)</f>
        <v>28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2">
        <v>0</v>
      </c>
      <c r="Q11" s="2">
        <v>0</v>
      </c>
      <c r="R11" s="2">
        <v>0</v>
      </c>
      <c r="V11" s="4" t="str">
        <f>Sheet3!D9&amp;"+"&amp;Sheet3!E9</f>
        <v>霸气+28</v>
      </c>
      <c r="W11" s="2">
        <v>2</v>
      </c>
      <c r="X11" s="2" t="s">
        <v>55</v>
      </c>
      <c r="Y11" s="2">
        <v>1</v>
      </c>
      <c r="Z11" s="4" t="s">
        <v>62</v>
      </c>
      <c r="AA11" s="9">
        <v>-137</v>
      </c>
      <c r="AB11" s="9">
        <v>130</v>
      </c>
    </row>
    <row r="12" spans="1:28" x14ac:dyDescent="0.15">
      <c r="A12" s="1">
        <v>140009</v>
      </c>
      <c r="B12" s="4">
        <v>1</v>
      </c>
      <c r="C12" s="2">
        <v>9</v>
      </c>
      <c r="D12" s="4">
        <v>9</v>
      </c>
      <c r="E12" s="4">
        <f>IF(OR($C12=3,$C12=7),VLOOKUP($D12,Sheet3!$A:$E,5,),0)</f>
        <v>0</v>
      </c>
      <c r="F12" s="4">
        <f>IF(OR($C12=1,$C12=5,$C12=9),VLOOKUP($D12,Sheet3!$A:$E,5,),0)</f>
        <v>19</v>
      </c>
      <c r="G12" s="4">
        <f>IF(OR($C12=2,$C12=6,$C12=10),VLOOKUP($D12,Sheet3!$A:$E,5,),0)</f>
        <v>0</v>
      </c>
      <c r="H12" s="4">
        <f>IF(OR($C12=4,$C12=8),VLOOKUP($D12,Sheet3!$A:$E,5,),0)</f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2">
        <v>0</v>
      </c>
      <c r="Q12" s="2">
        <v>0</v>
      </c>
      <c r="R12" s="2">
        <v>0</v>
      </c>
      <c r="V12" s="4" t="str">
        <f>Sheet3!D10&amp;"+"&amp;Sheet3!E10</f>
        <v>攻击+19</v>
      </c>
      <c r="W12" s="2">
        <v>2</v>
      </c>
      <c r="X12" s="2" t="s">
        <v>54</v>
      </c>
      <c r="Y12" s="2">
        <v>1</v>
      </c>
      <c r="Z12" s="4" t="s">
        <v>61</v>
      </c>
      <c r="AA12" s="9">
        <v>-137</v>
      </c>
      <c r="AB12" s="9">
        <v>-115</v>
      </c>
    </row>
    <row r="13" spans="1:28" x14ac:dyDescent="0.15">
      <c r="A13" s="1">
        <v>140010</v>
      </c>
      <c r="B13" s="2">
        <v>1</v>
      </c>
      <c r="C13" s="2">
        <v>10</v>
      </c>
      <c r="D13" s="2">
        <v>10</v>
      </c>
      <c r="E13" s="4">
        <f>IF(OR($C13=3,$C13=7),VLOOKUP($D13,Sheet3!$A:$E,5,),0)</f>
        <v>0</v>
      </c>
      <c r="F13" s="4">
        <f>IF(OR($C13=1,$C13=5,$C13=9),VLOOKUP($D13,Sheet3!$A:$E,5,),0)</f>
        <v>0</v>
      </c>
      <c r="G13" s="4">
        <f>IF(OR($C13=2,$C13=6,$C13=10),VLOOKUP($D13,Sheet3!$A:$E,5,),0)</f>
        <v>19</v>
      </c>
      <c r="H13" s="4">
        <f>IF(OR($C13=4,$C13=8),VLOOKUP($D13,Sheet3!$A:$E,5,),0)</f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2">
        <v>0</v>
      </c>
      <c r="Q13" s="2">
        <v>0</v>
      </c>
      <c r="R13" s="2">
        <v>0</v>
      </c>
      <c r="V13" s="4" t="str">
        <f>Sheet3!D11&amp;"+"&amp;Sheet3!E11</f>
        <v>防御+19</v>
      </c>
      <c r="W13" s="2">
        <v>1</v>
      </c>
      <c r="X13" s="2" t="s">
        <v>54</v>
      </c>
      <c r="Y13" s="2">
        <v>1</v>
      </c>
      <c r="Z13" s="4" t="s">
        <v>61</v>
      </c>
      <c r="AA13" s="9">
        <v>92</v>
      </c>
      <c r="AB13" s="9">
        <v>-115</v>
      </c>
    </row>
    <row r="14" spans="1:28" x14ac:dyDescent="0.15">
      <c r="A14" s="1">
        <v>140011</v>
      </c>
      <c r="B14" s="2">
        <f>B4+1</f>
        <v>2</v>
      </c>
      <c r="C14" s="4">
        <f>C4</f>
        <v>1</v>
      </c>
      <c r="D14" s="4">
        <v>11</v>
      </c>
      <c r="E14" s="4">
        <f>IF(OR($C14=3,$C14=7),VLOOKUP($D14,Sheet3!$A:$E,5,),0)</f>
        <v>0</v>
      </c>
      <c r="F14" s="4">
        <f>IF(OR($C14=1,$C14=5,$C14=9),VLOOKUP($D14,Sheet3!$A:$E,5,),0)</f>
        <v>19</v>
      </c>
      <c r="G14" s="4">
        <f>IF(OR($C14=2,$C14=6,$C14=10),VLOOKUP($D14,Sheet3!$A:$E,5,),0)</f>
        <v>0</v>
      </c>
      <c r="H14" s="4">
        <f>IF(OR($C14=4,$C14=8),VLOOKUP($D14,Sheet3!$A:$E,5,),0)</f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2">
        <v>0</v>
      </c>
      <c r="Q14" s="2">
        <v>0</v>
      </c>
      <c r="R14" s="2">
        <v>0</v>
      </c>
      <c r="V14" s="4" t="str">
        <f>Sheet3!D12&amp;"+"&amp;Sheet3!E12</f>
        <v>攻击+19</v>
      </c>
      <c r="W14" s="2">
        <v>2</v>
      </c>
      <c r="X14" s="2" t="s">
        <v>54</v>
      </c>
      <c r="Y14" s="2">
        <v>1</v>
      </c>
      <c r="Z14" s="4" t="s">
        <v>61</v>
      </c>
      <c r="AA14" s="9">
        <v>92</v>
      </c>
      <c r="AB14" s="9">
        <v>55</v>
      </c>
    </row>
    <row r="15" spans="1:28" x14ac:dyDescent="0.15">
      <c r="A15" s="1">
        <v>140012</v>
      </c>
      <c r="B15" s="2">
        <f t="shared" ref="B15:B78" si="0">B5+1</f>
        <v>2</v>
      </c>
      <c r="C15" s="4">
        <f t="shared" ref="C15:C78" si="1">C5</f>
        <v>2</v>
      </c>
      <c r="D15" s="2">
        <v>12</v>
      </c>
      <c r="E15" s="4">
        <f>IF(OR($C15=3,$C15=7),VLOOKUP($D15,Sheet3!$A:$E,5,),0)</f>
        <v>0</v>
      </c>
      <c r="F15" s="4">
        <f>IF(OR($C15=1,$C15=5,$C15=9),VLOOKUP($D15,Sheet3!$A:$E,5,),0)</f>
        <v>0</v>
      </c>
      <c r="G15" s="4">
        <f>IF(OR($C15=2,$C15=6,$C15=10),VLOOKUP($D15,Sheet3!$A:$E,5,),0)</f>
        <v>19</v>
      </c>
      <c r="H15" s="4">
        <f>IF(OR($C15=4,$C15=8),VLOOKUP($D15,Sheet3!$A:$E,5,),0)</f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2">
        <v>0</v>
      </c>
      <c r="Q15" s="2">
        <v>0</v>
      </c>
      <c r="R15" s="2">
        <v>0</v>
      </c>
      <c r="V15" s="4" t="str">
        <f>Sheet3!D13&amp;"+"&amp;Sheet3!E13</f>
        <v>防御+19</v>
      </c>
      <c r="W15" s="2">
        <v>2</v>
      </c>
      <c r="X15" s="2" t="s">
        <v>54</v>
      </c>
      <c r="Y15" s="2">
        <v>1.3</v>
      </c>
      <c r="Z15" s="4" t="s">
        <v>61</v>
      </c>
      <c r="AA15" s="9">
        <v>340</v>
      </c>
      <c r="AB15" s="9">
        <v>55</v>
      </c>
    </row>
    <row r="16" spans="1:28" x14ac:dyDescent="0.15">
      <c r="A16" s="1">
        <v>140013</v>
      </c>
      <c r="B16" s="2">
        <f t="shared" si="0"/>
        <v>2</v>
      </c>
      <c r="C16" s="4">
        <f t="shared" si="1"/>
        <v>3</v>
      </c>
      <c r="D16" s="4">
        <v>13</v>
      </c>
      <c r="E16" s="4">
        <f>IF(OR($C16=3,$C16=7),VLOOKUP($D16,Sheet3!$A:$E,5,),0)</f>
        <v>142</v>
      </c>
      <c r="F16" s="4">
        <f>IF(OR($C16=1,$C16=5,$C16=9),VLOOKUP($D16,Sheet3!$A:$E,5,),0)</f>
        <v>0</v>
      </c>
      <c r="G16" s="4">
        <f>IF(OR($C16=2,$C16=6,$C16=10),VLOOKUP($D16,Sheet3!$A:$E,5,),0)</f>
        <v>0</v>
      </c>
      <c r="H16" s="4">
        <f>IF(OR($C16=4,$C16=8),VLOOKUP($D16,Sheet3!$A:$E,5,),0)</f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2">
        <v>0</v>
      </c>
      <c r="Q16" s="2">
        <v>0</v>
      </c>
      <c r="R16" s="2">
        <v>0</v>
      </c>
      <c r="V16" s="4" t="str">
        <f>Sheet3!D14&amp;"+"&amp;Sheet3!E14</f>
        <v>生命+142</v>
      </c>
      <c r="W16" s="2">
        <v>2</v>
      </c>
      <c r="X16" s="2" t="s">
        <v>71</v>
      </c>
      <c r="Y16" s="4">
        <v>1</v>
      </c>
      <c r="Z16" s="4" t="s">
        <v>65</v>
      </c>
      <c r="AA16" s="9">
        <v>-310</v>
      </c>
      <c r="AB16" s="9">
        <v>130</v>
      </c>
    </row>
    <row r="17" spans="1:28" x14ac:dyDescent="0.15">
      <c r="A17" s="1">
        <v>140014</v>
      </c>
      <c r="B17" s="2">
        <f t="shared" si="0"/>
        <v>2</v>
      </c>
      <c r="C17" s="4">
        <f t="shared" si="1"/>
        <v>4</v>
      </c>
      <c r="D17" s="2">
        <v>14</v>
      </c>
      <c r="E17" s="4">
        <f>IF(OR($C17=3,$C17=7),VLOOKUP($D17,Sheet3!$A:$E,5,),0)</f>
        <v>0</v>
      </c>
      <c r="F17" s="4">
        <f>IF(OR($C17=1,$C17=5,$C17=9),VLOOKUP($D17,Sheet3!$A:$E,5,),0)</f>
        <v>0</v>
      </c>
      <c r="G17" s="4">
        <f>IF(OR($C17=2,$C17=6,$C17=10),VLOOKUP($D17,Sheet3!$A:$E,5,),0)</f>
        <v>0</v>
      </c>
      <c r="H17" s="4">
        <f>IF(OR($C17=4,$C17=8),VLOOKUP($D17,Sheet3!$A:$E,5,),0)</f>
        <v>28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2">
        <v>0</v>
      </c>
      <c r="Q17" s="2">
        <v>0</v>
      </c>
      <c r="R17" s="2">
        <v>0</v>
      </c>
      <c r="V17" s="4" t="str">
        <f>Sheet3!D15&amp;"+"&amp;Sheet3!E15</f>
        <v>霸气+28</v>
      </c>
      <c r="W17" s="2">
        <v>2</v>
      </c>
      <c r="X17" s="2" t="s">
        <v>71</v>
      </c>
      <c r="Y17" s="2">
        <v>1</v>
      </c>
      <c r="Z17" s="4" t="s">
        <v>65</v>
      </c>
      <c r="AA17" s="9">
        <v>-137</v>
      </c>
      <c r="AB17" s="9">
        <v>130</v>
      </c>
    </row>
    <row r="18" spans="1:28" x14ac:dyDescent="0.15">
      <c r="A18" s="1">
        <v>140015</v>
      </c>
      <c r="B18" s="2">
        <f t="shared" si="0"/>
        <v>2</v>
      </c>
      <c r="C18" s="4">
        <f t="shared" si="1"/>
        <v>5</v>
      </c>
      <c r="D18" s="4">
        <v>15</v>
      </c>
      <c r="E18" s="4">
        <f>IF(OR($C18=3,$C18=7),VLOOKUP($D18,Sheet3!$A:$E,5,),0)</f>
        <v>0</v>
      </c>
      <c r="F18" s="4">
        <f>IF(OR($C18=1,$C18=5,$C18=9),VLOOKUP($D18,Sheet3!$A:$E,5,),0)</f>
        <v>19</v>
      </c>
      <c r="G18" s="4">
        <f>IF(OR($C18=2,$C18=6,$C18=10),VLOOKUP($D18,Sheet3!$A:$E,5,),0)</f>
        <v>0</v>
      </c>
      <c r="H18" s="4">
        <f>IF(OR($C18=4,$C18=8),VLOOKUP($D18,Sheet3!$A:$E,5,),0)</f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2">
        <v>0</v>
      </c>
      <c r="Q18" s="2">
        <v>0</v>
      </c>
      <c r="R18" s="2">
        <v>0</v>
      </c>
      <c r="V18" s="4" t="str">
        <f>Sheet3!D16&amp;"+"&amp;Sheet3!E16</f>
        <v>攻击+19</v>
      </c>
      <c r="W18" s="2">
        <v>2</v>
      </c>
      <c r="X18" s="2" t="s">
        <v>70</v>
      </c>
      <c r="Y18" s="2">
        <v>1</v>
      </c>
      <c r="Z18" s="4" t="s">
        <v>65</v>
      </c>
      <c r="AA18" s="9">
        <v>-137</v>
      </c>
      <c r="AB18" s="9">
        <v>-115</v>
      </c>
    </row>
    <row r="19" spans="1:28" x14ac:dyDescent="0.15">
      <c r="A19" s="1">
        <v>140016</v>
      </c>
      <c r="B19" s="2">
        <f t="shared" si="0"/>
        <v>2</v>
      </c>
      <c r="C19" s="4">
        <f t="shared" si="1"/>
        <v>6</v>
      </c>
      <c r="D19" s="2">
        <v>16</v>
      </c>
      <c r="E19" s="4">
        <f>IF(OR($C19=3,$C19=7),VLOOKUP($D19,Sheet3!$A:$E,5,),0)</f>
        <v>0</v>
      </c>
      <c r="F19" s="4">
        <f>IF(OR($C19=1,$C19=5,$C19=9),VLOOKUP($D19,Sheet3!$A:$E,5,),0)</f>
        <v>0</v>
      </c>
      <c r="G19" s="4">
        <f>IF(OR($C19=2,$C19=6,$C19=10),VLOOKUP($D19,Sheet3!$A:$E,5,),0)</f>
        <v>19</v>
      </c>
      <c r="H19" s="4">
        <f>IF(OR($C19=4,$C19=8),VLOOKUP($D19,Sheet3!$A:$E,5,),0)</f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2">
        <v>0</v>
      </c>
      <c r="Q19" s="2">
        <v>0</v>
      </c>
      <c r="R19" s="2">
        <v>0</v>
      </c>
      <c r="V19" s="4" t="str">
        <f>Sheet3!D17&amp;"+"&amp;Sheet3!E17</f>
        <v>防御+19</v>
      </c>
      <c r="W19" s="2">
        <v>2</v>
      </c>
      <c r="X19" s="2" t="s">
        <v>70</v>
      </c>
      <c r="Y19" s="2">
        <v>1</v>
      </c>
      <c r="Z19" s="4" t="s">
        <v>65</v>
      </c>
      <c r="AA19" s="9">
        <v>92</v>
      </c>
      <c r="AB19" s="9">
        <v>-115</v>
      </c>
    </row>
    <row r="20" spans="1:28" x14ac:dyDescent="0.15">
      <c r="A20" s="1">
        <v>140017</v>
      </c>
      <c r="B20" s="2">
        <f t="shared" si="0"/>
        <v>2</v>
      </c>
      <c r="C20" s="4">
        <f t="shared" si="1"/>
        <v>7</v>
      </c>
      <c r="D20" s="4">
        <v>17</v>
      </c>
      <c r="E20" s="4">
        <f>IF(OR($C20=3,$C20=7),VLOOKUP($D20,Sheet3!$A:$E,5,),0)</f>
        <v>142</v>
      </c>
      <c r="F20" s="4">
        <f>IF(OR($C20=1,$C20=5,$C20=9),VLOOKUP($D20,Sheet3!$A:$E,5,),0)</f>
        <v>0</v>
      </c>
      <c r="G20" s="4">
        <f>IF(OR($C20=2,$C20=6,$C20=10),VLOOKUP($D20,Sheet3!$A:$E,5,),0)</f>
        <v>0</v>
      </c>
      <c r="H20" s="4">
        <f>IF(OR($C20=4,$C20=8),VLOOKUP($D20,Sheet3!$A:$E,5,),0)</f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2">
        <v>0</v>
      </c>
      <c r="Q20" s="2">
        <v>0</v>
      </c>
      <c r="R20" s="2">
        <v>0</v>
      </c>
      <c r="V20" s="4" t="str">
        <f>Sheet3!D18&amp;"+"&amp;Sheet3!E18</f>
        <v>生命+142</v>
      </c>
      <c r="W20" s="2">
        <v>2</v>
      </c>
      <c r="X20" s="2" t="s">
        <v>70</v>
      </c>
      <c r="Y20" s="2">
        <v>1</v>
      </c>
      <c r="Z20" s="4" t="s">
        <v>65</v>
      </c>
      <c r="AA20" s="9">
        <v>92</v>
      </c>
      <c r="AB20" s="9">
        <v>55</v>
      </c>
    </row>
    <row r="21" spans="1:28" x14ac:dyDescent="0.15">
      <c r="A21" s="1">
        <v>140018</v>
      </c>
      <c r="B21" s="2">
        <f t="shared" si="0"/>
        <v>2</v>
      </c>
      <c r="C21" s="4">
        <f t="shared" si="1"/>
        <v>8</v>
      </c>
      <c r="D21" s="2">
        <v>18</v>
      </c>
      <c r="E21" s="4">
        <f>IF(OR($C21=3,$C21=7),VLOOKUP($D21,Sheet3!$A:$E,5,),0)</f>
        <v>0</v>
      </c>
      <c r="F21" s="4">
        <f>IF(OR($C21=1,$C21=5,$C21=9),VLOOKUP($D21,Sheet3!$A:$E,5,),0)</f>
        <v>0</v>
      </c>
      <c r="G21" s="4">
        <f>IF(OR($C21=2,$C21=6,$C21=10),VLOOKUP($D21,Sheet3!$A:$E,5,),0)</f>
        <v>0</v>
      </c>
      <c r="H21" s="4">
        <f>IF(OR($C21=4,$C21=8),VLOOKUP($D21,Sheet3!$A:$E,5,),0)</f>
        <v>28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2">
        <v>0</v>
      </c>
      <c r="Q21" s="2">
        <v>0</v>
      </c>
      <c r="R21" s="2">
        <v>0</v>
      </c>
      <c r="V21" s="4" t="str">
        <f>Sheet3!D19&amp;"+"&amp;Sheet3!E19</f>
        <v>霸气+28</v>
      </c>
      <c r="W21" s="2">
        <v>2</v>
      </c>
      <c r="X21" s="2" t="s">
        <v>70</v>
      </c>
      <c r="Y21" s="2">
        <v>1.3</v>
      </c>
      <c r="Z21" s="4" t="s">
        <v>65</v>
      </c>
      <c r="AA21" s="9">
        <v>340</v>
      </c>
      <c r="AB21" s="9">
        <v>55</v>
      </c>
    </row>
    <row r="22" spans="1:28" x14ac:dyDescent="0.15">
      <c r="A22" s="1">
        <v>140019</v>
      </c>
      <c r="B22" s="2">
        <f t="shared" si="0"/>
        <v>2</v>
      </c>
      <c r="C22" s="4">
        <f t="shared" si="1"/>
        <v>9</v>
      </c>
      <c r="D22" s="4">
        <v>19</v>
      </c>
      <c r="E22" s="4">
        <f>IF(OR($C22=3,$C22=7),VLOOKUP($D22,Sheet3!$A:$E,5,),0)</f>
        <v>0</v>
      </c>
      <c r="F22" s="4">
        <f>IF(OR($C22=1,$C22=5,$C22=9),VLOOKUP($D22,Sheet3!$A:$E,5,),0)</f>
        <v>19</v>
      </c>
      <c r="G22" s="4">
        <f>IF(OR($C22=2,$C22=6,$C22=10),VLOOKUP($D22,Sheet3!$A:$E,5,),0)</f>
        <v>0</v>
      </c>
      <c r="H22" s="4">
        <f>IF(OR($C22=4,$C22=8),VLOOKUP($D22,Sheet3!$A:$E,5,),0)</f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2">
        <v>0</v>
      </c>
      <c r="Q22" s="2">
        <v>0</v>
      </c>
      <c r="R22" s="2">
        <v>0</v>
      </c>
      <c r="V22" s="4" t="str">
        <f>Sheet3!D20&amp;"+"&amp;Sheet3!E20</f>
        <v>攻击+19</v>
      </c>
      <c r="W22" s="2">
        <v>2</v>
      </c>
      <c r="X22" s="2" t="s">
        <v>70</v>
      </c>
      <c r="Y22" s="2">
        <v>1</v>
      </c>
      <c r="Z22" s="4" t="s">
        <v>65</v>
      </c>
      <c r="AA22" s="2">
        <f>AA4</f>
        <v>-310</v>
      </c>
      <c r="AB22" s="2">
        <f>AB4</f>
        <v>130</v>
      </c>
    </row>
    <row r="23" spans="1:28" x14ac:dyDescent="0.15">
      <c r="A23" s="1">
        <v>140020</v>
      </c>
      <c r="B23" s="2">
        <f t="shared" si="0"/>
        <v>2</v>
      </c>
      <c r="C23" s="4">
        <f t="shared" si="1"/>
        <v>10</v>
      </c>
      <c r="D23" s="2">
        <v>20</v>
      </c>
      <c r="E23" s="4">
        <f>IF(OR($C23=3,$C23=7),VLOOKUP($D23,Sheet3!$A:$E,5,),0)</f>
        <v>0</v>
      </c>
      <c r="F23" s="4">
        <f>IF(OR($C23=1,$C23=5,$C23=9),VLOOKUP($D23,Sheet3!$A:$E,5,),0)</f>
        <v>0</v>
      </c>
      <c r="G23" s="4">
        <f>IF(OR($C23=2,$C23=6,$C23=10),VLOOKUP($D23,Sheet3!$A:$E,5,),0)</f>
        <v>19</v>
      </c>
      <c r="H23" s="4">
        <f>IF(OR($C23=4,$C23=8),VLOOKUP($D23,Sheet3!$A:$E,5,),0)</f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2">
        <v>0</v>
      </c>
      <c r="Q23" s="2">
        <v>0</v>
      </c>
      <c r="R23" s="2">
        <v>0</v>
      </c>
      <c r="V23" s="4" t="str">
        <f>Sheet3!D21&amp;"+"&amp;Sheet3!E21</f>
        <v>防御+19</v>
      </c>
      <c r="W23" s="2">
        <v>2</v>
      </c>
      <c r="X23" s="2" t="s">
        <v>70</v>
      </c>
      <c r="Y23" s="2">
        <v>1</v>
      </c>
      <c r="Z23" s="4" t="s">
        <v>65</v>
      </c>
      <c r="AA23" s="2">
        <f t="shared" ref="AA23:AB23" si="2">AA5</f>
        <v>-137</v>
      </c>
      <c r="AB23" s="2">
        <f t="shared" si="2"/>
        <v>130</v>
      </c>
    </row>
    <row r="24" spans="1:28" x14ac:dyDescent="0.15">
      <c r="A24" s="1">
        <v>140021</v>
      </c>
      <c r="B24" s="2">
        <f t="shared" si="0"/>
        <v>3</v>
      </c>
      <c r="C24" s="4">
        <f t="shared" si="1"/>
        <v>1</v>
      </c>
      <c r="D24" s="4">
        <v>21</v>
      </c>
      <c r="E24" s="4">
        <f>IF(OR($C24=3,$C24=7),VLOOKUP($D24,Sheet3!$A:$E,5,),0)</f>
        <v>0</v>
      </c>
      <c r="F24" s="4">
        <f>IF(OR($C24=1,$C24=5,$C24=9),VLOOKUP($D24,Sheet3!$A:$E,5,),0)</f>
        <v>29</v>
      </c>
      <c r="G24" s="4">
        <f>IF(OR($C24=2,$C24=6,$C24=10),VLOOKUP($D24,Sheet3!$A:$E,5,),0)</f>
        <v>0</v>
      </c>
      <c r="H24" s="4">
        <f>IF(OR($C24=4,$C24=8),VLOOKUP($D24,Sheet3!$A:$E,5,),0)</f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2">
        <v>0</v>
      </c>
      <c r="Q24" s="2">
        <v>0</v>
      </c>
      <c r="R24" s="2">
        <v>0</v>
      </c>
      <c r="V24" s="4" t="str">
        <f>Sheet3!D22&amp;"+"&amp;Sheet3!E22</f>
        <v>攻击+29</v>
      </c>
      <c r="W24" s="2">
        <v>2</v>
      </c>
      <c r="X24" s="2" t="s">
        <v>70</v>
      </c>
      <c r="Y24" s="2">
        <v>1</v>
      </c>
      <c r="Z24" s="4" t="s">
        <v>65</v>
      </c>
      <c r="AA24" s="2">
        <f t="shared" ref="AA24:AB24" si="3">AA6</f>
        <v>-137</v>
      </c>
      <c r="AB24" s="2">
        <f t="shared" si="3"/>
        <v>-115</v>
      </c>
    </row>
    <row r="25" spans="1:28" x14ac:dyDescent="0.15">
      <c r="A25" s="1">
        <v>140022</v>
      </c>
      <c r="B25" s="2">
        <f t="shared" si="0"/>
        <v>3</v>
      </c>
      <c r="C25" s="4">
        <f t="shared" si="1"/>
        <v>2</v>
      </c>
      <c r="D25" s="2">
        <v>22</v>
      </c>
      <c r="E25" s="4">
        <f>IF(OR($C25=3,$C25=7),VLOOKUP($D25,Sheet3!$A:$E,5,),0)</f>
        <v>0</v>
      </c>
      <c r="F25" s="4">
        <f>IF(OR($C25=1,$C25=5,$C25=9),VLOOKUP($D25,Sheet3!$A:$E,5,),0)</f>
        <v>0</v>
      </c>
      <c r="G25" s="4">
        <f>IF(OR($C25=2,$C25=6,$C25=10),VLOOKUP($D25,Sheet3!$A:$E,5,),0)</f>
        <v>29</v>
      </c>
      <c r="H25" s="4">
        <f>IF(OR($C25=4,$C25=8),VLOOKUP($D25,Sheet3!$A:$E,5,),0)</f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2">
        <v>0</v>
      </c>
      <c r="Q25" s="2">
        <v>0</v>
      </c>
      <c r="R25" s="2">
        <v>0</v>
      </c>
      <c r="V25" s="4" t="str">
        <f>Sheet3!D23&amp;"+"&amp;Sheet3!E23</f>
        <v>防御+29</v>
      </c>
      <c r="W25" s="2">
        <v>2</v>
      </c>
      <c r="X25" s="2" t="s">
        <v>70</v>
      </c>
      <c r="Y25" s="2">
        <v>1</v>
      </c>
      <c r="Z25" s="4" t="s">
        <v>65</v>
      </c>
      <c r="AA25" s="2">
        <f t="shared" ref="AA25:AB25" si="4">AA7</f>
        <v>92</v>
      </c>
      <c r="AB25" s="2">
        <f t="shared" si="4"/>
        <v>-115</v>
      </c>
    </row>
    <row r="26" spans="1:28" x14ac:dyDescent="0.15">
      <c r="A26" s="1">
        <v>140023</v>
      </c>
      <c r="B26" s="2">
        <f t="shared" si="0"/>
        <v>3</v>
      </c>
      <c r="C26" s="4">
        <f t="shared" si="1"/>
        <v>3</v>
      </c>
      <c r="D26" s="4">
        <v>23</v>
      </c>
      <c r="E26" s="4">
        <f>IF(OR($C26=3,$C26=7),VLOOKUP($D26,Sheet3!$A:$E,5,),0)</f>
        <v>217</v>
      </c>
      <c r="F26" s="4">
        <f>IF(OR($C26=1,$C26=5,$C26=9),VLOOKUP($D26,Sheet3!$A:$E,5,),0)</f>
        <v>0</v>
      </c>
      <c r="G26" s="4">
        <f>IF(OR($C26=2,$C26=6,$C26=10),VLOOKUP($D26,Sheet3!$A:$E,5,),0)</f>
        <v>0</v>
      </c>
      <c r="H26" s="4">
        <f>IF(OR($C26=4,$C26=8),VLOOKUP($D26,Sheet3!$A:$E,5,),0)</f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2">
        <v>0</v>
      </c>
      <c r="Q26" s="2">
        <v>0</v>
      </c>
      <c r="R26" s="2">
        <v>0</v>
      </c>
      <c r="V26" s="4" t="str">
        <f>Sheet3!D24&amp;"+"&amp;Sheet3!E24</f>
        <v>生命+217</v>
      </c>
      <c r="W26" s="2">
        <v>2</v>
      </c>
      <c r="X26" s="2" t="s">
        <v>70</v>
      </c>
      <c r="Y26" s="2">
        <v>1</v>
      </c>
      <c r="Z26" s="4" t="s">
        <v>65</v>
      </c>
      <c r="AA26" s="2">
        <f t="shared" ref="AA26:AB26" si="5">AA8</f>
        <v>92</v>
      </c>
      <c r="AB26" s="2">
        <f t="shared" si="5"/>
        <v>55</v>
      </c>
    </row>
    <row r="27" spans="1:28" x14ac:dyDescent="0.15">
      <c r="A27" s="1">
        <v>140024</v>
      </c>
      <c r="B27" s="2">
        <f t="shared" si="0"/>
        <v>3</v>
      </c>
      <c r="C27" s="4">
        <f t="shared" si="1"/>
        <v>4</v>
      </c>
      <c r="D27" s="2">
        <v>24</v>
      </c>
      <c r="E27" s="4">
        <f>IF(OR($C27=3,$C27=7),VLOOKUP($D27,Sheet3!$A:$E,5,),0)</f>
        <v>0</v>
      </c>
      <c r="F27" s="4">
        <f>IF(OR($C27=1,$C27=5,$C27=9),VLOOKUP($D27,Sheet3!$A:$E,5,),0)</f>
        <v>0</v>
      </c>
      <c r="G27" s="4">
        <f>IF(OR($C27=2,$C27=6,$C27=10),VLOOKUP($D27,Sheet3!$A:$E,5,),0)</f>
        <v>0</v>
      </c>
      <c r="H27" s="4">
        <f>IF(OR($C27=4,$C27=8),VLOOKUP($D27,Sheet3!$A:$E,5,),0)</f>
        <v>43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2">
        <v>0</v>
      </c>
      <c r="Q27" s="2">
        <v>0</v>
      </c>
      <c r="R27" s="2">
        <v>0</v>
      </c>
      <c r="V27" s="4" t="str">
        <f>Sheet3!D25&amp;"+"&amp;Sheet3!E25</f>
        <v>霸气+43</v>
      </c>
      <c r="W27" s="2">
        <v>2</v>
      </c>
      <c r="X27" s="2" t="s">
        <v>70</v>
      </c>
      <c r="Y27" s="2">
        <v>1</v>
      </c>
      <c r="Z27" s="4" t="s">
        <v>65</v>
      </c>
      <c r="AA27" s="2">
        <f t="shared" ref="AA27:AB27" si="6">AA9</f>
        <v>340</v>
      </c>
      <c r="AB27" s="2">
        <f t="shared" si="6"/>
        <v>55</v>
      </c>
    </row>
    <row r="28" spans="1:28" x14ac:dyDescent="0.15">
      <c r="A28" s="1">
        <v>140025</v>
      </c>
      <c r="B28" s="2">
        <f t="shared" si="0"/>
        <v>3</v>
      </c>
      <c r="C28" s="4">
        <f t="shared" si="1"/>
        <v>5</v>
      </c>
      <c r="D28" s="4">
        <v>25</v>
      </c>
      <c r="E28" s="4">
        <f>IF(OR($C28=3,$C28=7),VLOOKUP($D28,Sheet3!$A:$E,5,),0)</f>
        <v>0</v>
      </c>
      <c r="F28" s="4">
        <f>IF(OR($C28=1,$C28=5,$C28=9),VLOOKUP($D28,Sheet3!$A:$E,5,),0)</f>
        <v>29</v>
      </c>
      <c r="G28" s="4">
        <f>IF(OR($C28=2,$C28=6,$C28=10),VLOOKUP($D28,Sheet3!$A:$E,5,),0)</f>
        <v>0</v>
      </c>
      <c r="H28" s="4">
        <f>IF(OR($C28=4,$C28=8),VLOOKUP($D28,Sheet3!$A:$E,5,),0)</f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2">
        <v>0</v>
      </c>
      <c r="Q28" s="2">
        <v>0</v>
      </c>
      <c r="R28" s="2">
        <v>0</v>
      </c>
      <c r="V28" s="4" t="str">
        <f>Sheet3!D26&amp;"+"&amp;Sheet3!E26</f>
        <v>攻击+29</v>
      </c>
      <c r="W28" s="2">
        <v>2</v>
      </c>
      <c r="X28" s="2" t="s">
        <v>70</v>
      </c>
      <c r="Y28" s="2">
        <v>1</v>
      </c>
      <c r="Z28" s="4" t="s">
        <v>65</v>
      </c>
      <c r="AA28" s="2">
        <f t="shared" ref="AA28:AB28" si="7">AA10</f>
        <v>-310</v>
      </c>
      <c r="AB28" s="2">
        <f t="shared" si="7"/>
        <v>130</v>
      </c>
    </row>
    <row r="29" spans="1:28" x14ac:dyDescent="0.15">
      <c r="A29" s="1">
        <v>140026</v>
      </c>
      <c r="B29" s="2">
        <f t="shared" si="0"/>
        <v>3</v>
      </c>
      <c r="C29" s="4">
        <f t="shared" si="1"/>
        <v>6</v>
      </c>
      <c r="D29" s="2">
        <v>26</v>
      </c>
      <c r="E29" s="4">
        <f>IF(OR($C29=3,$C29=7),VLOOKUP($D29,Sheet3!$A:$E,5,),0)</f>
        <v>0</v>
      </c>
      <c r="F29" s="4">
        <f>IF(OR($C29=1,$C29=5,$C29=9),VLOOKUP($D29,Sheet3!$A:$E,5,),0)</f>
        <v>0</v>
      </c>
      <c r="G29" s="4">
        <f>IF(OR($C29=2,$C29=6,$C29=10),VLOOKUP($D29,Sheet3!$A:$E,5,),0)</f>
        <v>29</v>
      </c>
      <c r="H29" s="4">
        <f>IF(OR($C29=4,$C29=8),VLOOKUP($D29,Sheet3!$A:$E,5,),0)</f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2">
        <v>0</v>
      </c>
      <c r="Q29" s="2">
        <v>0</v>
      </c>
      <c r="R29" s="2">
        <v>0</v>
      </c>
      <c r="V29" s="4" t="str">
        <f>Sheet3!D27&amp;"+"&amp;Sheet3!E27</f>
        <v>防御+29</v>
      </c>
      <c r="W29" s="2">
        <v>2</v>
      </c>
      <c r="X29" s="2" t="s">
        <v>70</v>
      </c>
      <c r="Y29" s="2">
        <v>1</v>
      </c>
      <c r="Z29" s="4" t="s">
        <v>65</v>
      </c>
      <c r="AA29" s="2">
        <f t="shared" ref="AA29:AB29" si="8">AA11</f>
        <v>-137</v>
      </c>
      <c r="AB29" s="2">
        <f t="shared" si="8"/>
        <v>130</v>
      </c>
    </row>
    <row r="30" spans="1:28" x14ac:dyDescent="0.15">
      <c r="A30" s="1">
        <v>140027</v>
      </c>
      <c r="B30" s="2">
        <f t="shared" si="0"/>
        <v>3</v>
      </c>
      <c r="C30" s="4">
        <f t="shared" si="1"/>
        <v>7</v>
      </c>
      <c r="D30" s="4">
        <v>27</v>
      </c>
      <c r="E30" s="4">
        <f>IF(OR($C30=3,$C30=7),VLOOKUP($D30,Sheet3!$A:$E,5,),0)</f>
        <v>217</v>
      </c>
      <c r="F30" s="4">
        <f>IF(OR($C30=1,$C30=5,$C30=9),VLOOKUP($D30,Sheet3!$A:$E,5,),0)</f>
        <v>0</v>
      </c>
      <c r="G30" s="4">
        <f>IF(OR($C30=2,$C30=6,$C30=10),VLOOKUP($D30,Sheet3!$A:$E,5,),0)</f>
        <v>0</v>
      </c>
      <c r="H30" s="4">
        <f>IF(OR($C30=4,$C30=8),VLOOKUP($D30,Sheet3!$A:$E,5,),0)</f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2">
        <v>0</v>
      </c>
      <c r="Q30" s="2">
        <v>0</v>
      </c>
      <c r="R30" s="2">
        <v>0</v>
      </c>
      <c r="V30" s="4" t="str">
        <f>Sheet3!D28&amp;"+"&amp;Sheet3!E28</f>
        <v>生命+217</v>
      </c>
      <c r="W30" s="2">
        <v>2</v>
      </c>
      <c r="X30" s="2" t="s">
        <v>70</v>
      </c>
      <c r="Y30" s="2">
        <v>1</v>
      </c>
      <c r="Z30" s="4" t="s">
        <v>65</v>
      </c>
      <c r="AA30" s="2">
        <f t="shared" ref="AA30:AB30" si="9">AA12</f>
        <v>-137</v>
      </c>
      <c r="AB30" s="2">
        <f t="shared" si="9"/>
        <v>-115</v>
      </c>
    </row>
    <row r="31" spans="1:28" x14ac:dyDescent="0.15">
      <c r="A31" s="1">
        <v>140028</v>
      </c>
      <c r="B31" s="2">
        <f t="shared" si="0"/>
        <v>3</v>
      </c>
      <c r="C31" s="4">
        <f t="shared" si="1"/>
        <v>8</v>
      </c>
      <c r="D31" s="2">
        <v>28</v>
      </c>
      <c r="E31" s="4">
        <f>IF(OR($C31=3,$C31=7),VLOOKUP($D31,Sheet3!$A:$E,5,),0)</f>
        <v>0</v>
      </c>
      <c r="F31" s="4">
        <f>IF(OR($C31=1,$C31=5,$C31=9),VLOOKUP($D31,Sheet3!$A:$E,5,),0)</f>
        <v>0</v>
      </c>
      <c r="G31" s="4">
        <f>IF(OR($C31=2,$C31=6,$C31=10),VLOOKUP($D31,Sheet3!$A:$E,5,),0)</f>
        <v>0</v>
      </c>
      <c r="H31" s="4">
        <f>IF(OR($C31=4,$C31=8),VLOOKUP($D31,Sheet3!$A:$E,5,),0)</f>
        <v>43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2">
        <v>0</v>
      </c>
      <c r="Q31" s="2">
        <v>0</v>
      </c>
      <c r="R31" s="2">
        <v>0</v>
      </c>
      <c r="V31" s="4" t="str">
        <f>Sheet3!D29&amp;"+"&amp;Sheet3!E29</f>
        <v>霸气+43</v>
      </c>
      <c r="W31" s="2">
        <v>2</v>
      </c>
      <c r="X31" s="2" t="s">
        <v>70</v>
      </c>
      <c r="Y31" s="2">
        <v>1</v>
      </c>
      <c r="Z31" s="4" t="s">
        <v>65</v>
      </c>
      <c r="AA31" s="2">
        <f t="shared" ref="AA31:AB31" si="10">AA13</f>
        <v>92</v>
      </c>
      <c r="AB31" s="2">
        <f t="shared" si="10"/>
        <v>-115</v>
      </c>
    </row>
    <row r="32" spans="1:28" x14ac:dyDescent="0.15">
      <c r="A32" s="1">
        <v>140029</v>
      </c>
      <c r="B32" s="2">
        <f t="shared" si="0"/>
        <v>3</v>
      </c>
      <c r="C32" s="4">
        <f t="shared" si="1"/>
        <v>9</v>
      </c>
      <c r="D32" s="4">
        <v>29</v>
      </c>
      <c r="E32" s="4">
        <f>IF(OR($C32=3,$C32=7),VLOOKUP($D32,Sheet3!$A:$E,5,),0)</f>
        <v>0</v>
      </c>
      <c r="F32" s="4">
        <f>IF(OR($C32=1,$C32=5,$C32=9),VLOOKUP($D32,Sheet3!$A:$E,5,),0)</f>
        <v>29</v>
      </c>
      <c r="G32" s="4">
        <f>IF(OR($C32=2,$C32=6,$C32=10),VLOOKUP($D32,Sheet3!$A:$E,5,),0)</f>
        <v>0</v>
      </c>
      <c r="H32" s="4">
        <f>IF(OR($C32=4,$C32=8),VLOOKUP($D32,Sheet3!$A:$E,5,),0)</f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2">
        <v>0</v>
      </c>
      <c r="Q32" s="2">
        <v>0</v>
      </c>
      <c r="R32" s="2">
        <v>0</v>
      </c>
      <c r="V32" s="4" t="str">
        <f>Sheet3!D30&amp;"+"&amp;Sheet3!E30</f>
        <v>攻击+29</v>
      </c>
      <c r="W32" s="2">
        <v>2</v>
      </c>
      <c r="X32" s="2" t="s">
        <v>70</v>
      </c>
      <c r="Y32" s="2">
        <v>1</v>
      </c>
      <c r="Z32" s="4" t="s">
        <v>65</v>
      </c>
      <c r="AA32" s="2">
        <f t="shared" ref="AA32:AB32" si="11">AA14</f>
        <v>92</v>
      </c>
      <c r="AB32" s="2">
        <f t="shared" si="11"/>
        <v>55</v>
      </c>
    </row>
    <row r="33" spans="1:28" x14ac:dyDescent="0.15">
      <c r="A33" s="1">
        <v>140030</v>
      </c>
      <c r="B33" s="2">
        <f t="shared" si="0"/>
        <v>3</v>
      </c>
      <c r="C33" s="4">
        <f t="shared" si="1"/>
        <v>10</v>
      </c>
      <c r="D33" s="2">
        <v>30</v>
      </c>
      <c r="E33" s="4">
        <f>IF(OR($C33=3,$C33=7),VLOOKUP($D33,Sheet3!$A:$E,5,),0)</f>
        <v>0</v>
      </c>
      <c r="F33" s="4">
        <f>IF(OR($C33=1,$C33=5,$C33=9),VLOOKUP($D33,Sheet3!$A:$E,5,),0)</f>
        <v>0</v>
      </c>
      <c r="G33" s="4">
        <f>IF(OR($C33=2,$C33=6,$C33=10),VLOOKUP($D33,Sheet3!$A:$E,5,),0)</f>
        <v>29</v>
      </c>
      <c r="H33" s="4">
        <f>IF(OR($C33=4,$C33=8),VLOOKUP($D33,Sheet3!$A:$E,5,),0)</f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2">
        <v>0</v>
      </c>
      <c r="Q33" s="2">
        <v>0</v>
      </c>
      <c r="R33" s="2">
        <v>0</v>
      </c>
      <c r="V33" s="4" t="str">
        <f>Sheet3!D31&amp;"+"&amp;Sheet3!E31</f>
        <v>防御+29</v>
      </c>
      <c r="W33" s="2">
        <v>2</v>
      </c>
      <c r="X33" s="2" t="s">
        <v>70</v>
      </c>
      <c r="Y33" s="2">
        <v>1</v>
      </c>
      <c r="Z33" s="4" t="s">
        <v>65</v>
      </c>
      <c r="AA33" s="2">
        <f t="shared" ref="AA33:AB33" si="12">AA15</f>
        <v>340</v>
      </c>
      <c r="AB33" s="2">
        <f t="shared" si="12"/>
        <v>55</v>
      </c>
    </row>
    <row r="34" spans="1:28" x14ac:dyDescent="0.15">
      <c r="A34" s="1">
        <v>140031</v>
      </c>
      <c r="B34" s="2">
        <f t="shared" si="0"/>
        <v>4</v>
      </c>
      <c r="C34" s="4">
        <f t="shared" si="1"/>
        <v>1</v>
      </c>
      <c r="D34" s="4">
        <v>31</v>
      </c>
      <c r="E34" s="4">
        <f>IF(OR($C34=3,$C34=7),VLOOKUP($D34,Sheet3!$A:$E,5,),0)</f>
        <v>0</v>
      </c>
      <c r="F34" s="4">
        <f>IF(OR($C34=1,$C34=5,$C34=9),VLOOKUP($D34,Sheet3!$A:$E,5,),0)</f>
        <v>39</v>
      </c>
      <c r="G34" s="4">
        <f>IF(OR($C34=2,$C34=6,$C34=10),VLOOKUP($D34,Sheet3!$A:$E,5,),0)</f>
        <v>0</v>
      </c>
      <c r="H34" s="4">
        <f>IF(OR($C34=4,$C34=8),VLOOKUP($D34,Sheet3!$A:$E,5,),0)</f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2">
        <v>0</v>
      </c>
      <c r="Q34" s="2">
        <v>0</v>
      </c>
      <c r="R34" s="2">
        <v>0</v>
      </c>
      <c r="V34" s="4" t="str">
        <f>Sheet3!D32&amp;"+"&amp;Sheet3!E32</f>
        <v>攻击+39</v>
      </c>
      <c r="W34" s="2">
        <v>2</v>
      </c>
      <c r="X34" s="2" t="s">
        <v>70</v>
      </c>
      <c r="Y34" s="2">
        <v>1</v>
      </c>
      <c r="Z34" s="4" t="s">
        <v>65</v>
      </c>
      <c r="AA34" s="2">
        <f t="shared" ref="AA34:AB34" si="13">AA16</f>
        <v>-310</v>
      </c>
      <c r="AB34" s="2">
        <f t="shared" si="13"/>
        <v>130</v>
      </c>
    </row>
    <row r="35" spans="1:28" x14ac:dyDescent="0.15">
      <c r="A35" s="1">
        <v>140032</v>
      </c>
      <c r="B35" s="2">
        <f t="shared" si="0"/>
        <v>4</v>
      </c>
      <c r="C35" s="4">
        <f t="shared" si="1"/>
        <v>2</v>
      </c>
      <c r="D35" s="2">
        <v>32</v>
      </c>
      <c r="E35" s="4">
        <f>IF(OR($C35=3,$C35=7),VLOOKUP($D35,Sheet3!$A:$E,5,),0)</f>
        <v>0</v>
      </c>
      <c r="F35" s="4">
        <f>IF(OR($C35=1,$C35=5,$C35=9),VLOOKUP($D35,Sheet3!$A:$E,5,),0)</f>
        <v>0</v>
      </c>
      <c r="G35" s="4">
        <f>IF(OR($C35=2,$C35=6,$C35=10),VLOOKUP($D35,Sheet3!$A:$E,5,),0)</f>
        <v>39</v>
      </c>
      <c r="H35" s="4">
        <f>IF(OR($C35=4,$C35=8),VLOOKUP($D35,Sheet3!$A:$E,5,),0)</f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2">
        <v>0</v>
      </c>
      <c r="Q35" s="2">
        <v>0</v>
      </c>
      <c r="R35" s="2">
        <v>0</v>
      </c>
      <c r="V35" s="4" t="str">
        <f>Sheet3!D33&amp;"+"&amp;Sheet3!E33</f>
        <v>防御+39</v>
      </c>
      <c r="W35" s="2">
        <v>2</v>
      </c>
      <c r="X35" s="2" t="s">
        <v>70</v>
      </c>
      <c r="Y35" s="2">
        <v>1</v>
      </c>
      <c r="Z35" s="4" t="s">
        <v>65</v>
      </c>
      <c r="AA35" s="2">
        <f t="shared" ref="AA35:AB35" si="14">AA17</f>
        <v>-137</v>
      </c>
      <c r="AB35" s="2">
        <f t="shared" si="14"/>
        <v>130</v>
      </c>
    </row>
    <row r="36" spans="1:28" x14ac:dyDescent="0.15">
      <c r="A36" s="1">
        <v>140033</v>
      </c>
      <c r="B36" s="2">
        <f t="shared" si="0"/>
        <v>4</v>
      </c>
      <c r="C36" s="4">
        <f t="shared" si="1"/>
        <v>3</v>
      </c>
      <c r="D36" s="4">
        <v>33</v>
      </c>
      <c r="E36" s="4">
        <f>IF(OR($C36=3,$C36=7),VLOOKUP($D36,Sheet3!$A:$E,5,),0)</f>
        <v>292</v>
      </c>
      <c r="F36" s="4">
        <f>IF(OR($C36=1,$C36=5,$C36=9),VLOOKUP($D36,Sheet3!$A:$E,5,),0)</f>
        <v>0</v>
      </c>
      <c r="G36" s="4">
        <f>IF(OR($C36=2,$C36=6,$C36=10),VLOOKUP($D36,Sheet3!$A:$E,5,),0)</f>
        <v>0</v>
      </c>
      <c r="H36" s="4">
        <f>IF(OR($C36=4,$C36=8),VLOOKUP($D36,Sheet3!$A:$E,5,),0)</f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2">
        <v>0</v>
      </c>
      <c r="Q36" s="2">
        <v>0</v>
      </c>
      <c r="R36" s="2">
        <v>0</v>
      </c>
      <c r="V36" s="4" t="str">
        <f>Sheet3!D34&amp;"+"&amp;Sheet3!E34</f>
        <v>生命+292</v>
      </c>
      <c r="W36" s="2">
        <v>2</v>
      </c>
      <c r="X36" s="2" t="s">
        <v>70</v>
      </c>
      <c r="Y36" s="2">
        <v>1</v>
      </c>
      <c r="Z36" s="4" t="s">
        <v>65</v>
      </c>
      <c r="AA36" s="2">
        <f t="shared" ref="AA36:AB36" si="15">AA18</f>
        <v>-137</v>
      </c>
      <c r="AB36" s="2">
        <f t="shared" si="15"/>
        <v>-115</v>
      </c>
    </row>
    <row r="37" spans="1:28" x14ac:dyDescent="0.15">
      <c r="A37" s="1">
        <v>140034</v>
      </c>
      <c r="B37" s="2">
        <f t="shared" si="0"/>
        <v>4</v>
      </c>
      <c r="C37" s="4">
        <f t="shared" si="1"/>
        <v>4</v>
      </c>
      <c r="D37" s="2">
        <v>34</v>
      </c>
      <c r="E37" s="4">
        <f>IF(OR($C37=3,$C37=7),VLOOKUP($D37,Sheet3!$A:$E,5,),0)</f>
        <v>0</v>
      </c>
      <c r="F37" s="4">
        <f>IF(OR($C37=1,$C37=5,$C37=9),VLOOKUP($D37,Sheet3!$A:$E,5,),0)</f>
        <v>0</v>
      </c>
      <c r="G37" s="4">
        <f>IF(OR($C37=2,$C37=6,$C37=10),VLOOKUP($D37,Sheet3!$A:$E,5,),0)</f>
        <v>0</v>
      </c>
      <c r="H37" s="4">
        <f>IF(OR($C37=4,$C37=8),VLOOKUP($D37,Sheet3!$A:$E,5,),0)</f>
        <v>58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2">
        <v>0</v>
      </c>
      <c r="Q37" s="2">
        <v>0</v>
      </c>
      <c r="R37" s="2">
        <v>0</v>
      </c>
      <c r="V37" s="4" t="str">
        <f>Sheet3!D35&amp;"+"&amp;Sheet3!E35</f>
        <v>霸气+58</v>
      </c>
      <c r="W37" s="2">
        <v>2</v>
      </c>
      <c r="X37" s="2" t="s">
        <v>70</v>
      </c>
      <c r="Y37" s="2">
        <v>1</v>
      </c>
      <c r="Z37" s="4" t="s">
        <v>65</v>
      </c>
      <c r="AA37" s="2">
        <f t="shared" ref="AA37:AB37" si="16">AA19</f>
        <v>92</v>
      </c>
      <c r="AB37" s="2">
        <f t="shared" si="16"/>
        <v>-115</v>
      </c>
    </row>
    <row r="38" spans="1:28" x14ac:dyDescent="0.15">
      <c r="A38" s="1">
        <v>140035</v>
      </c>
      <c r="B38" s="2">
        <f t="shared" si="0"/>
        <v>4</v>
      </c>
      <c r="C38" s="4">
        <f t="shared" si="1"/>
        <v>5</v>
      </c>
      <c r="D38" s="4">
        <v>35</v>
      </c>
      <c r="E38" s="4">
        <f>IF(OR($C38=3,$C38=7),VLOOKUP($D38,Sheet3!$A:$E,5,),0)</f>
        <v>0</v>
      </c>
      <c r="F38" s="4">
        <f>IF(OR($C38=1,$C38=5,$C38=9),VLOOKUP($D38,Sheet3!$A:$E,5,),0)</f>
        <v>39</v>
      </c>
      <c r="G38" s="4">
        <f>IF(OR($C38=2,$C38=6,$C38=10),VLOOKUP($D38,Sheet3!$A:$E,5,),0)</f>
        <v>0</v>
      </c>
      <c r="H38" s="4">
        <f>IF(OR($C38=4,$C38=8),VLOOKUP($D38,Sheet3!$A:$E,5,),0)</f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2">
        <v>0</v>
      </c>
      <c r="Q38" s="2">
        <v>0</v>
      </c>
      <c r="R38" s="2">
        <v>0</v>
      </c>
      <c r="V38" s="4" t="str">
        <f>Sheet3!D36&amp;"+"&amp;Sheet3!E36</f>
        <v>攻击+39</v>
      </c>
      <c r="W38" s="2">
        <v>2</v>
      </c>
      <c r="X38" s="2" t="s">
        <v>70</v>
      </c>
      <c r="Y38" s="2">
        <v>1</v>
      </c>
      <c r="Z38" s="4" t="s">
        <v>65</v>
      </c>
      <c r="AA38" s="2">
        <f t="shared" ref="AA38:AB38" si="17">AA20</f>
        <v>92</v>
      </c>
      <c r="AB38" s="2">
        <f t="shared" si="17"/>
        <v>55</v>
      </c>
    </row>
    <row r="39" spans="1:28" x14ac:dyDescent="0.15">
      <c r="A39" s="1">
        <v>140036</v>
      </c>
      <c r="B39" s="2">
        <f t="shared" si="0"/>
        <v>4</v>
      </c>
      <c r="C39" s="4">
        <f t="shared" si="1"/>
        <v>6</v>
      </c>
      <c r="D39" s="2">
        <v>36</v>
      </c>
      <c r="E39" s="4">
        <f>IF(OR($C39=3,$C39=7),VLOOKUP($D39,Sheet3!$A:$E,5,),0)</f>
        <v>0</v>
      </c>
      <c r="F39" s="4">
        <f>IF(OR($C39=1,$C39=5,$C39=9),VLOOKUP($D39,Sheet3!$A:$E,5,),0)</f>
        <v>0</v>
      </c>
      <c r="G39" s="4">
        <f>IF(OR($C39=2,$C39=6,$C39=10),VLOOKUP($D39,Sheet3!$A:$E,5,),0)</f>
        <v>39</v>
      </c>
      <c r="H39" s="4">
        <f>IF(OR($C39=4,$C39=8),VLOOKUP($D39,Sheet3!$A:$E,5,),0)</f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2">
        <v>0</v>
      </c>
      <c r="Q39" s="2">
        <v>0</v>
      </c>
      <c r="R39" s="2">
        <v>0</v>
      </c>
      <c r="V39" s="4" t="str">
        <f>Sheet3!D37&amp;"+"&amp;Sheet3!E37</f>
        <v>防御+39</v>
      </c>
      <c r="W39" s="2">
        <v>2</v>
      </c>
      <c r="X39" s="2" t="s">
        <v>70</v>
      </c>
      <c r="Y39" s="2">
        <v>1</v>
      </c>
      <c r="Z39" s="4" t="s">
        <v>65</v>
      </c>
      <c r="AA39" s="2">
        <f t="shared" ref="AA39:AB39" si="18">AA21</f>
        <v>340</v>
      </c>
      <c r="AB39" s="2">
        <f t="shared" si="18"/>
        <v>55</v>
      </c>
    </row>
    <row r="40" spans="1:28" x14ac:dyDescent="0.15">
      <c r="A40" s="1">
        <v>140037</v>
      </c>
      <c r="B40" s="2">
        <f t="shared" si="0"/>
        <v>4</v>
      </c>
      <c r="C40" s="4">
        <f t="shared" si="1"/>
        <v>7</v>
      </c>
      <c r="D40" s="4">
        <v>37</v>
      </c>
      <c r="E40" s="4">
        <f>IF(OR($C40=3,$C40=7),VLOOKUP($D40,Sheet3!$A:$E,5,),0)</f>
        <v>292</v>
      </c>
      <c r="F40" s="4">
        <f>IF(OR($C40=1,$C40=5,$C40=9),VLOOKUP($D40,Sheet3!$A:$E,5,),0)</f>
        <v>0</v>
      </c>
      <c r="G40" s="4">
        <f>IF(OR($C40=2,$C40=6,$C40=10),VLOOKUP($D40,Sheet3!$A:$E,5,),0)</f>
        <v>0</v>
      </c>
      <c r="H40" s="4">
        <f>IF(OR($C40=4,$C40=8),VLOOKUP($D40,Sheet3!$A:$E,5,),0)</f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2">
        <v>0</v>
      </c>
      <c r="Q40" s="2">
        <v>0</v>
      </c>
      <c r="R40" s="2">
        <v>0</v>
      </c>
      <c r="V40" s="4" t="str">
        <f>Sheet3!D38&amp;"+"&amp;Sheet3!E38</f>
        <v>生命+292</v>
      </c>
      <c r="W40" s="2">
        <v>2</v>
      </c>
      <c r="X40" s="2" t="s">
        <v>70</v>
      </c>
      <c r="Y40" s="2">
        <v>1</v>
      </c>
      <c r="Z40" s="4" t="s">
        <v>65</v>
      </c>
      <c r="AA40" s="2">
        <f t="shared" ref="AA40:AB40" si="19">AA22</f>
        <v>-310</v>
      </c>
      <c r="AB40" s="2">
        <f t="shared" si="19"/>
        <v>130</v>
      </c>
    </row>
    <row r="41" spans="1:28" x14ac:dyDescent="0.15">
      <c r="A41" s="1">
        <v>140038</v>
      </c>
      <c r="B41" s="2">
        <f t="shared" si="0"/>
        <v>4</v>
      </c>
      <c r="C41" s="4">
        <f t="shared" si="1"/>
        <v>8</v>
      </c>
      <c r="D41" s="2">
        <v>38</v>
      </c>
      <c r="E41" s="4">
        <f>IF(OR($C41=3,$C41=7),VLOOKUP($D41,Sheet3!$A:$E,5,),0)</f>
        <v>0</v>
      </c>
      <c r="F41" s="4">
        <f>IF(OR($C41=1,$C41=5,$C41=9),VLOOKUP($D41,Sheet3!$A:$E,5,),0)</f>
        <v>0</v>
      </c>
      <c r="G41" s="4">
        <f>IF(OR($C41=2,$C41=6,$C41=10),VLOOKUP($D41,Sheet3!$A:$E,5,),0)</f>
        <v>0</v>
      </c>
      <c r="H41" s="4">
        <f>IF(OR($C41=4,$C41=8),VLOOKUP($D41,Sheet3!$A:$E,5,),0)</f>
        <v>58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2">
        <v>0</v>
      </c>
      <c r="Q41" s="2">
        <v>0</v>
      </c>
      <c r="R41" s="2">
        <v>0</v>
      </c>
      <c r="V41" s="4" t="str">
        <f>Sheet3!D39&amp;"+"&amp;Sheet3!E39</f>
        <v>霸气+58</v>
      </c>
      <c r="W41" s="2">
        <v>2</v>
      </c>
      <c r="X41" s="2" t="s">
        <v>70</v>
      </c>
      <c r="Y41" s="2">
        <v>1</v>
      </c>
      <c r="Z41" s="4" t="s">
        <v>65</v>
      </c>
      <c r="AA41" s="2">
        <f t="shared" ref="AA41:AB41" si="20">AA23</f>
        <v>-137</v>
      </c>
      <c r="AB41" s="2">
        <f t="shared" si="20"/>
        <v>130</v>
      </c>
    </row>
    <row r="42" spans="1:28" x14ac:dyDescent="0.15">
      <c r="A42" s="1">
        <v>140039</v>
      </c>
      <c r="B42" s="2">
        <f t="shared" si="0"/>
        <v>4</v>
      </c>
      <c r="C42" s="4">
        <f t="shared" si="1"/>
        <v>9</v>
      </c>
      <c r="D42" s="4">
        <v>39</v>
      </c>
      <c r="E42" s="4">
        <f>IF(OR($C42=3,$C42=7),VLOOKUP($D42,Sheet3!$A:$E,5,),0)</f>
        <v>0</v>
      </c>
      <c r="F42" s="4">
        <f>IF(OR($C42=1,$C42=5,$C42=9),VLOOKUP($D42,Sheet3!$A:$E,5,),0)</f>
        <v>39</v>
      </c>
      <c r="G42" s="4">
        <f>IF(OR($C42=2,$C42=6,$C42=10),VLOOKUP($D42,Sheet3!$A:$E,5,),0)</f>
        <v>0</v>
      </c>
      <c r="H42" s="4">
        <f>IF(OR($C42=4,$C42=8),VLOOKUP($D42,Sheet3!$A:$E,5,),0)</f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2">
        <v>0</v>
      </c>
      <c r="Q42" s="2">
        <v>0</v>
      </c>
      <c r="R42" s="2">
        <v>0</v>
      </c>
      <c r="V42" s="4" t="str">
        <f>Sheet3!D40&amp;"+"&amp;Sheet3!E40</f>
        <v>攻击+39</v>
      </c>
      <c r="W42" s="2">
        <v>2</v>
      </c>
      <c r="X42" s="2" t="s">
        <v>70</v>
      </c>
      <c r="Y42" s="2">
        <v>1</v>
      </c>
      <c r="Z42" s="4" t="s">
        <v>65</v>
      </c>
      <c r="AA42" s="2">
        <f t="shared" ref="AA42:AB42" si="21">AA24</f>
        <v>-137</v>
      </c>
      <c r="AB42" s="2">
        <f t="shared" si="21"/>
        <v>-115</v>
      </c>
    </row>
    <row r="43" spans="1:28" x14ac:dyDescent="0.15">
      <c r="A43" s="1">
        <v>140040</v>
      </c>
      <c r="B43" s="2">
        <f t="shared" si="0"/>
        <v>4</v>
      </c>
      <c r="C43" s="4">
        <f t="shared" si="1"/>
        <v>10</v>
      </c>
      <c r="D43" s="2">
        <v>40</v>
      </c>
      <c r="E43" s="4">
        <f>IF(OR($C43=3,$C43=7),VLOOKUP($D43,Sheet3!$A:$E,5,),0)</f>
        <v>0</v>
      </c>
      <c r="F43" s="4">
        <f>IF(OR($C43=1,$C43=5,$C43=9),VLOOKUP($D43,Sheet3!$A:$E,5,),0)</f>
        <v>0</v>
      </c>
      <c r="G43" s="4">
        <f>IF(OR($C43=2,$C43=6,$C43=10),VLOOKUP($D43,Sheet3!$A:$E,5,),0)</f>
        <v>39</v>
      </c>
      <c r="H43" s="4">
        <f>IF(OR($C43=4,$C43=8),VLOOKUP($D43,Sheet3!$A:$E,5,),0)</f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2">
        <v>0</v>
      </c>
      <c r="Q43" s="2">
        <v>0</v>
      </c>
      <c r="R43" s="2">
        <v>0</v>
      </c>
      <c r="V43" s="4" t="str">
        <f>Sheet3!D41&amp;"+"&amp;Sheet3!E41</f>
        <v>防御+39</v>
      </c>
      <c r="W43" s="2">
        <v>2</v>
      </c>
      <c r="X43" s="2" t="s">
        <v>70</v>
      </c>
      <c r="Y43" s="2">
        <v>1</v>
      </c>
      <c r="Z43" s="4" t="s">
        <v>65</v>
      </c>
      <c r="AA43" s="2">
        <f t="shared" ref="AA43:AB43" si="22">AA25</f>
        <v>92</v>
      </c>
      <c r="AB43" s="2">
        <f t="shared" si="22"/>
        <v>-115</v>
      </c>
    </row>
    <row r="44" spans="1:28" x14ac:dyDescent="0.15">
      <c r="A44" s="1">
        <v>140041</v>
      </c>
      <c r="B44" s="2">
        <f t="shared" si="0"/>
        <v>5</v>
      </c>
      <c r="C44" s="4">
        <f t="shared" si="1"/>
        <v>1</v>
      </c>
      <c r="D44" s="4">
        <v>41</v>
      </c>
      <c r="E44" s="4">
        <f>IF(OR($C44=3,$C44=7),VLOOKUP($D44,Sheet3!$A:$E,5,),0)</f>
        <v>0</v>
      </c>
      <c r="F44" s="4">
        <f>IF(OR($C44=1,$C44=5,$C44=9),VLOOKUP($D44,Sheet3!$A:$E,5,),0)</f>
        <v>49</v>
      </c>
      <c r="G44" s="4">
        <f>IF(OR($C44=2,$C44=6,$C44=10),VLOOKUP($D44,Sheet3!$A:$E,5,),0)</f>
        <v>0</v>
      </c>
      <c r="H44" s="4">
        <f>IF(OR($C44=4,$C44=8),VLOOKUP($D44,Sheet3!$A:$E,5,),0)</f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2">
        <v>0</v>
      </c>
      <c r="Q44" s="2">
        <v>0</v>
      </c>
      <c r="R44" s="2">
        <v>0</v>
      </c>
      <c r="V44" s="4" t="str">
        <f>Sheet3!D42&amp;"+"&amp;Sheet3!E42</f>
        <v>攻击+49</v>
      </c>
      <c r="W44" s="2">
        <v>2</v>
      </c>
      <c r="X44" s="2" t="s">
        <v>70</v>
      </c>
      <c r="Y44" s="2">
        <v>1</v>
      </c>
      <c r="Z44" s="4" t="s">
        <v>65</v>
      </c>
      <c r="AA44" s="2">
        <f t="shared" ref="AA44:AB44" si="23">AA26</f>
        <v>92</v>
      </c>
      <c r="AB44" s="2">
        <f t="shared" si="23"/>
        <v>55</v>
      </c>
    </row>
    <row r="45" spans="1:28" x14ac:dyDescent="0.15">
      <c r="A45" s="1">
        <v>140042</v>
      </c>
      <c r="B45" s="2">
        <f t="shared" si="0"/>
        <v>5</v>
      </c>
      <c r="C45" s="4">
        <f t="shared" si="1"/>
        <v>2</v>
      </c>
      <c r="D45" s="2">
        <v>42</v>
      </c>
      <c r="E45" s="4">
        <f>IF(OR($C45=3,$C45=7),VLOOKUP($D45,Sheet3!$A:$E,5,),0)</f>
        <v>0</v>
      </c>
      <c r="F45" s="4">
        <f>IF(OR($C45=1,$C45=5,$C45=9),VLOOKUP($D45,Sheet3!$A:$E,5,),0)</f>
        <v>0</v>
      </c>
      <c r="G45" s="4">
        <f>IF(OR($C45=2,$C45=6,$C45=10),VLOOKUP($D45,Sheet3!$A:$E,5,),0)</f>
        <v>49</v>
      </c>
      <c r="H45" s="4">
        <f>IF(OR($C45=4,$C45=8),VLOOKUP($D45,Sheet3!$A:$E,5,),0)</f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2">
        <v>0</v>
      </c>
      <c r="Q45" s="2">
        <v>0</v>
      </c>
      <c r="R45" s="2">
        <v>0</v>
      </c>
      <c r="V45" s="4" t="str">
        <f>Sheet3!D43&amp;"+"&amp;Sheet3!E43</f>
        <v>防御+49</v>
      </c>
      <c r="W45" s="2">
        <v>2</v>
      </c>
      <c r="X45" s="2" t="s">
        <v>70</v>
      </c>
      <c r="Y45" s="2">
        <v>1</v>
      </c>
      <c r="Z45" s="4" t="s">
        <v>65</v>
      </c>
      <c r="AA45" s="2">
        <f t="shared" ref="AA45:AB45" si="24">AA27</f>
        <v>340</v>
      </c>
      <c r="AB45" s="2">
        <f t="shared" si="24"/>
        <v>55</v>
      </c>
    </row>
    <row r="46" spans="1:28" x14ac:dyDescent="0.15">
      <c r="A46" s="1">
        <v>140043</v>
      </c>
      <c r="B46" s="2">
        <f t="shared" si="0"/>
        <v>5</v>
      </c>
      <c r="C46" s="4">
        <f t="shared" si="1"/>
        <v>3</v>
      </c>
      <c r="D46" s="4">
        <v>43</v>
      </c>
      <c r="E46" s="4">
        <f>IF(OR($C46=3,$C46=7),VLOOKUP($D46,Sheet3!$A:$E,5,),0)</f>
        <v>367</v>
      </c>
      <c r="F46" s="4">
        <f>IF(OR($C46=1,$C46=5,$C46=9),VLOOKUP($D46,Sheet3!$A:$E,5,),0)</f>
        <v>0</v>
      </c>
      <c r="G46" s="4">
        <f>IF(OR($C46=2,$C46=6,$C46=10),VLOOKUP($D46,Sheet3!$A:$E,5,),0)</f>
        <v>0</v>
      </c>
      <c r="H46" s="4">
        <f>IF(OR($C46=4,$C46=8),VLOOKUP($D46,Sheet3!$A:$E,5,),0)</f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2">
        <v>0</v>
      </c>
      <c r="Q46" s="2">
        <v>0</v>
      </c>
      <c r="R46" s="2">
        <v>0</v>
      </c>
      <c r="V46" s="4" t="str">
        <f>Sheet3!D44&amp;"+"&amp;Sheet3!E44</f>
        <v>生命+367</v>
      </c>
      <c r="W46" s="2">
        <v>2</v>
      </c>
      <c r="X46" s="2" t="s">
        <v>70</v>
      </c>
      <c r="Y46" s="2">
        <v>1</v>
      </c>
      <c r="Z46" s="4" t="s">
        <v>65</v>
      </c>
      <c r="AA46" s="2">
        <f t="shared" ref="AA46:AB46" si="25">AA28</f>
        <v>-310</v>
      </c>
      <c r="AB46" s="2">
        <f t="shared" si="25"/>
        <v>130</v>
      </c>
    </row>
    <row r="47" spans="1:28" x14ac:dyDescent="0.15">
      <c r="A47" s="1">
        <v>140044</v>
      </c>
      <c r="B47" s="2">
        <f t="shared" si="0"/>
        <v>5</v>
      </c>
      <c r="C47" s="4">
        <f t="shared" si="1"/>
        <v>4</v>
      </c>
      <c r="D47" s="2">
        <v>44</v>
      </c>
      <c r="E47" s="4">
        <f>IF(OR($C47=3,$C47=7),VLOOKUP($D47,Sheet3!$A:$E,5,),0)</f>
        <v>0</v>
      </c>
      <c r="F47" s="4">
        <f>IF(OR($C47=1,$C47=5,$C47=9),VLOOKUP($D47,Sheet3!$A:$E,5,),0)</f>
        <v>0</v>
      </c>
      <c r="G47" s="4">
        <f>IF(OR($C47=2,$C47=6,$C47=10),VLOOKUP($D47,Sheet3!$A:$E,5,),0)</f>
        <v>0</v>
      </c>
      <c r="H47" s="4">
        <f>IF(OR($C47=4,$C47=8),VLOOKUP($D47,Sheet3!$A:$E,5,),0)</f>
        <v>73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2">
        <v>0</v>
      </c>
      <c r="Q47" s="2">
        <v>0</v>
      </c>
      <c r="R47" s="2">
        <v>0</v>
      </c>
      <c r="V47" s="4" t="str">
        <f>Sheet3!D45&amp;"+"&amp;Sheet3!E45</f>
        <v>霸气+73</v>
      </c>
      <c r="W47" s="2">
        <v>2</v>
      </c>
      <c r="X47" s="2" t="s">
        <v>70</v>
      </c>
      <c r="Y47" s="2">
        <v>1</v>
      </c>
      <c r="Z47" s="4" t="s">
        <v>65</v>
      </c>
      <c r="AA47" s="2">
        <f t="shared" ref="AA47:AB47" si="26">AA29</f>
        <v>-137</v>
      </c>
      <c r="AB47" s="2">
        <f t="shared" si="26"/>
        <v>130</v>
      </c>
    </row>
    <row r="48" spans="1:28" x14ac:dyDescent="0.15">
      <c r="A48" s="1">
        <v>140045</v>
      </c>
      <c r="B48" s="2">
        <f t="shared" si="0"/>
        <v>5</v>
      </c>
      <c r="C48" s="4">
        <f t="shared" si="1"/>
        <v>5</v>
      </c>
      <c r="D48" s="4">
        <v>45</v>
      </c>
      <c r="E48" s="4">
        <f>IF(OR($C48=3,$C48=7),VLOOKUP($D48,Sheet3!$A:$E,5,),0)</f>
        <v>0</v>
      </c>
      <c r="F48" s="4">
        <f>IF(OR($C48=1,$C48=5,$C48=9),VLOOKUP($D48,Sheet3!$A:$E,5,),0)</f>
        <v>49</v>
      </c>
      <c r="G48" s="4">
        <f>IF(OR($C48=2,$C48=6,$C48=10),VLOOKUP($D48,Sheet3!$A:$E,5,),0)</f>
        <v>0</v>
      </c>
      <c r="H48" s="4">
        <f>IF(OR($C48=4,$C48=8),VLOOKUP($D48,Sheet3!$A:$E,5,),0)</f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2">
        <v>0</v>
      </c>
      <c r="Q48" s="2">
        <v>0</v>
      </c>
      <c r="R48" s="2">
        <v>0</v>
      </c>
      <c r="V48" s="4" t="str">
        <f>Sheet3!D46&amp;"+"&amp;Sheet3!E46</f>
        <v>攻击+49</v>
      </c>
      <c r="W48" s="2">
        <v>2</v>
      </c>
      <c r="X48" s="2" t="s">
        <v>70</v>
      </c>
      <c r="Y48" s="2">
        <v>1</v>
      </c>
      <c r="Z48" s="4" t="s">
        <v>65</v>
      </c>
      <c r="AA48" s="2">
        <f t="shared" ref="AA48:AB48" si="27">AA30</f>
        <v>-137</v>
      </c>
      <c r="AB48" s="2">
        <f t="shared" si="27"/>
        <v>-115</v>
      </c>
    </row>
    <row r="49" spans="1:28" x14ac:dyDescent="0.15">
      <c r="A49" s="1">
        <v>140046</v>
      </c>
      <c r="B49" s="2">
        <f t="shared" si="0"/>
        <v>5</v>
      </c>
      <c r="C49" s="4">
        <f t="shared" si="1"/>
        <v>6</v>
      </c>
      <c r="D49" s="2">
        <v>46</v>
      </c>
      <c r="E49" s="4">
        <f>IF(OR($C49=3,$C49=7),VLOOKUP($D49,Sheet3!$A:$E,5,),0)</f>
        <v>0</v>
      </c>
      <c r="F49" s="4">
        <f>IF(OR($C49=1,$C49=5,$C49=9),VLOOKUP($D49,Sheet3!$A:$E,5,),0)</f>
        <v>0</v>
      </c>
      <c r="G49" s="4">
        <f>IF(OR($C49=2,$C49=6,$C49=10),VLOOKUP($D49,Sheet3!$A:$E,5,),0)</f>
        <v>49</v>
      </c>
      <c r="H49" s="4">
        <f>IF(OR($C49=4,$C49=8),VLOOKUP($D49,Sheet3!$A:$E,5,),0)</f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2">
        <v>0</v>
      </c>
      <c r="Q49" s="2">
        <v>0</v>
      </c>
      <c r="R49" s="2">
        <v>0</v>
      </c>
      <c r="V49" s="4" t="str">
        <f>Sheet3!D47&amp;"+"&amp;Sheet3!E47</f>
        <v>防御+49</v>
      </c>
      <c r="W49" s="2">
        <v>2</v>
      </c>
      <c r="X49" s="2" t="s">
        <v>70</v>
      </c>
      <c r="Y49" s="2">
        <v>1</v>
      </c>
      <c r="Z49" s="4" t="s">
        <v>65</v>
      </c>
      <c r="AA49" s="2">
        <f t="shared" ref="AA49:AB49" si="28">AA31</f>
        <v>92</v>
      </c>
      <c r="AB49" s="2">
        <f t="shared" si="28"/>
        <v>-115</v>
      </c>
    </row>
    <row r="50" spans="1:28" x14ac:dyDescent="0.15">
      <c r="A50" s="1">
        <v>140047</v>
      </c>
      <c r="B50" s="2">
        <f t="shared" si="0"/>
        <v>5</v>
      </c>
      <c r="C50" s="4">
        <f t="shared" si="1"/>
        <v>7</v>
      </c>
      <c r="D50" s="4">
        <v>47</v>
      </c>
      <c r="E50" s="4">
        <f>IF(OR($C50=3,$C50=7),VLOOKUP($D50,Sheet3!$A:$E,5,),0)</f>
        <v>367</v>
      </c>
      <c r="F50" s="4">
        <f>IF(OR($C50=1,$C50=5,$C50=9),VLOOKUP($D50,Sheet3!$A:$E,5,),0)</f>
        <v>0</v>
      </c>
      <c r="G50" s="4">
        <f>IF(OR($C50=2,$C50=6,$C50=10),VLOOKUP($D50,Sheet3!$A:$E,5,),0)</f>
        <v>0</v>
      </c>
      <c r="H50" s="4">
        <f>IF(OR($C50=4,$C50=8),VLOOKUP($D50,Sheet3!$A:$E,5,),0)</f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2">
        <v>0</v>
      </c>
      <c r="Q50" s="2">
        <v>0</v>
      </c>
      <c r="R50" s="2">
        <v>0</v>
      </c>
      <c r="V50" s="4" t="str">
        <f>Sheet3!D48&amp;"+"&amp;Sheet3!E48</f>
        <v>生命+367</v>
      </c>
      <c r="W50" s="2">
        <v>2</v>
      </c>
      <c r="X50" s="2" t="s">
        <v>70</v>
      </c>
      <c r="Y50" s="2">
        <v>1</v>
      </c>
      <c r="Z50" s="4" t="s">
        <v>65</v>
      </c>
      <c r="AA50" s="2">
        <f t="shared" ref="AA50:AB50" si="29">AA32</f>
        <v>92</v>
      </c>
      <c r="AB50" s="2">
        <f t="shared" si="29"/>
        <v>55</v>
      </c>
    </row>
    <row r="51" spans="1:28" x14ac:dyDescent="0.15">
      <c r="A51" s="1">
        <v>140048</v>
      </c>
      <c r="B51" s="2">
        <f t="shared" si="0"/>
        <v>5</v>
      </c>
      <c r="C51" s="4">
        <f t="shared" si="1"/>
        <v>8</v>
      </c>
      <c r="D51" s="2">
        <v>48</v>
      </c>
      <c r="E51" s="4">
        <f>IF(OR($C51=3,$C51=7),VLOOKUP($D51,Sheet3!$A:$E,5,),0)</f>
        <v>0</v>
      </c>
      <c r="F51" s="4">
        <f>IF(OR($C51=1,$C51=5,$C51=9),VLOOKUP($D51,Sheet3!$A:$E,5,),0)</f>
        <v>0</v>
      </c>
      <c r="G51" s="4">
        <f>IF(OR($C51=2,$C51=6,$C51=10),VLOOKUP($D51,Sheet3!$A:$E,5,),0)</f>
        <v>0</v>
      </c>
      <c r="H51" s="4">
        <f>IF(OR($C51=4,$C51=8),VLOOKUP($D51,Sheet3!$A:$E,5,),0)</f>
        <v>73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2">
        <v>0</v>
      </c>
      <c r="Q51" s="2">
        <v>0</v>
      </c>
      <c r="R51" s="2">
        <v>0</v>
      </c>
      <c r="V51" s="4" t="str">
        <f>Sheet3!D49&amp;"+"&amp;Sheet3!E49</f>
        <v>霸气+73</v>
      </c>
      <c r="W51" s="2">
        <v>2</v>
      </c>
      <c r="X51" s="2" t="s">
        <v>70</v>
      </c>
      <c r="Y51" s="2">
        <v>1</v>
      </c>
      <c r="Z51" s="4" t="s">
        <v>65</v>
      </c>
      <c r="AA51" s="2">
        <f t="shared" ref="AA51:AB51" si="30">AA33</f>
        <v>340</v>
      </c>
      <c r="AB51" s="2">
        <f t="shared" si="30"/>
        <v>55</v>
      </c>
    </row>
    <row r="52" spans="1:28" x14ac:dyDescent="0.15">
      <c r="A52" s="1">
        <v>140049</v>
      </c>
      <c r="B52" s="2">
        <f t="shared" si="0"/>
        <v>5</v>
      </c>
      <c r="C52" s="4">
        <f t="shared" si="1"/>
        <v>9</v>
      </c>
      <c r="D52" s="4">
        <v>49</v>
      </c>
      <c r="E52" s="4">
        <f>IF(OR($C52=3,$C52=7),VLOOKUP($D52,Sheet3!$A:$E,5,),0)</f>
        <v>0</v>
      </c>
      <c r="F52" s="4">
        <f>IF(OR($C52=1,$C52=5,$C52=9),VLOOKUP($D52,Sheet3!$A:$E,5,),0)</f>
        <v>49</v>
      </c>
      <c r="G52" s="4">
        <f>IF(OR($C52=2,$C52=6,$C52=10),VLOOKUP($D52,Sheet3!$A:$E,5,),0)</f>
        <v>0</v>
      </c>
      <c r="H52" s="4">
        <f>IF(OR($C52=4,$C52=8),VLOOKUP($D52,Sheet3!$A:$E,5,),0)</f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2">
        <v>0</v>
      </c>
      <c r="Q52" s="2">
        <v>0</v>
      </c>
      <c r="R52" s="2">
        <v>0</v>
      </c>
      <c r="V52" s="4" t="str">
        <f>Sheet3!D50&amp;"+"&amp;Sheet3!E50</f>
        <v>攻击+49</v>
      </c>
      <c r="W52" s="2">
        <v>2</v>
      </c>
      <c r="X52" s="2" t="s">
        <v>70</v>
      </c>
      <c r="Y52" s="2">
        <v>1</v>
      </c>
      <c r="Z52" s="4" t="s">
        <v>65</v>
      </c>
      <c r="AA52" s="2">
        <f t="shared" ref="AA52:AB52" si="31">AA34</f>
        <v>-310</v>
      </c>
      <c r="AB52" s="2">
        <f t="shared" si="31"/>
        <v>130</v>
      </c>
    </row>
    <row r="53" spans="1:28" x14ac:dyDescent="0.15">
      <c r="A53" s="1">
        <v>140050</v>
      </c>
      <c r="B53" s="2">
        <f t="shared" si="0"/>
        <v>5</v>
      </c>
      <c r="C53" s="4">
        <f t="shared" si="1"/>
        <v>10</v>
      </c>
      <c r="D53" s="2">
        <v>50</v>
      </c>
      <c r="E53" s="4">
        <f>IF(OR($C53=3,$C53=7),VLOOKUP($D53,Sheet3!$A:$E,5,),0)</f>
        <v>0</v>
      </c>
      <c r="F53" s="4">
        <f>IF(OR($C53=1,$C53=5,$C53=9),VLOOKUP($D53,Sheet3!$A:$E,5,),0)</f>
        <v>0</v>
      </c>
      <c r="G53" s="4">
        <f>IF(OR($C53=2,$C53=6,$C53=10),VLOOKUP($D53,Sheet3!$A:$E,5,),0)</f>
        <v>49</v>
      </c>
      <c r="H53" s="4">
        <f>IF(OR($C53=4,$C53=8),VLOOKUP($D53,Sheet3!$A:$E,5,),0)</f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2">
        <v>0</v>
      </c>
      <c r="Q53" s="2">
        <v>0</v>
      </c>
      <c r="R53" s="2">
        <v>0</v>
      </c>
      <c r="V53" s="4" t="str">
        <f>Sheet3!D51&amp;"+"&amp;Sheet3!E51</f>
        <v>防御+49</v>
      </c>
      <c r="W53" s="2">
        <v>2</v>
      </c>
      <c r="X53" s="2" t="s">
        <v>70</v>
      </c>
      <c r="Y53" s="2">
        <v>1</v>
      </c>
      <c r="Z53" s="4" t="s">
        <v>65</v>
      </c>
      <c r="AA53" s="2">
        <f t="shared" ref="AA53:AB53" si="32">AA35</f>
        <v>-137</v>
      </c>
      <c r="AB53" s="2">
        <f t="shared" si="32"/>
        <v>130</v>
      </c>
    </row>
    <row r="54" spans="1:28" x14ac:dyDescent="0.15">
      <c r="A54" s="1">
        <v>140051</v>
      </c>
      <c r="B54" s="2">
        <f t="shared" si="0"/>
        <v>6</v>
      </c>
      <c r="C54" s="4">
        <f t="shared" si="1"/>
        <v>1</v>
      </c>
      <c r="D54" s="4">
        <v>51</v>
      </c>
      <c r="E54" s="4">
        <f>IF(OR($C54=3,$C54=7),VLOOKUP($D54,Sheet3!$A:$E,5,),0)</f>
        <v>0</v>
      </c>
      <c r="F54" s="4">
        <f>IF(OR($C54=1,$C54=5,$C54=9),VLOOKUP($D54,Sheet3!$A:$E,5,),0)</f>
        <v>59</v>
      </c>
      <c r="G54" s="4">
        <f>IF(OR($C54=2,$C54=6,$C54=10),VLOOKUP($D54,Sheet3!$A:$E,5,),0)</f>
        <v>0</v>
      </c>
      <c r="H54" s="4">
        <f>IF(OR($C54=4,$C54=8),VLOOKUP($D54,Sheet3!$A:$E,5,),0)</f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2">
        <v>0</v>
      </c>
      <c r="Q54" s="2">
        <v>0</v>
      </c>
      <c r="R54" s="2">
        <v>0</v>
      </c>
      <c r="V54" s="4" t="str">
        <f>Sheet3!D52&amp;"+"&amp;Sheet3!E52</f>
        <v>攻击+59</v>
      </c>
      <c r="W54" s="2">
        <v>2</v>
      </c>
      <c r="X54" s="2" t="s">
        <v>70</v>
      </c>
      <c r="Y54" s="2">
        <v>1</v>
      </c>
      <c r="Z54" s="4" t="s">
        <v>65</v>
      </c>
      <c r="AA54" s="2">
        <f t="shared" ref="AA54:AB54" si="33">AA36</f>
        <v>-137</v>
      </c>
      <c r="AB54" s="2">
        <f t="shared" si="33"/>
        <v>-115</v>
      </c>
    </row>
    <row r="55" spans="1:28" x14ac:dyDescent="0.15">
      <c r="A55" s="1">
        <v>140052</v>
      </c>
      <c r="B55" s="2">
        <f t="shared" si="0"/>
        <v>6</v>
      </c>
      <c r="C55" s="4">
        <f t="shared" si="1"/>
        <v>2</v>
      </c>
      <c r="D55" s="2">
        <v>52</v>
      </c>
      <c r="E55" s="4">
        <f>IF(OR($C55=3,$C55=7),VLOOKUP($D55,Sheet3!$A:$E,5,),0)</f>
        <v>0</v>
      </c>
      <c r="F55" s="4">
        <f>IF(OR($C55=1,$C55=5,$C55=9),VLOOKUP($D55,Sheet3!$A:$E,5,),0)</f>
        <v>0</v>
      </c>
      <c r="G55" s="4">
        <f>IF(OR($C55=2,$C55=6,$C55=10),VLOOKUP($D55,Sheet3!$A:$E,5,),0)</f>
        <v>59</v>
      </c>
      <c r="H55" s="4">
        <f>IF(OR($C55=4,$C55=8),VLOOKUP($D55,Sheet3!$A:$E,5,),0)</f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2">
        <v>0</v>
      </c>
      <c r="Q55" s="2">
        <v>0</v>
      </c>
      <c r="R55" s="2">
        <v>0</v>
      </c>
      <c r="V55" s="4" t="str">
        <f>Sheet3!D53&amp;"+"&amp;Sheet3!E53</f>
        <v>防御+59</v>
      </c>
      <c r="W55" s="2">
        <v>2</v>
      </c>
      <c r="X55" s="2" t="s">
        <v>70</v>
      </c>
      <c r="Y55" s="2">
        <v>1</v>
      </c>
      <c r="Z55" s="4" t="s">
        <v>65</v>
      </c>
      <c r="AA55" s="2">
        <f t="shared" ref="AA55:AB55" si="34">AA37</f>
        <v>92</v>
      </c>
      <c r="AB55" s="2">
        <f t="shared" si="34"/>
        <v>-115</v>
      </c>
    </row>
    <row r="56" spans="1:28" x14ac:dyDescent="0.15">
      <c r="A56" s="1">
        <v>140053</v>
      </c>
      <c r="B56" s="2">
        <f t="shared" si="0"/>
        <v>6</v>
      </c>
      <c r="C56" s="4">
        <f t="shared" si="1"/>
        <v>3</v>
      </c>
      <c r="D56" s="4">
        <v>53</v>
      </c>
      <c r="E56" s="4">
        <f>IF(OR($C56=3,$C56=7),VLOOKUP($D56,Sheet3!$A:$E,5,),0)</f>
        <v>442</v>
      </c>
      <c r="F56" s="4">
        <f>IF(OR($C56=1,$C56=5,$C56=9),VLOOKUP($D56,Sheet3!$A:$E,5,),0)</f>
        <v>0</v>
      </c>
      <c r="G56" s="4">
        <f>IF(OR($C56=2,$C56=6,$C56=10),VLOOKUP($D56,Sheet3!$A:$E,5,),0)</f>
        <v>0</v>
      </c>
      <c r="H56" s="4">
        <f>IF(OR($C56=4,$C56=8),VLOOKUP($D56,Sheet3!$A:$E,5,),0)</f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2">
        <v>0</v>
      </c>
      <c r="Q56" s="2">
        <v>0</v>
      </c>
      <c r="R56" s="2">
        <v>0</v>
      </c>
      <c r="V56" s="4" t="str">
        <f>Sheet3!D54&amp;"+"&amp;Sheet3!E54</f>
        <v>生命+442</v>
      </c>
      <c r="W56" s="2">
        <v>2</v>
      </c>
      <c r="X56" s="2" t="s">
        <v>70</v>
      </c>
      <c r="Y56" s="2">
        <v>1</v>
      </c>
      <c r="Z56" s="4" t="s">
        <v>65</v>
      </c>
      <c r="AA56" s="2">
        <f t="shared" ref="AA56:AB56" si="35">AA38</f>
        <v>92</v>
      </c>
      <c r="AB56" s="2">
        <f t="shared" si="35"/>
        <v>55</v>
      </c>
    </row>
    <row r="57" spans="1:28" x14ac:dyDescent="0.15">
      <c r="A57" s="1">
        <v>140054</v>
      </c>
      <c r="B57" s="2">
        <f t="shared" si="0"/>
        <v>6</v>
      </c>
      <c r="C57" s="4">
        <f t="shared" si="1"/>
        <v>4</v>
      </c>
      <c r="D57" s="2">
        <v>54</v>
      </c>
      <c r="E57" s="4">
        <f>IF(OR($C57=3,$C57=7),VLOOKUP($D57,Sheet3!$A:$E,5,),0)</f>
        <v>0</v>
      </c>
      <c r="F57" s="4">
        <f>IF(OR($C57=1,$C57=5,$C57=9),VLOOKUP($D57,Sheet3!$A:$E,5,),0)</f>
        <v>0</v>
      </c>
      <c r="G57" s="4">
        <f>IF(OR($C57=2,$C57=6,$C57=10),VLOOKUP($D57,Sheet3!$A:$E,5,),0)</f>
        <v>0</v>
      </c>
      <c r="H57" s="4">
        <f>IF(OR($C57=4,$C57=8),VLOOKUP($D57,Sheet3!$A:$E,5,),0)</f>
        <v>88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2">
        <v>0</v>
      </c>
      <c r="Q57" s="2">
        <v>0</v>
      </c>
      <c r="R57" s="2">
        <v>0</v>
      </c>
      <c r="V57" s="4" t="str">
        <f>Sheet3!D55&amp;"+"&amp;Sheet3!E55</f>
        <v>霸气+88</v>
      </c>
      <c r="W57" s="2">
        <v>2</v>
      </c>
      <c r="X57" s="2" t="s">
        <v>70</v>
      </c>
      <c r="Y57" s="2">
        <v>1</v>
      </c>
      <c r="Z57" s="4" t="s">
        <v>65</v>
      </c>
      <c r="AA57" s="2">
        <f t="shared" ref="AA57:AB57" si="36">AA39</f>
        <v>340</v>
      </c>
      <c r="AB57" s="2">
        <f t="shared" si="36"/>
        <v>55</v>
      </c>
    </row>
    <row r="58" spans="1:28" x14ac:dyDescent="0.15">
      <c r="A58" s="1">
        <v>140055</v>
      </c>
      <c r="B58" s="2">
        <f t="shared" si="0"/>
        <v>6</v>
      </c>
      <c r="C58" s="4">
        <f t="shared" si="1"/>
        <v>5</v>
      </c>
      <c r="D58" s="4">
        <v>55</v>
      </c>
      <c r="E58" s="4">
        <f>IF(OR($C58=3,$C58=7),VLOOKUP($D58,Sheet3!$A:$E,5,),0)</f>
        <v>0</v>
      </c>
      <c r="F58" s="4">
        <f>IF(OR($C58=1,$C58=5,$C58=9),VLOOKUP($D58,Sheet3!$A:$E,5,),0)</f>
        <v>59</v>
      </c>
      <c r="G58" s="4">
        <f>IF(OR($C58=2,$C58=6,$C58=10),VLOOKUP($D58,Sheet3!$A:$E,5,),0)</f>
        <v>0</v>
      </c>
      <c r="H58" s="4">
        <f>IF(OR($C58=4,$C58=8),VLOOKUP($D58,Sheet3!$A:$E,5,),0)</f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2">
        <v>0</v>
      </c>
      <c r="Q58" s="2">
        <v>0</v>
      </c>
      <c r="R58" s="2">
        <v>0</v>
      </c>
      <c r="V58" s="4" t="str">
        <f>Sheet3!D56&amp;"+"&amp;Sheet3!E56</f>
        <v>攻击+59</v>
      </c>
      <c r="W58" s="2">
        <v>2</v>
      </c>
      <c r="X58" s="2" t="s">
        <v>70</v>
      </c>
      <c r="Y58" s="2">
        <v>1</v>
      </c>
      <c r="Z58" s="4" t="s">
        <v>65</v>
      </c>
      <c r="AA58" s="2">
        <f t="shared" ref="AA58:AB58" si="37">AA40</f>
        <v>-310</v>
      </c>
      <c r="AB58" s="2">
        <f t="shared" si="37"/>
        <v>130</v>
      </c>
    </row>
    <row r="59" spans="1:28" x14ac:dyDescent="0.15">
      <c r="A59" s="1">
        <v>140056</v>
      </c>
      <c r="B59" s="2">
        <f t="shared" si="0"/>
        <v>6</v>
      </c>
      <c r="C59" s="4">
        <f t="shared" si="1"/>
        <v>6</v>
      </c>
      <c r="D59" s="2">
        <v>56</v>
      </c>
      <c r="E59" s="4">
        <f>IF(OR($C59=3,$C59=7),VLOOKUP($D59,Sheet3!$A:$E,5,),0)</f>
        <v>0</v>
      </c>
      <c r="F59" s="4">
        <f>IF(OR($C59=1,$C59=5,$C59=9),VLOOKUP($D59,Sheet3!$A:$E,5,),0)</f>
        <v>0</v>
      </c>
      <c r="G59" s="4">
        <f>IF(OR($C59=2,$C59=6,$C59=10),VLOOKUP($D59,Sheet3!$A:$E,5,),0)</f>
        <v>59</v>
      </c>
      <c r="H59" s="4">
        <f>IF(OR($C59=4,$C59=8),VLOOKUP($D59,Sheet3!$A:$E,5,),0)</f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2">
        <v>0</v>
      </c>
      <c r="Q59" s="2">
        <v>0</v>
      </c>
      <c r="R59" s="2">
        <v>0</v>
      </c>
      <c r="V59" s="4" t="str">
        <f>Sheet3!D57&amp;"+"&amp;Sheet3!E57</f>
        <v>防御+59</v>
      </c>
      <c r="W59" s="2">
        <v>2</v>
      </c>
      <c r="X59" s="2" t="s">
        <v>70</v>
      </c>
      <c r="Y59" s="2">
        <v>1</v>
      </c>
      <c r="Z59" s="4" t="s">
        <v>65</v>
      </c>
      <c r="AA59" s="2">
        <f t="shared" ref="AA59:AB59" si="38">AA41</f>
        <v>-137</v>
      </c>
      <c r="AB59" s="2">
        <f t="shared" si="38"/>
        <v>130</v>
      </c>
    </row>
    <row r="60" spans="1:28" x14ac:dyDescent="0.15">
      <c r="A60" s="1">
        <v>140057</v>
      </c>
      <c r="B60" s="2">
        <f t="shared" si="0"/>
        <v>6</v>
      </c>
      <c r="C60" s="4">
        <f t="shared" si="1"/>
        <v>7</v>
      </c>
      <c r="D60" s="4">
        <v>57</v>
      </c>
      <c r="E60" s="4">
        <f>IF(OR($C60=3,$C60=7),VLOOKUP($D60,Sheet3!$A:$E,5,),0)</f>
        <v>442</v>
      </c>
      <c r="F60" s="4">
        <f>IF(OR($C60=1,$C60=5,$C60=9),VLOOKUP($D60,Sheet3!$A:$E,5,),0)</f>
        <v>0</v>
      </c>
      <c r="G60" s="4">
        <f>IF(OR($C60=2,$C60=6,$C60=10),VLOOKUP($D60,Sheet3!$A:$E,5,),0)</f>
        <v>0</v>
      </c>
      <c r="H60" s="4">
        <f>IF(OR($C60=4,$C60=8),VLOOKUP($D60,Sheet3!$A:$E,5,),0)</f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2">
        <v>0</v>
      </c>
      <c r="Q60" s="2">
        <v>0</v>
      </c>
      <c r="R60" s="2">
        <v>0</v>
      </c>
      <c r="V60" s="4" t="str">
        <f>Sheet3!D58&amp;"+"&amp;Sheet3!E58</f>
        <v>生命+442</v>
      </c>
      <c r="W60" s="2">
        <v>2</v>
      </c>
      <c r="X60" s="2" t="s">
        <v>70</v>
      </c>
      <c r="Y60" s="2">
        <v>1</v>
      </c>
      <c r="Z60" s="4" t="s">
        <v>65</v>
      </c>
      <c r="AA60" s="2">
        <f t="shared" ref="AA60:AB60" si="39">AA42</f>
        <v>-137</v>
      </c>
      <c r="AB60" s="2">
        <f t="shared" si="39"/>
        <v>-115</v>
      </c>
    </row>
    <row r="61" spans="1:28" x14ac:dyDescent="0.15">
      <c r="A61" s="1">
        <v>140058</v>
      </c>
      <c r="B61" s="2">
        <f t="shared" si="0"/>
        <v>6</v>
      </c>
      <c r="C61" s="4">
        <f t="shared" si="1"/>
        <v>8</v>
      </c>
      <c r="D61" s="2">
        <v>58</v>
      </c>
      <c r="E61" s="4">
        <f>IF(OR($C61=3,$C61=7),VLOOKUP($D61,Sheet3!$A:$E,5,),0)</f>
        <v>0</v>
      </c>
      <c r="F61" s="4">
        <f>IF(OR($C61=1,$C61=5,$C61=9),VLOOKUP($D61,Sheet3!$A:$E,5,),0)</f>
        <v>0</v>
      </c>
      <c r="G61" s="4">
        <f>IF(OR($C61=2,$C61=6,$C61=10),VLOOKUP($D61,Sheet3!$A:$E,5,),0)</f>
        <v>0</v>
      </c>
      <c r="H61" s="4">
        <f>IF(OR($C61=4,$C61=8),VLOOKUP($D61,Sheet3!$A:$E,5,),0)</f>
        <v>88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2">
        <v>0</v>
      </c>
      <c r="Q61" s="2">
        <v>0</v>
      </c>
      <c r="R61" s="2">
        <v>0</v>
      </c>
      <c r="V61" s="4" t="str">
        <f>Sheet3!D59&amp;"+"&amp;Sheet3!E59</f>
        <v>霸气+88</v>
      </c>
      <c r="W61" s="2">
        <v>2</v>
      </c>
      <c r="X61" s="2" t="s">
        <v>70</v>
      </c>
      <c r="Y61" s="2">
        <v>1</v>
      </c>
      <c r="Z61" s="4" t="s">
        <v>65</v>
      </c>
      <c r="AA61" s="2">
        <f t="shared" ref="AA61:AB61" si="40">AA43</f>
        <v>92</v>
      </c>
      <c r="AB61" s="2">
        <f t="shared" si="40"/>
        <v>-115</v>
      </c>
    </row>
    <row r="62" spans="1:28" x14ac:dyDescent="0.15">
      <c r="A62" s="1">
        <v>140059</v>
      </c>
      <c r="B62" s="2">
        <f t="shared" si="0"/>
        <v>6</v>
      </c>
      <c r="C62" s="4">
        <f t="shared" si="1"/>
        <v>9</v>
      </c>
      <c r="D62" s="4">
        <v>59</v>
      </c>
      <c r="E62" s="4">
        <f>IF(OR($C62=3,$C62=7),VLOOKUP($D62,Sheet3!$A:$E,5,),0)</f>
        <v>0</v>
      </c>
      <c r="F62" s="4">
        <f>IF(OR($C62=1,$C62=5,$C62=9),VLOOKUP($D62,Sheet3!$A:$E,5,),0)</f>
        <v>59</v>
      </c>
      <c r="G62" s="4">
        <f>IF(OR($C62=2,$C62=6,$C62=10),VLOOKUP($D62,Sheet3!$A:$E,5,),0)</f>
        <v>0</v>
      </c>
      <c r="H62" s="4">
        <f>IF(OR($C62=4,$C62=8),VLOOKUP($D62,Sheet3!$A:$E,5,),0)</f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2">
        <v>0</v>
      </c>
      <c r="Q62" s="2">
        <v>0</v>
      </c>
      <c r="R62" s="2">
        <v>0</v>
      </c>
      <c r="V62" s="4" t="str">
        <f>Sheet3!D60&amp;"+"&amp;Sheet3!E60</f>
        <v>攻击+59</v>
      </c>
      <c r="W62" s="2">
        <v>2</v>
      </c>
      <c r="X62" s="2" t="s">
        <v>70</v>
      </c>
      <c r="Y62" s="2">
        <v>1</v>
      </c>
      <c r="Z62" s="4" t="s">
        <v>65</v>
      </c>
      <c r="AA62" s="2">
        <f t="shared" ref="AA62:AB62" si="41">AA44</f>
        <v>92</v>
      </c>
      <c r="AB62" s="2">
        <f t="shared" si="41"/>
        <v>55</v>
      </c>
    </row>
    <row r="63" spans="1:28" x14ac:dyDescent="0.15">
      <c r="A63" s="1">
        <v>140060</v>
      </c>
      <c r="B63" s="2">
        <f t="shared" si="0"/>
        <v>6</v>
      </c>
      <c r="C63" s="4">
        <f t="shared" si="1"/>
        <v>10</v>
      </c>
      <c r="D63" s="2">
        <v>60</v>
      </c>
      <c r="E63" s="4">
        <f>IF(OR($C63=3,$C63=7),VLOOKUP($D63,Sheet3!$A:$E,5,),0)</f>
        <v>0</v>
      </c>
      <c r="F63" s="4">
        <f>IF(OR($C63=1,$C63=5,$C63=9),VLOOKUP($D63,Sheet3!$A:$E,5,),0)</f>
        <v>0</v>
      </c>
      <c r="G63" s="4">
        <f>IF(OR($C63=2,$C63=6,$C63=10),VLOOKUP($D63,Sheet3!$A:$E,5,),0)</f>
        <v>59</v>
      </c>
      <c r="H63" s="4">
        <f>IF(OR($C63=4,$C63=8),VLOOKUP($D63,Sheet3!$A:$E,5,),0)</f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2">
        <v>0</v>
      </c>
      <c r="Q63" s="2">
        <v>0</v>
      </c>
      <c r="R63" s="2">
        <v>0</v>
      </c>
      <c r="V63" s="4" t="str">
        <f>Sheet3!D61&amp;"+"&amp;Sheet3!E61</f>
        <v>防御+59</v>
      </c>
      <c r="W63" s="2">
        <v>2</v>
      </c>
      <c r="X63" s="2" t="s">
        <v>70</v>
      </c>
      <c r="Y63" s="2">
        <v>1</v>
      </c>
      <c r="Z63" s="4" t="s">
        <v>65</v>
      </c>
      <c r="AA63" s="2">
        <f t="shared" ref="AA63:AB63" si="42">AA45</f>
        <v>340</v>
      </c>
      <c r="AB63" s="2">
        <f t="shared" si="42"/>
        <v>55</v>
      </c>
    </row>
    <row r="64" spans="1:28" x14ac:dyDescent="0.15">
      <c r="A64" s="1">
        <v>140061</v>
      </c>
      <c r="B64" s="2">
        <f t="shared" si="0"/>
        <v>7</v>
      </c>
      <c r="C64" s="4">
        <f t="shared" si="1"/>
        <v>1</v>
      </c>
      <c r="D64" s="4">
        <v>61</v>
      </c>
      <c r="E64" s="4">
        <f>IF(OR($C64=3,$C64=7),VLOOKUP($D64,Sheet3!$A:$E,5,),0)</f>
        <v>0</v>
      </c>
      <c r="F64" s="4">
        <f>IF(OR($C64=1,$C64=5,$C64=9),VLOOKUP($D64,Sheet3!$A:$E,5,),0)</f>
        <v>78</v>
      </c>
      <c r="G64" s="4">
        <f>IF(OR($C64=2,$C64=6,$C64=10),VLOOKUP($D64,Sheet3!$A:$E,5,),0)</f>
        <v>0</v>
      </c>
      <c r="H64" s="4">
        <f>IF(OR($C64=4,$C64=8),VLOOKUP($D64,Sheet3!$A:$E,5,),0)</f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2">
        <v>0</v>
      </c>
      <c r="Q64" s="2">
        <v>0</v>
      </c>
      <c r="R64" s="2">
        <v>0</v>
      </c>
      <c r="V64" s="4" t="str">
        <f>Sheet3!D62&amp;"+"&amp;Sheet3!E62</f>
        <v>攻击+78</v>
      </c>
      <c r="W64" s="2">
        <v>2</v>
      </c>
      <c r="X64" s="2" t="s">
        <v>70</v>
      </c>
      <c r="Y64" s="2">
        <v>1</v>
      </c>
      <c r="Z64" s="4" t="s">
        <v>65</v>
      </c>
      <c r="AA64" s="2">
        <f t="shared" ref="AA64:AB64" si="43">AA46</f>
        <v>-310</v>
      </c>
      <c r="AB64" s="2">
        <f t="shared" si="43"/>
        <v>130</v>
      </c>
    </row>
    <row r="65" spans="1:28" x14ac:dyDescent="0.15">
      <c r="A65" s="1">
        <v>140062</v>
      </c>
      <c r="B65" s="2">
        <f t="shared" si="0"/>
        <v>7</v>
      </c>
      <c r="C65" s="4">
        <f t="shared" si="1"/>
        <v>2</v>
      </c>
      <c r="D65" s="2">
        <v>62</v>
      </c>
      <c r="E65" s="4">
        <f>IF(OR($C65=3,$C65=7),VLOOKUP($D65,Sheet3!$A:$E,5,),0)</f>
        <v>0</v>
      </c>
      <c r="F65" s="4">
        <f>IF(OR($C65=1,$C65=5,$C65=9),VLOOKUP($D65,Sheet3!$A:$E,5,),0)</f>
        <v>0</v>
      </c>
      <c r="G65" s="4">
        <f>IF(OR($C65=2,$C65=6,$C65=10),VLOOKUP($D65,Sheet3!$A:$E,5,),0)</f>
        <v>78</v>
      </c>
      <c r="H65" s="4">
        <f>IF(OR($C65=4,$C65=8),VLOOKUP($D65,Sheet3!$A:$E,5,),0)</f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2">
        <v>0</v>
      </c>
      <c r="Q65" s="2">
        <v>0</v>
      </c>
      <c r="R65" s="2">
        <v>0</v>
      </c>
      <c r="V65" s="4" t="str">
        <f>Sheet3!D63&amp;"+"&amp;Sheet3!E63</f>
        <v>防御+78</v>
      </c>
      <c r="W65" s="2">
        <v>2</v>
      </c>
      <c r="X65" s="2" t="s">
        <v>70</v>
      </c>
      <c r="Y65" s="2">
        <v>1</v>
      </c>
      <c r="Z65" s="4" t="s">
        <v>65</v>
      </c>
      <c r="AA65" s="2">
        <f t="shared" ref="AA65:AB65" si="44">AA47</f>
        <v>-137</v>
      </c>
      <c r="AB65" s="2">
        <f t="shared" si="44"/>
        <v>130</v>
      </c>
    </row>
    <row r="66" spans="1:28" x14ac:dyDescent="0.15">
      <c r="A66" s="1">
        <v>140063</v>
      </c>
      <c r="B66" s="2">
        <f t="shared" si="0"/>
        <v>7</v>
      </c>
      <c r="C66" s="4">
        <f t="shared" si="1"/>
        <v>3</v>
      </c>
      <c r="D66" s="4">
        <v>63</v>
      </c>
      <c r="E66" s="4">
        <f>IF(OR($C66=3,$C66=7),VLOOKUP($D66,Sheet3!$A:$E,5,),0)</f>
        <v>585</v>
      </c>
      <c r="F66" s="4">
        <f>IF(OR($C66=1,$C66=5,$C66=9),VLOOKUP($D66,Sheet3!$A:$E,5,),0)</f>
        <v>0</v>
      </c>
      <c r="G66" s="4">
        <f>IF(OR($C66=2,$C66=6,$C66=10),VLOOKUP($D66,Sheet3!$A:$E,5,),0)</f>
        <v>0</v>
      </c>
      <c r="H66" s="4">
        <f>IF(OR($C66=4,$C66=8),VLOOKUP($D66,Sheet3!$A:$E,5,),0)</f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2">
        <v>0</v>
      </c>
      <c r="Q66" s="2">
        <v>0</v>
      </c>
      <c r="R66" s="2">
        <v>0</v>
      </c>
      <c r="V66" s="4" t="str">
        <f>Sheet3!D64&amp;"+"&amp;Sheet3!E64</f>
        <v>生命+585</v>
      </c>
      <c r="W66" s="2">
        <v>2</v>
      </c>
      <c r="X66" s="2" t="s">
        <v>70</v>
      </c>
      <c r="Y66" s="2">
        <v>1</v>
      </c>
      <c r="Z66" s="4" t="s">
        <v>65</v>
      </c>
      <c r="AA66" s="2">
        <f t="shared" ref="AA66:AB66" si="45">AA48</f>
        <v>-137</v>
      </c>
      <c r="AB66" s="2">
        <f t="shared" si="45"/>
        <v>-115</v>
      </c>
    </row>
    <row r="67" spans="1:28" x14ac:dyDescent="0.15">
      <c r="A67" s="1">
        <v>140064</v>
      </c>
      <c r="B67" s="2">
        <f t="shared" si="0"/>
        <v>7</v>
      </c>
      <c r="C67" s="4">
        <f t="shared" si="1"/>
        <v>4</v>
      </c>
      <c r="D67" s="2">
        <v>64</v>
      </c>
      <c r="E67" s="4">
        <f>IF(OR($C67=3,$C67=7),VLOOKUP($D67,Sheet3!$A:$E,5,),0)</f>
        <v>0</v>
      </c>
      <c r="F67" s="4">
        <f>IF(OR($C67=1,$C67=5,$C67=9),VLOOKUP($D67,Sheet3!$A:$E,5,),0)</f>
        <v>0</v>
      </c>
      <c r="G67" s="4">
        <f>IF(OR($C67=2,$C67=6,$C67=10),VLOOKUP($D67,Sheet3!$A:$E,5,),0)</f>
        <v>0</v>
      </c>
      <c r="H67" s="4">
        <f>IF(OR($C67=4,$C67=8),VLOOKUP($D67,Sheet3!$A:$E,5,),0)</f>
        <v>117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2">
        <v>0</v>
      </c>
      <c r="Q67" s="2">
        <v>0</v>
      </c>
      <c r="R67" s="2">
        <v>0</v>
      </c>
      <c r="V67" s="4" t="str">
        <f>Sheet3!D65&amp;"+"&amp;Sheet3!E65</f>
        <v>霸气+117</v>
      </c>
      <c r="W67" s="2">
        <v>2</v>
      </c>
      <c r="X67" s="2" t="s">
        <v>70</v>
      </c>
      <c r="Y67" s="2">
        <v>1</v>
      </c>
      <c r="Z67" s="4" t="s">
        <v>65</v>
      </c>
      <c r="AA67" s="2">
        <f t="shared" ref="AA67:AB67" si="46">AA49</f>
        <v>92</v>
      </c>
      <c r="AB67" s="2">
        <f t="shared" si="46"/>
        <v>-115</v>
      </c>
    </row>
    <row r="68" spans="1:28" x14ac:dyDescent="0.15">
      <c r="A68" s="1">
        <v>140065</v>
      </c>
      <c r="B68" s="2">
        <f t="shared" si="0"/>
        <v>7</v>
      </c>
      <c r="C68" s="4">
        <f t="shared" si="1"/>
        <v>5</v>
      </c>
      <c r="D68" s="4">
        <v>65</v>
      </c>
      <c r="E68" s="4">
        <f>IF(OR($C68=3,$C68=7),VLOOKUP($D68,Sheet3!$A:$E,5,),0)</f>
        <v>0</v>
      </c>
      <c r="F68" s="4">
        <f>IF(OR($C68=1,$C68=5,$C68=9),VLOOKUP($D68,Sheet3!$A:$E,5,),0)</f>
        <v>78</v>
      </c>
      <c r="G68" s="4">
        <f>IF(OR($C68=2,$C68=6,$C68=10),VLOOKUP($D68,Sheet3!$A:$E,5,),0)</f>
        <v>0</v>
      </c>
      <c r="H68" s="4">
        <f>IF(OR($C68=4,$C68=8),VLOOKUP($D68,Sheet3!$A:$E,5,),0)</f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2">
        <v>0</v>
      </c>
      <c r="Q68" s="2">
        <v>0</v>
      </c>
      <c r="R68" s="2">
        <v>0</v>
      </c>
      <c r="V68" s="4" t="str">
        <f>Sheet3!D66&amp;"+"&amp;Sheet3!E66</f>
        <v>攻击+78</v>
      </c>
      <c r="W68" s="2">
        <v>2</v>
      </c>
      <c r="X68" s="2" t="s">
        <v>70</v>
      </c>
      <c r="Y68" s="2">
        <v>1</v>
      </c>
      <c r="Z68" s="4" t="s">
        <v>65</v>
      </c>
      <c r="AA68" s="2">
        <f t="shared" ref="AA68:AB68" si="47">AA50</f>
        <v>92</v>
      </c>
      <c r="AB68" s="2">
        <f t="shared" si="47"/>
        <v>55</v>
      </c>
    </row>
    <row r="69" spans="1:28" x14ac:dyDescent="0.15">
      <c r="A69" s="1">
        <v>140066</v>
      </c>
      <c r="B69" s="2">
        <f t="shared" si="0"/>
        <v>7</v>
      </c>
      <c r="C69" s="4">
        <f t="shared" si="1"/>
        <v>6</v>
      </c>
      <c r="D69" s="2">
        <v>66</v>
      </c>
      <c r="E69" s="4">
        <f>IF(OR($C69=3,$C69=7),VLOOKUP($D69,Sheet3!$A:$E,5,),0)</f>
        <v>0</v>
      </c>
      <c r="F69" s="4">
        <f>IF(OR($C69=1,$C69=5,$C69=9),VLOOKUP($D69,Sheet3!$A:$E,5,),0)</f>
        <v>0</v>
      </c>
      <c r="G69" s="4">
        <f>IF(OR($C69=2,$C69=6,$C69=10),VLOOKUP($D69,Sheet3!$A:$E,5,),0)</f>
        <v>78</v>
      </c>
      <c r="H69" s="4">
        <f>IF(OR($C69=4,$C69=8),VLOOKUP($D69,Sheet3!$A:$E,5,),0)</f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2">
        <v>0</v>
      </c>
      <c r="Q69" s="2">
        <v>0</v>
      </c>
      <c r="R69" s="2">
        <v>0</v>
      </c>
      <c r="V69" s="4" t="str">
        <f>Sheet3!D67&amp;"+"&amp;Sheet3!E67</f>
        <v>防御+78</v>
      </c>
      <c r="W69" s="2">
        <v>2</v>
      </c>
      <c r="X69" s="2" t="s">
        <v>70</v>
      </c>
      <c r="Y69" s="2">
        <v>1</v>
      </c>
      <c r="Z69" s="4" t="s">
        <v>65</v>
      </c>
      <c r="AA69" s="2">
        <f t="shared" ref="AA69:AB69" si="48">AA51</f>
        <v>340</v>
      </c>
      <c r="AB69" s="2">
        <f t="shared" si="48"/>
        <v>55</v>
      </c>
    </row>
    <row r="70" spans="1:28" x14ac:dyDescent="0.15">
      <c r="A70" s="1">
        <v>140067</v>
      </c>
      <c r="B70" s="2">
        <f t="shared" si="0"/>
        <v>7</v>
      </c>
      <c r="C70" s="4">
        <f t="shared" si="1"/>
        <v>7</v>
      </c>
      <c r="D70" s="4">
        <v>67</v>
      </c>
      <c r="E70" s="4">
        <f>IF(OR($C70=3,$C70=7),VLOOKUP($D70,Sheet3!$A:$E,5,),0)</f>
        <v>585</v>
      </c>
      <c r="F70" s="4">
        <f>IF(OR($C70=1,$C70=5,$C70=9),VLOOKUP($D70,Sheet3!$A:$E,5,),0)</f>
        <v>0</v>
      </c>
      <c r="G70" s="4">
        <f>IF(OR($C70=2,$C70=6,$C70=10),VLOOKUP($D70,Sheet3!$A:$E,5,),0)</f>
        <v>0</v>
      </c>
      <c r="H70" s="4">
        <f>IF(OR($C70=4,$C70=8),VLOOKUP($D70,Sheet3!$A:$E,5,),0)</f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2">
        <v>0</v>
      </c>
      <c r="Q70" s="2">
        <v>0</v>
      </c>
      <c r="R70" s="2">
        <v>0</v>
      </c>
      <c r="V70" s="4" t="str">
        <f>Sheet3!D68&amp;"+"&amp;Sheet3!E68</f>
        <v>生命+585</v>
      </c>
      <c r="W70" s="2">
        <v>2</v>
      </c>
      <c r="X70" s="2" t="s">
        <v>70</v>
      </c>
      <c r="Y70" s="2">
        <v>1</v>
      </c>
      <c r="Z70" s="4" t="s">
        <v>65</v>
      </c>
      <c r="AA70" s="2">
        <f t="shared" ref="AA70:AB70" si="49">AA52</f>
        <v>-310</v>
      </c>
      <c r="AB70" s="2">
        <f t="shared" si="49"/>
        <v>130</v>
      </c>
    </row>
    <row r="71" spans="1:28" x14ac:dyDescent="0.15">
      <c r="A71" s="1">
        <v>140068</v>
      </c>
      <c r="B71" s="2">
        <f t="shared" si="0"/>
        <v>7</v>
      </c>
      <c r="C71" s="4">
        <f t="shared" si="1"/>
        <v>8</v>
      </c>
      <c r="D71" s="2">
        <v>68</v>
      </c>
      <c r="E71" s="4">
        <f>IF(OR($C71=3,$C71=7),VLOOKUP($D71,Sheet3!$A:$E,5,),0)</f>
        <v>0</v>
      </c>
      <c r="F71" s="4">
        <f>IF(OR($C71=1,$C71=5,$C71=9),VLOOKUP($D71,Sheet3!$A:$E,5,),0)</f>
        <v>0</v>
      </c>
      <c r="G71" s="4">
        <f>IF(OR($C71=2,$C71=6,$C71=10),VLOOKUP($D71,Sheet3!$A:$E,5,),0)</f>
        <v>0</v>
      </c>
      <c r="H71" s="4">
        <f>IF(OR($C71=4,$C71=8),VLOOKUP($D71,Sheet3!$A:$E,5,),0)</f>
        <v>117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2">
        <v>0</v>
      </c>
      <c r="Q71" s="2">
        <v>0</v>
      </c>
      <c r="R71" s="2">
        <v>0</v>
      </c>
      <c r="V71" s="4" t="str">
        <f>Sheet3!D69&amp;"+"&amp;Sheet3!E69</f>
        <v>霸气+117</v>
      </c>
      <c r="W71" s="2">
        <v>2</v>
      </c>
      <c r="X71" s="2" t="s">
        <v>70</v>
      </c>
      <c r="Y71" s="2">
        <v>1</v>
      </c>
      <c r="Z71" s="4" t="s">
        <v>65</v>
      </c>
      <c r="AA71" s="2">
        <f t="shared" ref="AA71:AB71" si="50">AA53</f>
        <v>-137</v>
      </c>
      <c r="AB71" s="2">
        <f t="shared" si="50"/>
        <v>130</v>
      </c>
    </row>
    <row r="72" spans="1:28" x14ac:dyDescent="0.15">
      <c r="A72" s="1">
        <v>140069</v>
      </c>
      <c r="B72" s="2">
        <f t="shared" si="0"/>
        <v>7</v>
      </c>
      <c r="C72" s="4">
        <f t="shared" si="1"/>
        <v>9</v>
      </c>
      <c r="D72" s="4">
        <v>69</v>
      </c>
      <c r="E72" s="4">
        <f>IF(OR($C72=3,$C72=7),VLOOKUP($D72,Sheet3!$A:$E,5,),0)</f>
        <v>0</v>
      </c>
      <c r="F72" s="4">
        <f>IF(OR($C72=1,$C72=5,$C72=9),VLOOKUP($D72,Sheet3!$A:$E,5,),0)</f>
        <v>78</v>
      </c>
      <c r="G72" s="4">
        <f>IF(OR($C72=2,$C72=6,$C72=10),VLOOKUP($D72,Sheet3!$A:$E,5,),0)</f>
        <v>0</v>
      </c>
      <c r="H72" s="4">
        <f>IF(OR($C72=4,$C72=8),VLOOKUP($D72,Sheet3!$A:$E,5,),0)</f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2">
        <v>0</v>
      </c>
      <c r="Q72" s="2">
        <v>0</v>
      </c>
      <c r="R72" s="2">
        <v>0</v>
      </c>
      <c r="V72" s="4" t="str">
        <f>Sheet3!D70&amp;"+"&amp;Sheet3!E70</f>
        <v>攻击+78</v>
      </c>
      <c r="W72" s="2">
        <v>2</v>
      </c>
      <c r="X72" s="2" t="s">
        <v>70</v>
      </c>
      <c r="Y72" s="2">
        <v>1</v>
      </c>
      <c r="Z72" s="4" t="s">
        <v>65</v>
      </c>
      <c r="AA72" s="2">
        <f t="shared" ref="AA72:AB72" si="51">AA54</f>
        <v>-137</v>
      </c>
      <c r="AB72" s="2">
        <f t="shared" si="51"/>
        <v>-115</v>
      </c>
    </row>
    <row r="73" spans="1:28" x14ac:dyDescent="0.15">
      <c r="A73" s="1">
        <v>140070</v>
      </c>
      <c r="B73" s="2">
        <f t="shared" si="0"/>
        <v>7</v>
      </c>
      <c r="C73" s="4">
        <f t="shared" si="1"/>
        <v>10</v>
      </c>
      <c r="D73" s="2">
        <v>70</v>
      </c>
      <c r="E73" s="4">
        <f>IF(OR($C73=3,$C73=7),VLOOKUP($D73,Sheet3!$A:$E,5,),0)</f>
        <v>0</v>
      </c>
      <c r="F73" s="4">
        <f>IF(OR($C73=1,$C73=5,$C73=9),VLOOKUP($D73,Sheet3!$A:$E,5,),0)</f>
        <v>0</v>
      </c>
      <c r="G73" s="4">
        <f>IF(OR($C73=2,$C73=6,$C73=10),VLOOKUP($D73,Sheet3!$A:$E,5,),0)</f>
        <v>78</v>
      </c>
      <c r="H73" s="4">
        <f>IF(OR($C73=4,$C73=8),VLOOKUP($D73,Sheet3!$A:$E,5,),0)</f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2">
        <v>0</v>
      </c>
      <c r="Q73" s="2">
        <v>0</v>
      </c>
      <c r="R73" s="2">
        <v>0</v>
      </c>
      <c r="V73" s="4" t="str">
        <f>Sheet3!D71&amp;"+"&amp;Sheet3!E71</f>
        <v>防御+78</v>
      </c>
      <c r="W73" s="2">
        <v>2</v>
      </c>
      <c r="X73" s="2" t="s">
        <v>70</v>
      </c>
      <c r="Y73" s="2">
        <v>1</v>
      </c>
      <c r="Z73" s="4" t="s">
        <v>65</v>
      </c>
      <c r="AA73" s="2">
        <f t="shared" ref="AA73:AB73" si="52">AA55</f>
        <v>92</v>
      </c>
      <c r="AB73" s="2">
        <f t="shared" si="52"/>
        <v>-115</v>
      </c>
    </row>
    <row r="74" spans="1:28" x14ac:dyDescent="0.15">
      <c r="A74" s="1">
        <v>140071</v>
      </c>
      <c r="B74" s="2">
        <f t="shared" si="0"/>
        <v>8</v>
      </c>
      <c r="C74" s="4">
        <f t="shared" si="1"/>
        <v>1</v>
      </c>
      <c r="D74" s="4">
        <v>71</v>
      </c>
      <c r="E74" s="4">
        <f>IF(OR($C74=3,$C74=7),VLOOKUP($D74,Sheet3!$A:$E,5,),0)</f>
        <v>0</v>
      </c>
      <c r="F74" s="4">
        <f>IF(OR($C74=1,$C74=5,$C74=9),VLOOKUP($D74,Sheet3!$A:$E,5,),0)</f>
        <v>98</v>
      </c>
      <c r="G74" s="4">
        <f>IF(OR($C74=2,$C74=6,$C74=10),VLOOKUP($D74,Sheet3!$A:$E,5,),0)</f>
        <v>0</v>
      </c>
      <c r="H74" s="4">
        <f>IF(OR($C74=4,$C74=8),VLOOKUP($D74,Sheet3!$A:$E,5,),0)</f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2">
        <v>0</v>
      </c>
      <c r="Q74" s="2">
        <v>0</v>
      </c>
      <c r="R74" s="2">
        <v>0</v>
      </c>
      <c r="V74" s="4" t="str">
        <f>Sheet3!D72&amp;"+"&amp;Sheet3!E72</f>
        <v>攻击+98</v>
      </c>
      <c r="W74" s="2">
        <v>2</v>
      </c>
      <c r="X74" s="2" t="s">
        <v>70</v>
      </c>
      <c r="Y74" s="2">
        <v>1</v>
      </c>
      <c r="Z74" s="4" t="s">
        <v>65</v>
      </c>
      <c r="AA74" s="2">
        <f t="shared" ref="AA74:AB74" si="53">AA56</f>
        <v>92</v>
      </c>
      <c r="AB74" s="2">
        <f t="shared" si="53"/>
        <v>55</v>
      </c>
    </row>
    <row r="75" spans="1:28" x14ac:dyDescent="0.15">
      <c r="A75" s="1">
        <v>140072</v>
      </c>
      <c r="B75" s="2">
        <f t="shared" si="0"/>
        <v>8</v>
      </c>
      <c r="C75" s="4">
        <f t="shared" si="1"/>
        <v>2</v>
      </c>
      <c r="D75" s="2">
        <v>72</v>
      </c>
      <c r="E75" s="4">
        <f>IF(OR($C75=3,$C75=7),VLOOKUP($D75,Sheet3!$A:$E,5,),0)</f>
        <v>0</v>
      </c>
      <c r="F75" s="4">
        <f>IF(OR($C75=1,$C75=5,$C75=9),VLOOKUP($D75,Sheet3!$A:$E,5,),0)</f>
        <v>0</v>
      </c>
      <c r="G75" s="4">
        <f>IF(OR($C75=2,$C75=6,$C75=10),VLOOKUP($D75,Sheet3!$A:$E,5,),0)</f>
        <v>98</v>
      </c>
      <c r="H75" s="4">
        <f>IF(OR($C75=4,$C75=8),VLOOKUP($D75,Sheet3!$A:$E,5,),0)</f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2">
        <v>0</v>
      </c>
      <c r="Q75" s="2">
        <v>0</v>
      </c>
      <c r="R75" s="2">
        <v>0</v>
      </c>
      <c r="V75" s="4" t="str">
        <f>Sheet3!D73&amp;"+"&amp;Sheet3!E73</f>
        <v>防御+98</v>
      </c>
      <c r="W75" s="2">
        <v>2</v>
      </c>
      <c r="X75" s="2" t="s">
        <v>70</v>
      </c>
      <c r="Y75" s="2">
        <v>1</v>
      </c>
      <c r="Z75" s="4" t="s">
        <v>65</v>
      </c>
      <c r="AA75" s="2">
        <f t="shared" ref="AA75:AB75" si="54">AA57</f>
        <v>340</v>
      </c>
      <c r="AB75" s="2">
        <f t="shared" si="54"/>
        <v>55</v>
      </c>
    </row>
    <row r="76" spans="1:28" x14ac:dyDescent="0.15">
      <c r="A76" s="1">
        <v>140073</v>
      </c>
      <c r="B76" s="2">
        <f t="shared" si="0"/>
        <v>8</v>
      </c>
      <c r="C76" s="4">
        <f t="shared" si="1"/>
        <v>3</v>
      </c>
      <c r="D76" s="4">
        <v>73</v>
      </c>
      <c r="E76" s="4">
        <f>IF(OR($C76=3,$C76=7),VLOOKUP($D76,Sheet3!$A:$E,5,),0)</f>
        <v>735</v>
      </c>
      <c r="F76" s="4">
        <f>IF(OR($C76=1,$C76=5,$C76=9),VLOOKUP($D76,Sheet3!$A:$E,5,),0)</f>
        <v>0</v>
      </c>
      <c r="G76" s="4">
        <f>IF(OR($C76=2,$C76=6,$C76=10),VLOOKUP($D76,Sheet3!$A:$E,5,),0)</f>
        <v>0</v>
      </c>
      <c r="H76" s="4">
        <f>IF(OR($C76=4,$C76=8),VLOOKUP($D76,Sheet3!$A:$E,5,),0)</f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2">
        <v>0</v>
      </c>
      <c r="Q76" s="2">
        <v>0</v>
      </c>
      <c r="R76" s="2">
        <v>0</v>
      </c>
      <c r="V76" s="4" t="str">
        <f>Sheet3!D74&amp;"+"&amp;Sheet3!E74</f>
        <v>生命+735</v>
      </c>
      <c r="W76" s="2">
        <v>2</v>
      </c>
      <c r="X76" s="2" t="s">
        <v>70</v>
      </c>
      <c r="Y76" s="2">
        <v>1</v>
      </c>
      <c r="Z76" s="4" t="s">
        <v>65</v>
      </c>
      <c r="AA76" s="2">
        <f t="shared" ref="AA76:AB76" si="55">AA58</f>
        <v>-310</v>
      </c>
      <c r="AB76" s="2">
        <f t="shared" si="55"/>
        <v>130</v>
      </c>
    </row>
    <row r="77" spans="1:28" x14ac:dyDescent="0.15">
      <c r="A77" s="1">
        <v>140074</v>
      </c>
      <c r="B77" s="2">
        <f t="shared" si="0"/>
        <v>8</v>
      </c>
      <c r="C77" s="4">
        <f t="shared" si="1"/>
        <v>4</v>
      </c>
      <c r="D77" s="2">
        <v>74</v>
      </c>
      <c r="E77" s="4">
        <f>IF(OR($C77=3,$C77=7),VLOOKUP($D77,Sheet3!$A:$E,5,),0)</f>
        <v>0</v>
      </c>
      <c r="F77" s="4">
        <f>IF(OR($C77=1,$C77=5,$C77=9),VLOOKUP($D77,Sheet3!$A:$E,5,),0)</f>
        <v>0</v>
      </c>
      <c r="G77" s="4">
        <f>IF(OR($C77=2,$C77=6,$C77=10),VLOOKUP($D77,Sheet3!$A:$E,5,),0)</f>
        <v>0</v>
      </c>
      <c r="H77" s="4">
        <f>IF(OR($C77=4,$C77=8),VLOOKUP($D77,Sheet3!$A:$E,5,),0)</f>
        <v>147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2">
        <v>0</v>
      </c>
      <c r="Q77" s="2">
        <v>0</v>
      </c>
      <c r="R77" s="2">
        <v>0</v>
      </c>
      <c r="V77" s="4" t="str">
        <f>Sheet3!D75&amp;"+"&amp;Sheet3!E75</f>
        <v>霸气+147</v>
      </c>
      <c r="W77" s="2">
        <v>2</v>
      </c>
      <c r="X77" s="2" t="s">
        <v>70</v>
      </c>
      <c r="Y77" s="2">
        <v>1</v>
      </c>
      <c r="Z77" s="4" t="s">
        <v>65</v>
      </c>
      <c r="AA77" s="2">
        <f t="shared" ref="AA77:AB77" si="56">AA59</f>
        <v>-137</v>
      </c>
      <c r="AB77" s="2">
        <f t="shared" si="56"/>
        <v>130</v>
      </c>
    </row>
    <row r="78" spans="1:28" x14ac:dyDescent="0.15">
      <c r="A78" s="1">
        <v>140075</v>
      </c>
      <c r="B78" s="2">
        <f t="shared" si="0"/>
        <v>8</v>
      </c>
      <c r="C78" s="4">
        <f t="shared" si="1"/>
        <v>5</v>
      </c>
      <c r="D78" s="4">
        <v>75</v>
      </c>
      <c r="E78" s="4">
        <f>IF(OR($C78=3,$C78=7),VLOOKUP($D78,Sheet3!$A:$E,5,),0)</f>
        <v>0</v>
      </c>
      <c r="F78" s="4">
        <f>IF(OR($C78=1,$C78=5,$C78=9),VLOOKUP($D78,Sheet3!$A:$E,5,),0)</f>
        <v>98</v>
      </c>
      <c r="G78" s="4">
        <f>IF(OR($C78=2,$C78=6,$C78=10),VLOOKUP($D78,Sheet3!$A:$E,5,),0)</f>
        <v>0</v>
      </c>
      <c r="H78" s="4">
        <f>IF(OR($C78=4,$C78=8),VLOOKUP($D78,Sheet3!$A:$E,5,),0)</f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2">
        <v>0</v>
      </c>
      <c r="Q78" s="2">
        <v>0</v>
      </c>
      <c r="R78" s="2">
        <v>0</v>
      </c>
      <c r="V78" s="4" t="str">
        <f>Sheet3!D76&amp;"+"&amp;Sheet3!E76</f>
        <v>攻击+98</v>
      </c>
      <c r="W78" s="2">
        <v>2</v>
      </c>
      <c r="X78" s="2" t="s">
        <v>70</v>
      </c>
      <c r="Y78" s="2">
        <v>1</v>
      </c>
      <c r="Z78" s="4" t="s">
        <v>65</v>
      </c>
      <c r="AA78" s="2">
        <f t="shared" ref="AA78:AB78" si="57">AA60</f>
        <v>-137</v>
      </c>
      <c r="AB78" s="2">
        <f t="shared" si="57"/>
        <v>-115</v>
      </c>
    </row>
    <row r="79" spans="1:28" x14ac:dyDescent="0.15">
      <c r="A79" s="1">
        <v>140076</v>
      </c>
      <c r="B79" s="2">
        <f t="shared" ref="B79:B123" si="58">B69+1</f>
        <v>8</v>
      </c>
      <c r="C79" s="4">
        <f t="shared" ref="C79:C123" si="59">C69</f>
        <v>6</v>
      </c>
      <c r="D79" s="2">
        <v>76</v>
      </c>
      <c r="E79" s="4">
        <f>IF(OR($C79=3,$C79=7),VLOOKUP($D79,Sheet3!$A:$E,5,),0)</f>
        <v>0</v>
      </c>
      <c r="F79" s="4">
        <f>IF(OR($C79=1,$C79=5,$C79=9),VLOOKUP($D79,Sheet3!$A:$E,5,),0)</f>
        <v>0</v>
      </c>
      <c r="G79" s="4">
        <f>IF(OR($C79=2,$C79=6,$C79=10),VLOOKUP($D79,Sheet3!$A:$E,5,),0)</f>
        <v>98</v>
      </c>
      <c r="H79" s="4">
        <f>IF(OR($C79=4,$C79=8),VLOOKUP($D79,Sheet3!$A:$E,5,),0)</f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2">
        <v>0</v>
      </c>
      <c r="Q79" s="2">
        <v>0</v>
      </c>
      <c r="R79" s="2">
        <v>0</v>
      </c>
      <c r="V79" s="4" t="str">
        <f>Sheet3!D77&amp;"+"&amp;Sheet3!E77</f>
        <v>防御+98</v>
      </c>
      <c r="W79" s="2">
        <v>2</v>
      </c>
      <c r="X79" s="2" t="s">
        <v>70</v>
      </c>
      <c r="Y79" s="2">
        <v>1</v>
      </c>
      <c r="Z79" s="4" t="s">
        <v>65</v>
      </c>
      <c r="AA79" s="2">
        <f t="shared" ref="AA79:AB79" si="60">AA61</f>
        <v>92</v>
      </c>
      <c r="AB79" s="2">
        <f t="shared" si="60"/>
        <v>-115</v>
      </c>
    </row>
    <row r="80" spans="1:28" x14ac:dyDescent="0.15">
      <c r="A80" s="1">
        <v>140077</v>
      </c>
      <c r="B80" s="2">
        <f t="shared" si="58"/>
        <v>8</v>
      </c>
      <c r="C80" s="4">
        <f t="shared" si="59"/>
        <v>7</v>
      </c>
      <c r="D80" s="4">
        <v>77</v>
      </c>
      <c r="E80" s="4">
        <f>IF(OR($C80=3,$C80=7),VLOOKUP($D80,Sheet3!$A:$E,5,),0)</f>
        <v>735</v>
      </c>
      <c r="F80" s="4">
        <f>IF(OR($C80=1,$C80=5,$C80=9),VLOOKUP($D80,Sheet3!$A:$E,5,),0)</f>
        <v>0</v>
      </c>
      <c r="G80" s="4">
        <f>IF(OR($C80=2,$C80=6,$C80=10),VLOOKUP($D80,Sheet3!$A:$E,5,),0)</f>
        <v>0</v>
      </c>
      <c r="H80" s="4">
        <f>IF(OR($C80=4,$C80=8),VLOOKUP($D80,Sheet3!$A:$E,5,),0)</f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2">
        <v>0</v>
      </c>
      <c r="Q80" s="2">
        <v>0</v>
      </c>
      <c r="R80" s="2">
        <v>0</v>
      </c>
      <c r="V80" s="4" t="str">
        <f>Sheet3!D78&amp;"+"&amp;Sheet3!E78</f>
        <v>生命+735</v>
      </c>
      <c r="W80" s="2">
        <v>2</v>
      </c>
      <c r="X80" s="2" t="s">
        <v>70</v>
      </c>
      <c r="Y80" s="2">
        <v>1</v>
      </c>
      <c r="Z80" s="4" t="s">
        <v>65</v>
      </c>
      <c r="AA80" s="2">
        <f t="shared" ref="AA80:AB80" si="61">AA62</f>
        <v>92</v>
      </c>
      <c r="AB80" s="2">
        <f t="shared" si="61"/>
        <v>55</v>
      </c>
    </row>
    <row r="81" spans="1:28" x14ac:dyDescent="0.15">
      <c r="A81" s="1">
        <v>140078</v>
      </c>
      <c r="B81" s="2">
        <f t="shared" si="58"/>
        <v>8</v>
      </c>
      <c r="C81" s="4">
        <f t="shared" si="59"/>
        <v>8</v>
      </c>
      <c r="D81" s="2">
        <v>78</v>
      </c>
      <c r="E81" s="4">
        <f>IF(OR($C81=3,$C81=7),VLOOKUP($D81,Sheet3!$A:$E,5,),0)</f>
        <v>0</v>
      </c>
      <c r="F81" s="4">
        <f>IF(OR($C81=1,$C81=5,$C81=9),VLOOKUP($D81,Sheet3!$A:$E,5,),0)</f>
        <v>0</v>
      </c>
      <c r="G81" s="4">
        <f>IF(OR($C81=2,$C81=6,$C81=10),VLOOKUP($D81,Sheet3!$A:$E,5,),0)</f>
        <v>0</v>
      </c>
      <c r="H81" s="4">
        <f>IF(OR($C81=4,$C81=8),VLOOKUP($D81,Sheet3!$A:$E,5,),0)</f>
        <v>147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2">
        <v>0</v>
      </c>
      <c r="Q81" s="2">
        <v>0</v>
      </c>
      <c r="R81" s="2">
        <v>0</v>
      </c>
      <c r="V81" s="4" t="str">
        <f>Sheet3!D79&amp;"+"&amp;Sheet3!E79</f>
        <v>霸气+147</v>
      </c>
      <c r="W81" s="2">
        <v>2</v>
      </c>
      <c r="X81" s="2" t="s">
        <v>70</v>
      </c>
      <c r="Y81" s="2">
        <v>1</v>
      </c>
      <c r="Z81" s="4" t="s">
        <v>65</v>
      </c>
      <c r="AA81" s="2">
        <f t="shared" ref="AA81:AB81" si="62">AA63</f>
        <v>340</v>
      </c>
      <c r="AB81" s="2">
        <f t="shared" si="62"/>
        <v>55</v>
      </c>
    </row>
    <row r="82" spans="1:28" x14ac:dyDescent="0.15">
      <c r="A82" s="1">
        <v>140079</v>
      </c>
      <c r="B82" s="2">
        <f t="shared" si="58"/>
        <v>8</v>
      </c>
      <c r="C82" s="4">
        <f t="shared" si="59"/>
        <v>9</v>
      </c>
      <c r="D82" s="4">
        <v>79</v>
      </c>
      <c r="E82" s="4">
        <f>IF(OR($C82=3,$C82=7),VLOOKUP($D82,Sheet3!$A:$E,5,),0)</f>
        <v>0</v>
      </c>
      <c r="F82" s="4">
        <f>IF(OR($C82=1,$C82=5,$C82=9),VLOOKUP($D82,Sheet3!$A:$E,5,),0)</f>
        <v>98</v>
      </c>
      <c r="G82" s="4">
        <f>IF(OR($C82=2,$C82=6,$C82=10),VLOOKUP($D82,Sheet3!$A:$E,5,),0)</f>
        <v>0</v>
      </c>
      <c r="H82" s="4">
        <f>IF(OR($C82=4,$C82=8),VLOOKUP($D82,Sheet3!$A:$E,5,),0)</f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2">
        <v>0</v>
      </c>
      <c r="Q82" s="2">
        <v>0</v>
      </c>
      <c r="R82" s="2">
        <v>0</v>
      </c>
      <c r="V82" s="4" t="str">
        <f>Sheet3!D80&amp;"+"&amp;Sheet3!E80</f>
        <v>攻击+98</v>
      </c>
      <c r="W82" s="2">
        <v>2</v>
      </c>
      <c r="X82" s="2" t="s">
        <v>70</v>
      </c>
      <c r="Y82" s="2">
        <v>1</v>
      </c>
      <c r="Z82" s="4" t="s">
        <v>65</v>
      </c>
      <c r="AA82" s="2">
        <f t="shared" ref="AA82:AB82" si="63">AA64</f>
        <v>-310</v>
      </c>
      <c r="AB82" s="2">
        <f t="shared" si="63"/>
        <v>130</v>
      </c>
    </row>
    <row r="83" spans="1:28" x14ac:dyDescent="0.15">
      <c r="A83" s="1">
        <v>140080</v>
      </c>
      <c r="B83" s="2">
        <f t="shared" si="58"/>
        <v>8</v>
      </c>
      <c r="C83" s="4">
        <f t="shared" si="59"/>
        <v>10</v>
      </c>
      <c r="D83" s="2">
        <v>80</v>
      </c>
      <c r="E83" s="4">
        <f>IF(OR($C83=3,$C83=7),VLOOKUP($D83,Sheet3!$A:$E,5,),0)</f>
        <v>0</v>
      </c>
      <c r="F83" s="4">
        <f>IF(OR($C83=1,$C83=5,$C83=9),VLOOKUP($D83,Sheet3!$A:$E,5,),0)</f>
        <v>0</v>
      </c>
      <c r="G83" s="4">
        <f>IF(OR($C83=2,$C83=6,$C83=10),VLOOKUP($D83,Sheet3!$A:$E,5,),0)</f>
        <v>98</v>
      </c>
      <c r="H83" s="4">
        <f>IF(OR($C83=4,$C83=8),VLOOKUP($D83,Sheet3!$A:$E,5,),0)</f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2">
        <v>0</v>
      </c>
      <c r="Q83" s="2">
        <v>0</v>
      </c>
      <c r="R83" s="2">
        <v>0</v>
      </c>
      <c r="V83" s="4" t="str">
        <f>Sheet3!D81&amp;"+"&amp;Sheet3!E81</f>
        <v>防御+98</v>
      </c>
      <c r="W83" s="2">
        <v>2</v>
      </c>
      <c r="X83" s="2" t="s">
        <v>70</v>
      </c>
      <c r="Y83" s="2">
        <v>1</v>
      </c>
      <c r="Z83" s="4" t="s">
        <v>65</v>
      </c>
      <c r="AA83" s="2">
        <f t="shared" ref="AA83:AB83" si="64">AA65</f>
        <v>-137</v>
      </c>
      <c r="AB83" s="2">
        <f t="shared" si="64"/>
        <v>130</v>
      </c>
    </row>
    <row r="84" spans="1:28" x14ac:dyDescent="0.15">
      <c r="A84" s="1">
        <v>140081</v>
      </c>
      <c r="B84" s="2">
        <f t="shared" si="58"/>
        <v>9</v>
      </c>
      <c r="C84" s="4">
        <f t="shared" si="59"/>
        <v>1</v>
      </c>
      <c r="D84" s="4">
        <v>81</v>
      </c>
      <c r="E84" s="4">
        <f>IF(OR($C84=3,$C84=7),VLOOKUP($D84,Sheet3!$A:$E,5,),0)</f>
        <v>0</v>
      </c>
      <c r="F84" s="4">
        <f>IF(OR($C84=1,$C84=5,$C84=9),VLOOKUP($D84,Sheet3!$A:$E,5,),0)</f>
        <v>127</v>
      </c>
      <c r="G84" s="4">
        <f>IF(OR($C84=2,$C84=6,$C84=10),VLOOKUP($D84,Sheet3!$A:$E,5,),0)</f>
        <v>0</v>
      </c>
      <c r="H84" s="4">
        <f>IF(OR($C84=4,$C84=8),VLOOKUP($D84,Sheet3!$A:$E,5,),0)</f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2">
        <v>0</v>
      </c>
      <c r="Q84" s="2">
        <v>0</v>
      </c>
      <c r="R84" s="2">
        <v>0</v>
      </c>
      <c r="V84" s="4" t="str">
        <f>Sheet3!D82&amp;"+"&amp;Sheet3!E82</f>
        <v>攻击+127</v>
      </c>
      <c r="W84" s="2">
        <v>2</v>
      </c>
      <c r="X84" s="2" t="s">
        <v>70</v>
      </c>
      <c r="Y84" s="2">
        <v>1</v>
      </c>
      <c r="Z84" s="4" t="s">
        <v>65</v>
      </c>
      <c r="AA84" s="2">
        <f t="shared" ref="AA84:AB84" si="65">AA66</f>
        <v>-137</v>
      </c>
      <c r="AB84" s="2">
        <f t="shared" si="65"/>
        <v>-115</v>
      </c>
    </row>
    <row r="85" spans="1:28" x14ac:dyDescent="0.15">
      <c r="A85" s="1">
        <v>140082</v>
      </c>
      <c r="B85" s="2">
        <f t="shared" si="58"/>
        <v>9</v>
      </c>
      <c r="C85" s="4">
        <f t="shared" si="59"/>
        <v>2</v>
      </c>
      <c r="D85" s="2">
        <v>82</v>
      </c>
      <c r="E85" s="4">
        <f>IF(OR($C85=3,$C85=7),VLOOKUP($D85,Sheet3!$A:$E,5,),0)</f>
        <v>0</v>
      </c>
      <c r="F85" s="4">
        <f>IF(OR($C85=1,$C85=5,$C85=9),VLOOKUP($D85,Sheet3!$A:$E,5,),0)</f>
        <v>0</v>
      </c>
      <c r="G85" s="4">
        <f>IF(OR($C85=2,$C85=6,$C85=10),VLOOKUP($D85,Sheet3!$A:$E,5,),0)</f>
        <v>127</v>
      </c>
      <c r="H85" s="4">
        <f>IF(OR($C85=4,$C85=8),VLOOKUP($D85,Sheet3!$A:$E,5,),0)</f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2">
        <v>0</v>
      </c>
      <c r="Q85" s="2">
        <v>0</v>
      </c>
      <c r="R85" s="2">
        <v>0</v>
      </c>
      <c r="V85" s="4" t="str">
        <f>Sheet3!D83&amp;"+"&amp;Sheet3!E83</f>
        <v>防御+127</v>
      </c>
      <c r="W85" s="2">
        <v>2</v>
      </c>
      <c r="X85" s="2" t="s">
        <v>70</v>
      </c>
      <c r="Y85" s="2">
        <v>1</v>
      </c>
      <c r="Z85" s="4" t="s">
        <v>65</v>
      </c>
      <c r="AA85" s="2">
        <f t="shared" ref="AA85:AB85" si="66">AA67</f>
        <v>92</v>
      </c>
      <c r="AB85" s="2">
        <f t="shared" si="66"/>
        <v>-115</v>
      </c>
    </row>
    <row r="86" spans="1:28" x14ac:dyDescent="0.15">
      <c r="A86" s="1">
        <v>140083</v>
      </c>
      <c r="B86" s="2">
        <f t="shared" si="58"/>
        <v>9</v>
      </c>
      <c r="C86" s="4">
        <f t="shared" si="59"/>
        <v>3</v>
      </c>
      <c r="D86" s="4">
        <v>83</v>
      </c>
      <c r="E86" s="4">
        <f>IF(OR($C86=3,$C86=7),VLOOKUP($D86,Sheet3!$A:$E,5,),0)</f>
        <v>952</v>
      </c>
      <c r="F86" s="4">
        <f>IF(OR($C86=1,$C86=5,$C86=9),VLOOKUP($D86,Sheet3!$A:$E,5,),0)</f>
        <v>0</v>
      </c>
      <c r="G86" s="4">
        <f>IF(OR($C86=2,$C86=6,$C86=10),VLOOKUP($D86,Sheet3!$A:$E,5,),0)</f>
        <v>0</v>
      </c>
      <c r="H86" s="4">
        <f>IF(OR($C86=4,$C86=8),VLOOKUP($D86,Sheet3!$A:$E,5,),0)</f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2">
        <v>0</v>
      </c>
      <c r="Q86" s="2">
        <v>0</v>
      </c>
      <c r="R86" s="2">
        <v>0</v>
      </c>
      <c r="V86" s="4" t="str">
        <f>Sheet3!D84&amp;"+"&amp;Sheet3!E84</f>
        <v>生命+952</v>
      </c>
      <c r="W86" s="2">
        <v>2</v>
      </c>
      <c r="X86" s="2" t="s">
        <v>70</v>
      </c>
      <c r="Y86" s="2">
        <v>1</v>
      </c>
      <c r="Z86" s="4" t="s">
        <v>65</v>
      </c>
      <c r="AA86" s="2">
        <f t="shared" ref="AA86:AB86" si="67">AA68</f>
        <v>92</v>
      </c>
      <c r="AB86" s="2">
        <f t="shared" si="67"/>
        <v>55</v>
      </c>
    </row>
    <row r="87" spans="1:28" x14ac:dyDescent="0.15">
      <c r="A87" s="1">
        <v>140084</v>
      </c>
      <c r="B87" s="2">
        <f t="shared" si="58"/>
        <v>9</v>
      </c>
      <c r="C87" s="4">
        <f t="shared" si="59"/>
        <v>4</v>
      </c>
      <c r="D87" s="2">
        <v>84</v>
      </c>
      <c r="E87" s="4">
        <f>IF(OR($C87=3,$C87=7),VLOOKUP($D87,Sheet3!$A:$E,5,),0)</f>
        <v>0</v>
      </c>
      <c r="F87" s="4">
        <f>IF(OR($C87=1,$C87=5,$C87=9),VLOOKUP($D87,Sheet3!$A:$E,5,),0)</f>
        <v>0</v>
      </c>
      <c r="G87" s="4">
        <f>IF(OR($C87=2,$C87=6,$C87=10),VLOOKUP($D87,Sheet3!$A:$E,5,),0)</f>
        <v>0</v>
      </c>
      <c r="H87" s="4">
        <f>IF(OR($C87=4,$C87=8),VLOOKUP($D87,Sheet3!$A:$E,5,),0)</f>
        <v>190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2">
        <v>0</v>
      </c>
      <c r="Q87" s="2">
        <v>0</v>
      </c>
      <c r="R87" s="2">
        <v>0</v>
      </c>
      <c r="V87" s="4" t="str">
        <f>Sheet3!D85&amp;"+"&amp;Sheet3!E85</f>
        <v>霸气+190</v>
      </c>
      <c r="W87" s="2">
        <v>2</v>
      </c>
      <c r="X87" s="2" t="s">
        <v>70</v>
      </c>
      <c r="Y87" s="2">
        <v>1</v>
      </c>
      <c r="Z87" s="4" t="s">
        <v>65</v>
      </c>
      <c r="AA87" s="2">
        <f t="shared" ref="AA87:AB87" si="68">AA69</f>
        <v>340</v>
      </c>
      <c r="AB87" s="2">
        <f t="shared" si="68"/>
        <v>55</v>
      </c>
    </row>
    <row r="88" spans="1:28" x14ac:dyDescent="0.15">
      <c r="A88" s="1">
        <v>140085</v>
      </c>
      <c r="B88" s="2">
        <f t="shared" si="58"/>
        <v>9</v>
      </c>
      <c r="C88" s="4">
        <f t="shared" si="59"/>
        <v>5</v>
      </c>
      <c r="D88" s="4">
        <v>85</v>
      </c>
      <c r="E88" s="4">
        <f>IF(OR($C88=3,$C88=7),VLOOKUP($D88,Sheet3!$A:$E,5,),0)</f>
        <v>0</v>
      </c>
      <c r="F88" s="4">
        <f>IF(OR($C88=1,$C88=5,$C88=9),VLOOKUP($D88,Sheet3!$A:$E,5,),0)</f>
        <v>127</v>
      </c>
      <c r="G88" s="4">
        <f>IF(OR($C88=2,$C88=6,$C88=10),VLOOKUP($D88,Sheet3!$A:$E,5,),0)</f>
        <v>0</v>
      </c>
      <c r="H88" s="4">
        <f>IF(OR($C88=4,$C88=8),VLOOKUP($D88,Sheet3!$A:$E,5,),0)</f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2">
        <v>0</v>
      </c>
      <c r="Q88" s="2">
        <v>0</v>
      </c>
      <c r="R88" s="2">
        <v>0</v>
      </c>
      <c r="V88" s="4" t="str">
        <f>Sheet3!D86&amp;"+"&amp;Sheet3!E86</f>
        <v>攻击+127</v>
      </c>
      <c r="W88" s="2">
        <v>2</v>
      </c>
      <c r="X88" s="2" t="s">
        <v>70</v>
      </c>
      <c r="Y88" s="2">
        <v>1</v>
      </c>
      <c r="Z88" s="4" t="s">
        <v>65</v>
      </c>
      <c r="AA88" s="2">
        <f t="shared" ref="AA88:AB88" si="69">AA70</f>
        <v>-310</v>
      </c>
      <c r="AB88" s="2">
        <f t="shared" si="69"/>
        <v>130</v>
      </c>
    </row>
    <row r="89" spans="1:28" x14ac:dyDescent="0.15">
      <c r="A89" s="1">
        <v>140086</v>
      </c>
      <c r="B89" s="2">
        <f t="shared" si="58"/>
        <v>9</v>
      </c>
      <c r="C89" s="4">
        <f t="shared" si="59"/>
        <v>6</v>
      </c>
      <c r="D89" s="2">
        <v>86</v>
      </c>
      <c r="E89" s="4">
        <f>IF(OR($C89=3,$C89=7),VLOOKUP($D89,Sheet3!$A:$E,5,),0)</f>
        <v>0</v>
      </c>
      <c r="F89" s="4">
        <f>IF(OR($C89=1,$C89=5,$C89=9),VLOOKUP($D89,Sheet3!$A:$E,5,),0)</f>
        <v>0</v>
      </c>
      <c r="G89" s="4">
        <f>IF(OR($C89=2,$C89=6,$C89=10),VLOOKUP($D89,Sheet3!$A:$E,5,),0)</f>
        <v>127</v>
      </c>
      <c r="H89" s="4">
        <f>IF(OR($C89=4,$C89=8),VLOOKUP($D89,Sheet3!$A:$E,5,),0)</f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2">
        <v>0</v>
      </c>
      <c r="Q89" s="2">
        <v>0</v>
      </c>
      <c r="R89" s="2">
        <v>0</v>
      </c>
      <c r="V89" s="4" t="str">
        <f>Sheet3!D87&amp;"+"&amp;Sheet3!E87</f>
        <v>防御+127</v>
      </c>
      <c r="W89" s="2">
        <v>2</v>
      </c>
      <c r="X89" s="2" t="s">
        <v>70</v>
      </c>
      <c r="Y89" s="2">
        <v>1</v>
      </c>
      <c r="Z89" s="4" t="s">
        <v>65</v>
      </c>
      <c r="AA89" s="2">
        <f t="shared" ref="AA89:AB89" si="70">AA71</f>
        <v>-137</v>
      </c>
      <c r="AB89" s="2">
        <f t="shared" si="70"/>
        <v>130</v>
      </c>
    </row>
    <row r="90" spans="1:28" x14ac:dyDescent="0.15">
      <c r="A90" s="1">
        <v>140087</v>
      </c>
      <c r="B90" s="2">
        <f t="shared" si="58"/>
        <v>9</v>
      </c>
      <c r="C90" s="4">
        <f t="shared" si="59"/>
        <v>7</v>
      </c>
      <c r="D90" s="4">
        <v>87</v>
      </c>
      <c r="E90" s="4">
        <f>IF(OR($C90=3,$C90=7),VLOOKUP($D90,Sheet3!$A:$E,5,),0)</f>
        <v>952</v>
      </c>
      <c r="F90" s="4">
        <f>IF(OR($C90=1,$C90=5,$C90=9),VLOOKUP($D90,Sheet3!$A:$E,5,),0)</f>
        <v>0</v>
      </c>
      <c r="G90" s="4">
        <f>IF(OR($C90=2,$C90=6,$C90=10),VLOOKUP($D90,Sheet3!$A:$E,5,),0)</f>
        <v>0</v>
      </c>
      <c r="H90" s="4">
        <f>IF(OR($C90=4,$C90=8),VLOOKUP($D90,Sheet3!$A:$E,5,),0)</f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2">
        <v>0</v>
      </c>
      <c r="Q90" s="2">
        <v>0</v>
      </c>
      <c r="R90" s="2">
        <v>0</v>
      </c>
      <c r="V90" s="4" t="str">
        <f>Sheet3!D88&amp;"+"&amp;Sheet3!E88</f>
        <v>生命+952</v>
      </c>
      <c r="W90" s="2">
        <v>2</v>
      </c>
      <c r="X90" s="2" t="s">
        <v>70</v>
      </c>
      <c r="Y90" s="2">
        <v>1</v>
      </c>
      <c r="Z90" s="4" t="s">
        <v>65</v>
      </c>
      <c r="AA90" s="2">
        <f t="shared" ref="AA90:AB90" si="71">AA72</f>
        <v>-137</v>
      </c>
      <c r="AB90" s="2">
        <f t="shared" si="71"/>
        <v>-115</v>
      </c>
    </row>
    <row r="91" spans="1:28" x14ac:dyDescent="0.15">
      <c r="A91" s="1">
        <v>140088</v>
      </c>
      <c r="B91" s="2">
        <f t="shared" si="58"/>
        <v>9</v>
      </c>
      <c r="C91" s="4">
        <f t="shared" si="59"/>
        <v>8</v>
      </c>
      <c r="D91" s="2">
        <v>88</v>
      </c>
      <c r="E91" s="4">
        <f>IF(OR($C91=3,$C91=7),VLOOKUP($D91,Sheet3!$A:$E,5,),0)</f>
        <v>0</v>
      </c>
      <c r="F91" s="4">
        <f>IF(OR($C91=1,$C91=5,$C91=9),VLOOKUP($D91,Sheet3!$A:$E,5,),0)</f>
        <v>0</v>
      </c>
      <c r="G91" s="4">
        <f>IF(OR($C91=2,$C91=6,$C91=10),VLOOKUP($D91,Sheet3!$A:$E,5,),0)</f>
        <v>0</v>
      </c>
      <c r="H91" s="4">
        <f>IF(OR($C91=4,$C91=8),VLOOKUP($D91,Sheet3!$A:$E,5,),0)</f>
        <v>190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2">
        <v>0</v>
      </c>
      <c r="Q91" s="2">
        <v>0</v>
      </c>
      <c r="R91" s="2">
        <v>0</v>
      </c>
      <c r="V91" s="4" t="str">
        <f>Sheet3!D89&amp;"+"&amp;Sheet3!E89</f>
        <v>霸气+190</v>
      </c>
      <c r="W91" s="2">
        <v>2</v>
      </c>
      <c r="X91" s="2" t="s">
        <v>70</v>
      </c>
      <c r="Y91" s="2">
        <v>1</v>
      </c>
      <c r="Z91" s="4" t="s">
        <v>65</v>
      </c>
      <c r="AA91" s="2">
        <f t="shared" ref="AA91:AB91" si="72">AA73</f>
        <v>92</v>
      </c>
      <c r="AB91" s="2">
        <f t="shared" si="72"/>
        <v>-115</v>
      </c>
    </row>
    <row r="92" spans="1:28" x14ac:dyDescent="0.15">
      <c r="A92" s="1">
        <v>140089</v>
      </c>
      <c r="B92" s="2">
        <f t="shared" si="58"/>
        <v>9</v>
      </c>
      <c r="C92" s="4">
        <f t="shared" si="59"/>
        <v>9</v>
      </c>
      <c r="D92" s="4">
        <v>89</v>
      </c>
      <c r="E92" s="4">
        <f>IF(OR($C92=3,$C92=7),VLOOKUP($D92,Sheet3!$A:$E,5,),0)</f>
        <v>0</v>
      </c>
      <c r="F92" s="4">
        <f>IF(OR($C92=1,$C92=5,$C92=9),VLOOKUP($D92,Sheet3!$A:$E,5,),0)</f>
        <v>127</v>
      </c>
      <c r="G92" s="4">
        <f>IF(OR($C92=2,$C92=6,$C92=10),VLOOKUP($D92,Sheet3!$A:$E,5,),0)</f>
        <v>0</v>
      </c>
      <c r="H92" s="4">
        <f>IF(OR($C92=4,$C92=8),VLOOKUP($D92,Sheet3!$A:$E,5,),0)</f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2">
        <v>0</v>
      </c>
      <c r="Q92" s="2">
        <v>0</v>
      </c>
      <c r="R92" s="2">
        <v>0</v>
      </c>
      <c r="V92" s="4" t="str">
        <f>Sheet3!D90&amp;"+"&amp;Sheet3!E90</f>
        <v>攻击+127</v>
      </c>
      <c r="W92" s="2">
        <v>2</v>
      </c>
      <c r="X92" s="2" t="s">
        <v>70</v>
      </c>
      <c r="Y92" s="2">
        <v>1</v>
      </c>
      <c r="Z92" s="4" t="s">
        <v>65</v>
      </c>
      <c r="AA92" s="2">
        <f t="shared" ref="AA92:AB92" si="73">AA74</f>
        <v>92</v>
      </c>
      <c r="AB92" s="2">
        <f t="shared" si="73"/>
        <v>55</v>
      </c>
    </row>
    <row r="93" spans="1:28" x14ac:dyDescent="0.15">
      <c r="A93" s="1">
        <v>140090</v>
      </c>
      <c r="B93" s="2">
        <f t="shared" si="58"/>
        <v>9</v>
      </c>
      <c r="C93" s="4">
        <f t="shared" si="59"/>
        <v>10</v>
      </c>
      <c r="D93" s="2">
        <v>90</v>
      </c>
      <c r="E93" s="4">
        <f>IF(OR($C93=3,$C93=7),VLOOKUP($D93,Sheet3!$A:$E,5,),0)</f>
        <v>0</v>
      </c>
      <c r="F93" s="4">
        <f>IF(OR($C93=1,$C93=5,$C93=9),VLOOKUP($D93,Sheet3!$A:$E,5,),0)</f>
        <v>0</v>
      </c>
      <c r="G93" s="4">
        <f>IF(OR($C93=2,$C93=6,$C93=10),VLOOKUP($D93,Sheet3!$A:$E,5,),0)</f>
        <v>127</v>
      </c>
      <c r="H93" s="4">
        <f>IF(OR($C93=4,$C93=8),VLOOKUP($D93,Sheet3!$A:$E,5,),0)</f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2">
        <v>0</v>
      </c>
      <c r="Q93" s="2">
        <v>0</v>
      </c>
      <c r="R93" s="2">
        <v>0</v>
      </c>
      <c r="V93" s="4" t="str">
        <f>Sheet3!D91&amp;"+"&amp;Sheet3!E91</f>
        <v>防御+127</v>
      </c>
      <c r="W93" s="2">
        <v>2</v>
      </c>
      <c r="X93" s="2" t="s">
        <v>70</v>
      </c>
      <c r="Y93" s="2">
        <v>1</v>
      </c>
      <c r="Z93" s="4" t="s">
        <v>65</v>
      </c>
      <c r="AA93" s="2">
        <f t="shared" ref="AA93:AB93" si="74">AA75</f>
        <v>340</v>
      </c>
      <c r="AB93" s="2">
        <f t="shared" si="74"/>
        <v>55</v>
      </c>
    </row>
    <row r="94" spans="1:28" x14ac:dyDescent="0.15">
      <c r="A94" s="1">
        <v>140091</v>
      </c>
      <c r="B94" s="2">
        <f t="shared" si="58"/>
        <v>10</v>
      </c>
      <c r="C94" s="4">
        <f t="shared" si="59"/>
        <v>1</v>
      </c>
      <c r="D94" s="4">
        <v>91</v>
      </c>
      <c r="E94" s="4">
        <f>IF(OR($C94=3,$C94=7),VLOOKUP($D94,Sheet3!$A:$E,5,),0)</f>
        <v>0</v>
      </c>
      <c r="F94" s="4">
        <f>IF(OR($C94=1,$C94=5,$C94=9),VLOOKUP($D94,Sheet3!$A:$E,5,),0)</f>
        <v>166</v>
      </c>
      <c r="G94" s="4">
        <f>IF(OR($C94=2,$C94=6,$C94=10),VLOOKUP($D94,Sheet3!$A:$E,5,),0)</f>
        <v>0</v>
      </c>
      <c r="H94" s="4">
        <f>IF(OR($C94=4,$C94=8),VLOOKUP($D94,Sheet3!$A:$E,5,),0)</f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2">
        <v>0</v>
      </c>
      <c r="Q94" s="2">
        <v>0</v>
      </c>
      <c r="R94" s="2">
        <v>0</v>
      </c>
      <c r="V94" s="4" t="str">
        <f>Sheet3!D92&amp;"+"&amp;Sheet3!E92</f>
        <v>攻击+166</v>
      </c>
      <c r="W94" s="2">
        <v>2</v>
      </c>
      <c r="X94" s="2" t="s">
        <v>70</v>
      </c>
      <c r="Y94" s="2">
        <v>1</v>
      </c>
      <c r="Z94" s="4" t="s">
        <v>65</v>
      </c>
      <c r="AA94" s="2">
        <f t="shared" ref="AA94:AB94" si="75">AA76</f>
        <v>-310</v>
      </c>
      <c r="AB94" s="2">
        <f t="shared" si="75"/>
        <v>130</v>
      </c>
    </row>
    <row r="95" spans="1:28" x14ac:dyDescent="0.15">
      <c r="A95" s="1">
        <v>140092</v>
      </c>
      <c r="B95" s="2">
        <f t="shared" si="58"/>
        <v>10</v>
      </c>
      <c r="C95" s="4">
        <f t="shared" si="59"/>
        <v>2</v>
      </c>
      <c r="D95" s="2">
        <v>92</v>
      </c>
      <c r="E95" s="4">
        <f>IF(OR($C95=3,$C95=7),VLOOKUP($D95,Sheet3!$A:$E,5,),0)</f>
        <v>0</v>
      </c>
      <c r="F95" s="4">
        <f>IF(OR($C95=1,$C95=5,$C95=9),VLOOKUP($D95,Sheet3!$A:$E,5,),0)</f>
        <v>0</v>
      </c>
      <c r="G95" s="4">
        <f>IF(OR($C95=2,$C95=6,$C95=10),VLOOKUP($D95,Sheet3!$A:$E,5,),0)</f>
        <v>166</v>
      </c>
      <c r="H95" s="4">
        <f>IF(OR($C95=4,$C95=8),VLOOKUP($D95,Sheet3!$A:$E,5,),0)</f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2">
        <v>0</v>
      </c>
      <c r="Q95" s="2">
        <v>0</v>
      </c>
      <c r="R95" s="2">
        <v>0</v>
      </c>
      <c r="V95" s="4" t="str">
        <f>Sheet3!D93&amp;"+"&amp;Sheet3!E93</f>
        <v>防御+166</v>
      </c>
      <c r="W95" s="2">
        <v>2</v>
      </c>
      <c r="X95" s="2" t="s">
        <v>70</v>
      </c>
      <c r="Y95" s="2">
        <v>1</v>
      </c>
      <c r="Z95" s="4" t="s">
        <v>65</v>
      </c>
      <c r="AA95" s="2">
        <f t="shared" ref="AA95:AB95" si="76">AA77</f>
        <v>-137</v>
      </c>
      <c r="AB95" s="2">
        <f t="shared" si="76"/>
        <v>130</v>
      </c>
    </row>
    <row r="96" spans="1:28" x14ac:dyDescent="0.15">
      <c r="A96" s="1">
        <v>140093</v>
      </c>
      <c r="B96" s="2">
        <f t="shared" si="58"/>
        <v>10</v>
      </c>
      <c r="C96" s="4">
        <f t="shared" si="59"/>
        <v>3</v>
      </c>
      <c r="D96" s="4">
        <v>93</v>
      </c>
      <c r="E96" s="4">
        <f>IF(OR($C96=3,$C96=7),VLOOKUP($D96,Sheet3!$A:$E,5,),0)</f>
        <v>1245</v>
      </c>
      <c r="F96" s="4">
        <f>IF(OR($C96=1,$C96=5,$C96=9),VLOOKUP($D96,Sheet3!$A:$E,5,),0)</f>
        <v>0</v>
      </c>
      <c r="G96" s="4">
        <f>IF(OR($C96=2,$C96=6,$C96=10),VLOOKUP($D96,Sheet3!$A:$E,5,),0)</f>
        <v>0</v>
      </c>
      <c r="H96" s="4">
        <f>IF(OR($C96=4,$C96=8),VLOOKUP($D96,Sheet3!$A:$E,5,),0)</f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2">
        <v>0</v>
      </c>
      <c r="Q96" s="2">
        <v>0</v>
      </c>
      <c r="R96" s="2">
        <v>0</v>
      </c>
      <c r="V96" s="4" t="str">
        <f>Sheet3!D94&amp;"+"&amp;Sheet3!E94</f>
        <v>生命+1245</v>
      </c>
      <c r="W96" s="2">
        <v>2</v>
      </c>
      <c r="X96" s="2" t="s">
        <v>70</v>
      </c>
      <c r="Y96" s="2">
        <v>1</v>
      </c>
      <c r="Z96" s="4" t="s">
        <v>65</v>
      </c>
      <c r="AA96" s="2">
        <f t="shared" ref="AA96:AB96" si="77">AA78</f>
        <v>-137</v>
      </c>
      <c r="AB96" s="2">
        <f t="shared" si="77"/>
        <v>-115</v>
      </c>
    </row>
    <row r="97" spans="1:28" x14ac:dyDescent="0.15">
      <c r="A97" s="1">
        <v>140094</v>
      </c>
      <c r="B97" s="2">
        <f t="shared" si="58"/>
        <v>10</v>
      </c>
      <c r="C97" s="4">
        <f t="shared" si="59"/>
        <v>4</v>
      </c>
      <c r="D97" s="2">
        <v>94</v>
      </c>
      <c r="E97" s="4">
        <f>IF(OR($C97=3,$C97=7),VLOOKUP($D97,Sheet3!$A:$E,5,),0)</f>
        <v>0</v>
      </c>
      <c r="F97" s="4">
        <f>IF(OR($C97=1,$C97=5,$C97=9),VLOOKUP($D97,Sheet3!$A:$E,5,),0)</f>
        <v>0</v>
      </c>
      <c r="G97" s="4">
        <f>IF(OR($C97=2,$C97=6,$C97=10),VLOOKUP($D97,Sheet3!$A:$E,5,),0)</f>
        <v>0</v>
      </c>
      <c r="H97" s="4">
        <f>IF(OR($C97=4,$C97=8),VLOOKUP($D97,Sheet3!$A:$E,5,),0)</f>
        <v>249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2">
        <v>0</v>
      </c>
      <c r="Q97" s="2">
        <v>0</v>
      </c>
      <c r="R97" s="2">
        <v>0</v>
      </c>
      <c r="V97" s="4" t="str">
        <f>Sheet3!D95&amp;"+"&amp;Sheet3!E95</f>
        <v>霸气+249</v>
      </c>
      <c r="W97" s="2">
        <v>2</v>
      </c>
      <c r="X97" s="2" t="s">
        <v>70</v>
      </c>
      <c r="Y97" s="2">
        <v>1</v>
      </c>
      <c r="Z97" s="4" t="s">
        <v>65</v>
      </c>
      <c r="AA97" s="2">
        <f t="shared" ref="AA97:AB97" si="78">AA79</f>
        <v>92</v>
      </c>
      <c r="AB97" s="2">
        <f t="shared" si="78"/>
        <v>-115</v>
      </c>
    </row>
    <row r="98" spans="1:28" x14ac:dyDescent="0.15">
      <c r="A98" s="1">
        <v>140095</v>
      </c>
      <c r="B98" s="2">
        <f t="shared" si="58"/>
        <v>10</v>
      </c>
      <c r="C98" s="4">
        <f t="shared" si="59"/>
        <v>5</v>
      </c>
      <c r="D98" s="4">
        <v>95</v>
      </c>
      <c r="E98" s="4">
        <f>IF(OR($C98=3,$C98=7),VLOOKUP($D98,Sheet3!$A:$E,5,),0)</f>
        <v>0</v>
      </c>
      <c r="F98" s="4">
        <f>IF(OR($C98=1,$C98=5,$C98=9),VLOOKUP($D98,Sheet3!$A:$E,5,),0)</f>
        <v>166</v>
      </c>
      <c r="G98" s="4">
        <f>IF(OR($C98=2,$C98=6,$C98=10),VLOOKUP($D98,Sheet3!$A:$E,5,),0)</f>
        <v>0</v>
      </c>
      <c r="H98" s="4">
        <f>IF(OR($C98=4,$C98=8),VLOOKUP($D98,Sheet3!$A:$E,5,),0)</f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2">
        <v>0</v>
      </c>
      <c r="Q98" s="2">
        <v>0</v>
      </c>
      <c r="R98" s="2">
        <v>0</v>
      </c>
      <c r="V98" s="4" t="str">
        <f>Sheet3!D96&amp;"+"&amp;Sheet3!E96</f>
        <v>攻击+166</v>
      </c>
      <c r="W98" s="2">
        <v>2</v>
      </c>
      <c r="X98" s="2" t="s">
        <v>70</v>
      </c>
      <c r="Y98" s="2">
        <v>1</v>
      </c>
      <c r="Z98" s="4" t="s">
        <v>65</v>
      </c>
      <c r="AA98" s="2">
        <f t="shared" ref="AA98:AB98" si="79">AA80</f>
        <v>92</v>
      </c>
      <c r="AB98" s="2">
        <f t="shared" si="79"/>
        <v>55</v>
      </c>
    </row>
    <row r="99" spans="1:28" x14ac:dyDescent="0.15">
      <c r="A99" s="1">
        <v>140096</v>
      </c>
      <c r="B99" s="2">
        <f t="shared" si="58"/>
        <v>10</v>
      </c>
      <c r="C99" s="4">
        <f t="shared" si="59"/>
        <v>6</v>
      </c>
      <c r="D99" s="2">
        <v>96</v>
      </c>
      <c r="E99" s="4">
        <f>IF(OR($C99=3,$C99=7),VLOOKUP($D99,Sheet3!$A:$E,5,),0)</f>
        <v>0</v>
      </c>
      <c r="F99" s="4">
        <f>IF(OR($C99=1,$C99=5,$C99=9),VLOOKUP($D99,Sheet3!$A:$E,5,),0)</f>
        <v>0</v>
      </c>
      <c r="G99" s="4">
        <f>IF(OR($C99=2,$C99=6,$C99=10),VLOOKUP($D99,Sheet3!$A:$E,5,),0)</f>
        <v>166</v>
      </c>
      <c r="H99" s="4">
        <f>IF(OR($C99=4,$C99=8),VLOOKUP($D99,Sheet3!$A:$E,5,),0)</f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2">
        <v>0</v>
      </c>
      <c r="Q99" s="2">
        <v>0</v>
      </c>
      <c r="R99" s="2">
        <v>0</v>
      </c>
      <c r="V99" s="4" t="str">
        <f>Sheet3!D97&amp;"+"&amp;Sheet3!E97</f>
        <v>防御+166</v>
      </c>
      <c r="W99" s="2">
        <v>2</v>
      </c>
      <c r="X99" s="2" t="s">
        <v>70</v>
      </c>
      <c r="Y99" s="2">
        <v>1</v>
      </c>
      <c r="Z99" s="4" t="s">
        <v>65</v>
      </c>
      <c r="AA99" s="2">
        <f t="shared" ref="AA99:AB99" si="80">AA81</f>
        <v>340</v>
      </c>
      <c r="AB99" s="2">
        <f t="shared" si="80"/>
        <v>55</v>
      </c>
    </row>
    <row r="100" spans="1:28" x14ac:dyDescent="0.15">
      <c r="A100" s="1">
        <v>140097</v>
      </c>
      <c r="B100" s="2">
        <f t="shared" si="58"/>
        <v>10</v>
      </c>
      <c r="C100" s="4">
        <f t="shared" si="59"/>
        <v>7</v>
      </c>
      <c r="D100" s="4">
        <v>97</v>
      </c>
      <c r="E100" s="4">
        <f>IF(OR($C100=3,$C100=7),VLOOKUP($D100,Sheet3!$A:$E,5,),0)</f>
        <v>1245</v>
      </c>
      <c r="F100" s="4">
        <f>IF(OR($C100=1,$C100=5,$C100=9),VLOOKUP($D100,Sheet3!$A:$E,5,),0)</f>
        <v>0</v>
      </c>
      <c r="G100" s="4">
        <f>IF(OR($C100=2,$C100=6,$C100=10),VLOOKUP($D100,Sheet3!$A:$E,5,),0)</f>
        <v>0</v>
      </c>
      <c r="H100" s="4">
        <f>IF(OR($C100=4,$C100=8),VLOOKUP($D100,Sheet3!$A:$E,5,),0)</f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2">
        <v>0</v>
      </c>
      <c r="Q100" s="2">
        <v>0</v>
      </c>
      <c r="R100" s="2">
        <v>0</v>
      </c>
      <c r="V100" s="4" t="str">
        <f>Sheet3!D98&amp;"+"&amp;Sheet3!E98</f>
        <v>生命+1245</v>
      </c>
      <c r="W100" s="2">
        <v>2</v>
      </c>
      <c r="X100" s="2" t="s">
        <v>70</v>
      </c>
      <c r="Y100" s="2">
        <v>1</v>
      </c>
      <c r="Z100" s="4" t="s">
        <v>65</v>
      </c>
      <c r="AA100" s="2">
        <f t="shared" ref="AA100:AB100" si="81">AA82</f>
        <v>-310</v>
      </c>
      <c r="AB100" s="2">
        <f t="shared" si="81"/>
        <v>130</v>
      </c>
    </row>
    <row r="101" spans="1:28" x14ac:dyDescent="0.15">
      <c r="A101" s="1">
        <v>140098</v>
      </c>
      <c r="B101" s="2">
        <f t="shared" si="58"/>
        <v>10</v>
      </c>
      <c r="C101" s="4">
        <f t="shared" si="59"/>
        <v>8</v>
      </c>
      <c r="D101" s="2">
        <v>98</v>
      </c>
      <c r="E101" s="4">
        <f>IF(OR($C101=3,$C101=7),VLOOKUP($D101,Sheet3!$A:$E,5,),0)</f>
        <v>0</v>
      </c>
      <c r="F101" s="4">
        <f>IF(OR($C101=1,$C101=5,$C101=9),VLOOKUP($D101,Sheet3!$A:$E,5,),0)</f>
        <v>0</v>
      </c>
      <c r="G101" s="4">
        <f>IF(OR($C101=2,$C101=6,$C101=10),VLOOKUP($D101,Sheet3!$A:$E,5,),0)</f>
        <v>0</v>
      </c>
      <c r="H101" s="4">
        <f>IF(OR($C101=4,$C101=8),VLOOKUP($D101,Sheet3!$A:$E,5,),0)</f>
        <v>249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2">
        <v>0</v>
      </c>
      <c r="Q101" s="2">
        <v>0</v>
      </c>
      <c r="R101" s="2">
        <v>0</v>
      </c>
      <c r="V101" s="4" t="str">
        <f>Sheet3!D99&amp;"+"&amp;Sheet3!E99</f>
        <v>霸气+249</v>
      </c>
      <c r="W101" s="2">
        <v>2</v>
      </c>
      <c r="X101" s="2" t="s">
        <v>70</v>
      </c>
      <c r="Y101" s="2">
        <v>1</v>
      </c>
      <c r="Z101" s="4" t="s">
        <v>65</v>
      </c>
      <c r="AA101" s="2">
        <f t="shared" ref="AA101:AB101" si="82">AA83</f>
        <v>-137</v>
      </c>
      <c r="AB101" s="2">
        <f t="shared" si="82"/>
        <v>130</v>
      </c>
    </row>
    <row r="102" spans="1:28" x14ac:dyDescent="0.15">
      <c r="A102" s="1">
        <v>140099</v>
      </c>
      <c r="B102" s="2">
        <f t="shared" si="58"/>
        <v>10</v>
      </c>
      <c r="C102" s="4">
        <f t="shared" si="59"/>
        <v>9</v>
      </c>
      <c r="D102" s="4">
        <v>99</v>
      </c>
      <c r="E102" s="4">
        <f>IF(OR($C102=3,$C102=7),VLOOKUP($D102,Sheet3!$A:$E,5,),0)</f>
        <v>0</v>
      </c>
      <c r="F102" s="4">
        <f>IF(OR($C102=1,$C102=5,$C102=9),VLOOKUP($D102,Sheet3!$A:$E,5,),0)</f>
        <v>166</v>
      </c>
      <c r="G102" s="4">
        <f>IF(OR($C102=2,$C102=6,$C102=10),VLOOKUP($D102,Sheet3!$A:$E,5,),0)</f>
        <v>0</v>
      </c>
      <c r="H102" s="4">
        <f>IF(OR($C102=4,$C102=8),VLOOKUP($D102,Sheet3!$A:$E,5,),0)</f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2">
        <v>0</v>
      </c>
      <c r="Q102" s="2">
        <v>0</v>
      </c>
      <c r="R102" s="2">
        <v>0</v>
      </c>
      <c r="V102" s="4" t="str">
        <f>Sheet3!D100&amp;"+"&amp;Sheet3!E100</f>
        <v>攻击+166</v>
      </c>
      <c r="W102" s="2">
        <v>2</v>
      </c>
      <c r="X102" s="2" t="s">
        <v>70</v>
      </c>
      <c r="Y102" s="2">
        <v>1</v>
      </c>
      <c r="Z102" s="4" t="s">
        <v>65</v>
      </c>
      <c r="AA102" s="2">
        <f t="shared" ref="AA102:AB102" si="83">AA84</f>
        <v>-137</v>
      </c>
      <c r="AB102" s="2">
        <f t="shared" si="83"/>
        <v>-115</v>
      </c>
    </row>
    <row r="103" spans="1:28" x14ac:dyDescent="0.15">
      <c r="A103" s="1">
        <v>140100</v>
      </c>
      <c r="B103" s="2">
        <f t="shared" si="58"/>
        <v>10</v>
      </c>
      <c r="C103" s="4">
        <f t="shared" si="59"/>
        <v>10</v>
      </c>
      <c r="D103" s="2">
        <v>100</v>
      </c>
      <c r="E103" s="4">
        <f>IF(OR($C103=3,$C103=7),VLOOKUP($D103,Sheet3!$A:$E,5,),0)</f>
        <v>0</v>
      </c>
      <c r="F103" s="4">
        <f>IF(OR($C103=1,$C103=5,$C103=9),VLOOKUP($D103,Sheet3!$A:$E,5,),0)</f>
        <v>0</v>
      </c>
      <c r="G103" s="4">
        <f>IF(OR($C103=2,$C103=6,$C103=10),VLOOKUP($D103,Sheet3!$A:$E,5,),0)</f>
        <v>166</v>
      </c>
      <c r="H103" s="4">
        <f>IF(OR($C103=4,$C103=8),VLOOKUP($D103,Sheet3!$A:$E,5,),0)</f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2">
        <v>0</v>
      </c>
      <c r="Q103" s="2">
        <v>0</v>
      </c>
      <c r="R103" s="2">
        <v>0</v>
      </c>
      <c r="V103" s="4" t="str">
        <f>Sheet3!D101&amp;"+"&amp;Sheet3!E101</f>
        <v>防御+166</v>
      </c>
      <c r="W103" s="2">
        <v>2</v>
      </c>
      <c r="X103" s="2" t="s">
        <v>70</v>
      </c>
      <c r="Y103" s="2">
        <v>1</v>
      </c>
      <c r="Z103" s="4" t="s">
        <v>65</v>
      </c>
      <c r="AA103" s="2">
        <f t="shared" ref="AA103:AB103" si="84">AA85</f>
        <v>92</v>
      </c>
      <c r="AB103" s="2">
        <f t="shared" si="84"/>
        <v>-115</v>
      </c>
    </row>
    <row r="104" spans="1:28" x14ac:dyDescent="0.15">
      <c r="A104" s="1">
        <v>140101</v>
      </c>
      <c r="B104" s="2">
        <f t="shared" si="58"/>
        <v>11</v>
      </c>
      <c r="C104" s="4">
        <f t="shared" si="59"/>
        <v>1</v>
      </c>
      <c r="D104" s="4">
        <v>101</v>
      </c>
      <c r="E104" s="4">
        <f>IF(OR($C104=3,$C104=7),VLOOKUP($D104,Sheet3!$A:$E,5,),0)</f>
        <v>0</v>
      </c>
      <c r="F104" s="4">
        <f>IF(OR($C104=1,$C104=5,$C104=9),VLOOKUP($D104,Sheet3!$A:$E,5,),0)</f>
        <v>215</v>
      </c>
      <c r="G104" s="4">
        <f>IF(OR($C104=2,$C104=6,$C104=10),VLOOKUP($D104,Sheet3!$A:$E,5,),0)</f>
        <v>0</v>
      </c>
      <c r="H104" s="4">
        <f>IF(OR($C104=4,$C104=8),VLOOKUP($D104,Sheet3!$A:$E,5,),0)</f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2">
        <v>0</v>
      </c>
      <c r="Q104" s="2">
        <v>0</v>
      </c>
      <c r="R104" s="2">
        <v>0</v>
      </c>
      <c r="V104" s="4" t="str">
        <f>Sheet3!D102&amp;"+"&amp;Sheet3!E102</f>
        <v>攻击+215</v>
      </c>
      <c r="W104" s="2">
        <v>2</v>
      </c>
      <c r="X104" s="2" t="s">
        <v>70</v>
      </c>
      <c r="Y104" s="2">
        <v>1</v>
      </c>
      <c r="Z104" s="4" t="s">
        <v>65</v>
      </c>
      <c r="AA104" s="2">
        <f t="shared" ref="AA104:AB104" si="85">AA86</f>
        <v>92</v>
      </c>
      <c r="AB104" s="2">
        <f t="shared" si="85"/>
        <v>55</v>
      </c>
    </row>
    <row r="105" spans="1:28" x14ac:dyDescent="0.15">
      <c r="A105" s="1">
        <v>140102</v>
      </c>
      <c r="B105" s="2">
        <f t="shared" si="58"/>
        <v>11</v>
      </c>
      <c r="C105" s="4">
        <f t="shared" si="59"/>
        <v>2</v>
      </c>
      <c r="D105" s="2">
        <v>102</v>
      </c>
      <c r="E105" s="4">
        <f>IF(OR($C105=3,$C105=7),VLOOKUP($D105,Sheet3!$A:$E,5,),0)</f>
        <v>0</v>
      </c>
      <c r="F105" s="4">
        <f>IF(OR($C105=1,$C105=5,$C105=9),VLOOKUP($D105,Sheet3!$A:$E,5,),0)</f>
        <v>0</v>
      </c>
      <c r="G105" s="4">
        <f>IF(OR($C105=2,$C105=6,$C105=10),VLOOKUP($D105,Sheet3!$A:$E,5,),0)</f>
        <v>215</v>
      </c>
      <c r="H105" s="4">
        <f>IF(OR($C105=4,$C105=8),VLOOKUP($D105,Sheet3!$A:$E,5,),0)</f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2">
        <v>0</v>
      </c>
      <c r="Q105" s="2">
        <v>0</v>
      </c>
      <c r="R105" s="2">
        <v>0</v>
      </c>
      <c r="V105" s="4" t="str">
        <f>Sheet3!D103&amp;"+"&amp;Sheet3!E103</f>
        <v>防御+215</v>
      </c>
      <c r="W105" s="2">
        <v>2</v>
      </c>
      <c r="X105" s="2" t="s">
        <v>70</v>
      </c>
      <c r="Y105" s="2">
        <v>1</v>
      </c>
      <c r="Z105" s="4" t="s">
        <v>65</v>
      </c>
      <c r="AA105" s="2">
        <f t="shared" ref="AA105:AB105" si="86">AA87</f>
        <v>340</v>
      </c>
      <c r="AB105" s="2">
        <f t="shared" si="86"/>
        <v>55</v>
      </c>
    </row>
    <row r="106" spans="1:28" x14ac:dyDescent="0.15">
      <c r="A106" s="1">
        <v>140103</v>
      </c>
      <c r="B106" s="2">
        <f t="shared" si="58"/>
        <v>11</v>
      </c>
      <c r="C106" s="4">
        <f t="shared" si="59"/>
        <v>3</v>
      </c>
      <c r="D106" s="4">
        <v>103</v>
      </c>
      <c r="E106" s="4">
        <f>IF(OR($C106=3,$C106=7),VLOOKUP($D106,Sheet3!$A:$E,5,),0)</f>
        <v>1612</v>
      </c>
      <c r="F106" s="4">
        <f>IF(OR($C106=1,$C106=5,$C106=9),VLOOKUP($D106,Sheet3!$A:$E,5,),0)</f>
        <v>0</v>
      </c>
      <c r="G106" s="4">
        <f>IF(OR($C106=2,$C106=6,$C106=10),VLOOKUP($D106,Sheet3!$A:$E,5,),0)</f>
        <v>0</v>
      </c>
      <c r="H106" s="4">
        <f>IF(OR($C106=4,$C106=8),VLOOKUP($D106,Sheet3!$A:$E,5,),0)</f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2">
        <v>0</v>
      </c>
      <c r="Q106" s="2">
        <v>0</v>
      </c>
      <c r="R106" s="2">
        <v>0</v>
      </c>
      <c r="V106" s="4" t="str">
        <f>Sheet3!D104&amp;"+"&amp;Sheet3!E104</f>
        <v>生命+1612</v>
      </c>
      <c r="W106" s="2">
        <v>2</v>
      </c>
      <c r="X106" s="2" t="s">
        <v>70</v>
      </c>
      <c r="Y106" s="2">
        <v>1</v>
      </c>
      <c r="Z106" s="4" t="s">
        <v>65</v>
      </c>
      <c r="AA106" s="2">
        <f t="shared" ref="AA106:AB106" si="87">AA88</f>
        <v>-310</v>
      </c>
      <c r="AB106" s="2">
        <f t="shared" si="87"/>
        <v>130</v>
      </c>
    </row>
    <row r="107" spans="1:28" x14ac:dyDescent="0.15">
      <c r="A107" s="1">
        <v>140104</v>
      </c>
      <c r="B107" s="2">
        <f t="shared" si="58"/>
        <v>11</v>
      </c>
      <c r="C107" s="4">
        <f t="shared" si="59"/>
        <v>4</v>
      </c>
      <c r="D107" s="2">
        <v>104</v>
      </c>
      <c r="E107" s="4">
        <f>IF(OR($C107=3,$C107=7),VLOOKUP($D107,Sheet3!$A:$E,5,),0)</f>
        <v>0</v>
      </c>
      <c r="F107" s="4">
        <f>IF(OR($C107=1,$C107=5,$C107=9),VLOOKUP($D107,Sheet3!$A:$E,5,),0)</f>
        <v>0</v>
      </c>
      <c r="G107" s="4">
        <f>IF(OR($C107=2,$C107=6,$C107=10),VLOOKUP($D107,Sheet3!$A:$E,5,),0)</f>
        <v>0</v>
      </c>
      <c r="H107" s="4">
        <f>IF(OR($C107=4,$C107=8),VLOOKUP($D107,Sheet3!$A:$E,5,),0)</f>
        <v>322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2">
        <v>0</v>
      </c>
      <c r="Q107" s="2">
        <v>0</v>
      </c>
      <c r="R107" s="2">
        <v>0</v>
      </c>
      <c r="V107" s="4" t="str">
        <f>Sheet3!D105&amp;"+"&amp;Sheet3!E105</f>
        <v>霸气+322</v>
      </c>
      <c r="W107" s="2">
        <v>2</v>
      </c>
      <c r="X107" s="2" t="s">
        <v>70</v>
      </c>
      <c r="Y107" s="2">
        <v>1</v>
      </c>
      <c r="Z107" s="4" t="s">
        <v>65</v>
      </c>
      <c r="AA107" s="2">
        <f t="shared" ref="AA107:AB107" si="88">AA89</f>
        <v>-137</v>
      </c>
      <c r="AB107" s="2">
        <f t="shared" si="88"/>
        <v>130</v>
      </c>
    </row>
    <row r="108" spans="1:28" x14ac:dyDescent="0.15">
      <c r="A108" s="1">
        <v>140105</v>
      </c>
      <c r="B108" s="2">
        <f t="shared" si="58"/>
        <v>11</v>
      </c>
      <c r="C108" s="4">
        <f t="shared" si="59"/>
        <v>5</v>
      </c>
      <c r="D108" s="4">
        <v>105</v>
      </c>
      <c r="E108" s="4">
        <f>IF(OR($C108=3,$C108=7),VLOOKUP($D108,Sheet3!$A:$E,5,),0)</f>
        <v>0</v>
      </c>
      <c r="F108" s="4">
        <f>IF(OR($C108=1,$C108=5,$C108=9),VLOOKUP($D108,Sheet3!$A:$E,5,),0)</f>
        <v>215</v>
      </c>
      <c r="G108" s="4">
        <f>IF(OR($C108=2,$C108=6,$C108=10),VLOOKUP($D108,Sheet3!$A:$E,5,),0)</f>
        <v>0</v>
      </c>
      <c r="H108" s="4">
        <f>IF(OR($C108=4,$C108=8),VLOOKUP($D108,Sheet3!$A:$E,5,),0)</f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2">
        <v>0</v>
      </c>
      <c r="Q108" s="2">
        <v>0</v>
      </c>
      <c r="R108" s="2">
        <v>0</v>
      </c>
      <c r="V108" s="4" t="str">
        <f>Sheet3!D106&amp;"+"&amp;Sheet3!E106</f>
        <v>攻击+215</v>
      </c>
      <c r="W108" s="2">
        <v>2</v>
      </c>
      <c r="X108" s="2" t="s">
        <v>70</v>
      </c>
      <c r="Y108" s="2">
        <v>1</v>
      </c>
      <c r="Z108" s="4" t="s">
        <v>65</v>
      </c>
      <c r="AA108" s="2">
        <f t="shared" ref="AA108:AB108" si="89">AA90</f>
        <v>-137</v>
      </c>
      <c r="AB108" s="2">
        <f t="shared" si="89"/>
        <v>-115</v>
      </c>
    </row>
    <row r="109" spans="1:28" x14ac:dyDescent="0.15">
      <c r="A109" s="1">
        <v>140106</v>
      </c>
      <c r="B109" s="2">
        <f t="shared" si="58"/>
        <v>11</v>
      </c>
      <c r="C109" s="4">
        <f t="shared" si="59"/>
        <v>6</v>
      </c>
      <c r="D109" s="2">
        <v>106</v>
      </c>
      <c r="E109" s="4">
        <f>IF(OR($C109=3,$C109=7),VLOOKUP($D109,Sheet3!$A:$E,5,),0)</f>
        <v>0</v>
      </c>
      <c r="F109" s="4">
        <f>IF(OR($C109=1,$C109=5,$C109=9),VLOOKUP($D109,Sheet3!$A:$E,5,),0)</f>
        <v>0</v>
      </c>
      <c r="G109" s="4">
        <f>IF(OR($C109=2,$C109=6,$C109=10),VLOOKUP($D109,Sheet3!$A:$E,5,),0)</f>
        <v>215</v>
      </c>
      <c r="H109" s="4">
        <f>IF(OR($C109=4,$C109=8),VLOOKUP($D109,Sheet3!$A:$E,5,),0)</f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2">
        <v>0</v>
      </c>
      <c r="Q109" s="2">
        <v>0</v>
      </c>
      <c r="R109" s="2">
        <v>0</v>
      </c>
      <c r="V109" s="4" t="str">
        <f>Sheet3!D107&amp;"+"&amp;Sheet3!E107</f>
        <v>防御+215</v>
      </c>
      <c r="W109" s="2">
        <v>2</v>
      </c>
      <c r="X109" s="2" t="s">
        <v>70</v>
      </c>
      <c r="Y109" s="2">
        <v>1</v>
      </c>
      <c r="Z109" s="4" t="s">
        <v>65</v>
      </c>
      <c r="AA109" s="2">
        <f t="shared" ref="AA109:AB109" si="90">AA91</f>
        <v>92</v>
      </c>
      <c r="AB109" s="2">
        <f t="shared" si="90"/>
        <v>-115</v>
      </c>
    </row>
    <row r="110" spans="1:28" x14ac:dyDescent="0.15">
      <c r="A110" s="1">
        <v>140107</v>
      </c>
      <c r="B110" s="2">
        <f t="shared" si="58"/>
        <v>11</v>
      </c>
      <c r="C110" s="4">
        <f t="shared" si="59"/>
        <v>7</v>
      </c>
      <c r="D110" s="4">
        <v>107</v>
      </c>
      <c r="E110" s="4">
        <f>IF(OR($C110=3,$C110=7),VLOOKUP($D110,Sheet3!$A:$E,5,),0)</f>
        <v>1612</v>
      </c>
      <c r="F110" s="4">
        <f>IF(OR($C110=1,$C110=5,$C110=9),VLOOKUP($D110,Sheet3!$A:$E,5,),0)</f>
        <v>0</v>
      </c>
      <c r="G110" s="4">
        <f>IF(OR($C110=2,$C110=6,$C110=10),VLOOKUP($D110,Sheet3!$A:$E,5,),0)</f>
        <v>0</v>
      </c>
      <c r="H110" s="4">
        <f>IF(OR($C110=4,$C110=8),VLOOKUP($D110,Sheet3!$A:$E,5,),0)</f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2">
        <v>0</v>
      </c>
      <c r="Q110" s="2">
        <v>0</v>
      </c>
      <c r="R110" s="2">
        <v>0</v>
      </c>
      <c r="V110" s="4" t="str">
        <f>Sheet3!D108&amp;"+"&amp;Sheet3!E108</f>
        <v>生命+1612</v>
      </c>
      <c r="W110" s="2">
        <v>2</v>
      </c>
      <c r="X110" s="2" t="s">
        <v>70</v>
      </c>
      <c r="Y110" s="2">
        <v>1</v>
      </c>
      <c r="Z110" s="4" t="s">
        <v>65</v>
      </c>
      <c r="AA110" s="2">
        <f t="shared" ref="AA110:AB110" si="91">AA92</f>
        <v>92</v>
      </c>
      <c r="AB110" s="2">
        <f t="shared" si="91"/>
        <v>55</v>
      </c>
    </row>
    <row r="111" spans="1:28" x14ac:dyDescent="0.15">
      <c r="A111" s="1">
        <v>140108</v>
      </c>
      <c r="B111" s="2">
        <f t="shared" si="58"/>
        <v>11</v>
      </c>
      <c r="C111" s="4">
        <f t="shared" si="59"/>
        <v>8</v>
      </c>
      <c r="D111" s="2">
        <v>108</v>
      </c>
      <c r="E111" s="4">
        <f>IF(OR($C111=3,$C111=7),VLOOKUP($D111,Sheet3!$A:$E,5,),0)</f>
        <v>0</v>
      </c>
      <c r="F111" s="4">
        <f>IF(OR($C111=1,$C111=5,$C111=9),VLOOKUP($D111,Sheet3!$A:$E,5,),0)</f>
        <v>0</v>
      </c>
      <c r="G111" s="4">
        <f>IF(OR($C111=2,$C111=6,$C111=10),VLOOKUP($D111,Sheet3!$A:$E,5,),0)</f>
        <v>0</v>
      </c>
      <c r="H111" s="4">
        <f>IF(OR($C111=4,$C111=8),VLOOKUP($D111,Sheet3!$A:$E,5,),0)</f>
        <v>322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2">
        <v>0</v>
      </c>
      <c r="Q111" s="2">
        <v>0</v>
      </c>
      <c r="R111" s="2">
        <v>0</v>
      </c>
      <c r="V111" s="4" t="str">
        <f>Sheet3!D109&amp;"+"&amp;Sheet3!E109</f>
        <v>霸气+322</v>
      </c>
      <c r="W111" s="2">
        <v>2</v>
      </c>
      <c r="X111" s="2" t="s">
        <v>70</v>
      </c>
      <c r="Y111" s="2">
        <v>1</v>
      </c>
      <c r="Z111" s="4" t="s">
        <v>65</v>
      </c>
      <c r="AA111" s="2">
        <f t="shared" ref="AA111:AB111" si="92">AA93</f>
        <v>340</v>
      </c>
      <c r="AB111" s="2">
        <f t="shared" si="92"/>
        <v>55</v>
      </c>
    </row>
    <row r="112" spans="1:28" x14ac:dyDescent="0.15">
      <c r="A112" s="1">
        <v>140109</v>
      </c>
      <c r="B112" s="2">
        <f t="shared" si="58"/>
        <v>11</v>
      </c>
      <c r="C112" s="4">
        <f t="shared" si="59"/>
        <v>9</v>
      </c>
      <c r="D112" s="4">
        <v>109</v>
      </c>
      <c r="E112" s="4">
        <f>IF(OR($C112=3,$C112=7),VLOOKUP($D112,Sheet3!$A:$E,5,),0)</f>
        <v>0</v>
      </c>
      <c r="F112" s="4">
        <f>IF(OR($C112=1,$C112=5,$C112=9),VLOOKUP($D112,Sheet3!$A:$E,5,),0)</f>
        <v>215</v>
      </c>
      <c r="G112" s="4">
        <f>IF(OR($C112=2,$C112=6,$C112=10),VLOOKUP($D112,Sheet3!$A:$E,5,),0)</f>
        <v>0</v>
      </c>
      <c r="H112" s="4">
        <f>IF(OR($C112=4,$C112=8),VLOOKUP($D112,Sheet3!$A:$E,5,),0)</f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2">
        <v>0</v>
      </c>
      <c r="Q112" s="2">
        <v>0</v>
      </c>
      <c r="R112" s="2">
        <v>0</v>
      </c>
      <c r="V112" s="4" t="str">
        <f>Sheet3!D110&amp;"+"&amp;Sheet3!E110</f>
        <v>攻击+215</v>
      </c>
      <c r="W112" s="2">
        <v>2</v>
      </c>
      <c r="X112" s="2" t="s">
        <v>70</v>
      </c>
      <c r="Y112" s="2">
        <v>1</v>
      </c>
      <c r="Z112" s="4" t="s">
        <v>65</v>
      </c>
      <c r="AA112" s="2">
        <f t="shared" ref="AA112:AB112" si="93">AA94</f>
        <v>-310</v>
      </c>
      <c r="AB112" s="2">
        <f t="shared" si="93"/>
        <v>130</v>
      </c>
    </row>
    <row r="113" spans="1:28" x14ac:dyDescent="0.15">
      <c r="A113" s="1">
        <v>140110</v>
      </c>
      <c r="B113" s="2">
        <f t="shared" si="58"/>
        <v>11</v>
      </c>
      <c r="C113" s="4">
        <f t="shared" si="59"/>
        <v>10</v>
      </c>
      <c r="D113" s="2">
        <v>110</v>
      </c>
      <c r="E113" s="4">
        <f>IF(OR($C113=3,$C113=7),VLOOKUP($D113,Sheet3!$A:$E,5,),0)</f>
        <v>0</v>
      </c>
      <c r="F113" s="4">
        <f>IF(OR($C113=1,$C113=5,$C113=9),VLOOKUP($D113,Sheet3!$A:$E,5,),0)</f>
        <v>0</v>
      </c>
      <c r="G113" s="4">
        <f>IF(OR($C113=2,$C113=6,$C113=10),VLOOKUP($D113,Sheet3!$A:$E,5,),0)</f>
        <v>215</v>
      </c>
      <c r="H113" s="4">
        <f>IF(OR($C113=4,$C113=8),VLOOKUP($D113,Sheet3!$A:$E,5,),0)</f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2">
        <v>0</v>
      </c>
      <c r="Q113" s="2">
        <v>0</v>
      </c>
      <c r="R113" s="2">
        <v>0</v>
      </c>
      <c r="V113" s="4" t="str">
        <f>Sheet3!D111&amp;"+"&amp;Sheet3!E111</f>
        <v>防御+215</v>
      </c>
      <c r="W113" s="2">
        <v>2</v>
      </c>
      <c r="X113" s="2" t="s">
        <v>70</v>
      </c>
      <c r="Y113" s="2">
        <v>1</v>
      </c>
      <c r="Z113" s="4" t="s">
        <v>65</v>
      </c>
      <c r="AA113" s="2">
        <f t="shared" ref="AA113:AB113" si="94">AA95</f>
        <v>-137</v>
      </c>
      <c r="AB113" s="2">
        <f t="shared" si="94"/>
        <v>130</v>
      </c>
    </row>
    <row r="114" spans="1:28" x14ac:dyDescent="0.15">
      <c r="A114" s="1">
        <v>140111</v>
      </c>
      <c r="B114" s="2">
        <f t="shared" si="58"/>
        <v>12</v>
      </c>
      <c r="C114" s="4">
        <f t="shared" si="59"/>
        <v>1</v>
      </c>
      <c r="D114" s="4">
        <v>111</v>
      </c>
      <c r="E114" s="4">
        <f>IF(OR($C114=3,$C114=7),VLOOKUP($D114,Sheet3!$A:$E,5,),0)</f>
        <v>0</v>
      </c>
      <c r="F114" s="4">
        <f>IF(OR($C114=1,$C114=5,$C114=9),VLOOKUP($D114,Sheet3!$A:$E,5,),0)</f>
        <v>283</v>
      </c>
      <c r="G114" s="4">
        <f>IF(OR($C114=2,$C114=6,$C114=10),VLOOKUP($D114,Sheet3!$A:$E,5,),0)</f>
        <v>0</v>
      </c>
      <c r="H114" s="4">
        <f>IF(OR($C114=4,$C114=8),VLOOKUP($D114,Sheet3!$A:$E,5,),0)</f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2">
        <v>0</v>
      </c>
      <c r="Q114" s="2">
        <v>0</v>
      </c>
      <c r="R114" s="2">
        <v>0</v>
      </c>
      <c r="V114" s="4" t="str">
        <f>Sheet3!D112&amp;"+"&amp;Sheet3!E112</f>
        <v>攻击+283</v>
      </c>
      <c r="W114" s="2">
        <v>2</v>
      </c>
      <c r="X114" s="2" t="s">
        <v>70</v>
      </c>
      <c r="Y114" s="2">
        <v>1</v>
      </c>
      <c r="Z114" s="4" t="s">
        <v>65</v>
      </c>
      <c r="AA114" s="2">
        <f t="shared" ref="AA114:AB114" si="95">AA96</f>
        <v>-137</v>
      </c>
      <c r="AB114" s="2">
        <f t="shared" si="95"/>
        <v>-115</v>
      </c>
    </row>
    <row r="115" spans="1:28" x14ac:dyDescent="0.15">
      <c r="A115" s="1">
        <v>140112</v>
      </c>
      <c r="B115" s="2">
        <f t="shared" si="58"/>
        <v>12</v>
      </c>
      <c r="C115" s="4">
        <f t="shared" si="59"/>
        <v>2</v>
      </c>
      <c r="D115" s="2">
        <v>112</v>
      </c>
      <c r="E115" s="4">
        <f>IF(OR($C115=3,$C115=7),VLOOKUP($D115,Sheet3!$A:$E,5,),0)</f>
        <v>0</v>
      </c>
      <c r="F115" s="4">
        <f>IF(OR($C115=1,$C115=5,$C115=9),VLOOKUP($D115,Sheet3!$A:$E,5,),0)</f>
        <v>0</v>
      </c>
      <c r="G115" s="4">
        <f>IF(OR($C115=2,$C115=6,$C115=10),VLOOKUP($D115,Sheet3!$A:$E,5,),0)</f>
        <v>283</v>
      </c>
      <c r="H115" s="4">
        <f>IF(OR($C115=4,$C115=8),VLOOKUP($D115,Sheet3!$A:$E,5,),0)</f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2">
        <v>0</v>
      </c>
      <c r="Q115" s="2">
        <v>0</v>
      </c>
      <c r="R115" s="2">
        <v>0</v>
      </c>
      <c r="V115" s="4" t="str">
        <f>Sheet3!D113&amp;"+"&amp;Sheet3!E113</f>
        <v>防御+283</v>
      </c>
      <c r="W115" s="2">
        <v>2</v>
      </c>
      <c r="X115" s="2" t="s">
        <v>70</v>
      </c>
      <c r="Y115" s="2">
        <v>1</v>
      </c>
      <c r="Z115" s="4" t="s">
        <v>65</v>
      </c>
      <c r="AA115" s="2">
        <f t="shared" ref="AA115:AB115" si="96">AA97</f>
        <v>92</v>
      </c>
      <c r="AB115" s="2">
        <f t="shared" si="96"/>
        <v>-115</v>
      </c>
    </row>
    <row r="116" spans="1:28" x14ac:dyDescent="0.15">
      <c r="A116" s="1">
        <v>140113</v>
      </c>
      <c r="B116" s="2">
        <f t="shared" si="58"/>
        <v>12</v>
      </c>
      <c r="C116" s="4">
        <f t="shared" si="59"/>
        <v>3</v>
      </c>
      <c r="D116" s="4">
        <v>113</v>
      </c>
      <c r="E116" s="4">
        <f>IF(OR($C116=3,$C116=7),VLOOKUP($D116,Sheet3!$A:$E,5,),0)</f>
        <v>2122</v>
      </c>
      <c r="F116" s="4">
        <f>IF(OR($C116=1,$C116=5,$C116=9),VLOOKUP($D116,Sheet3!$A:$E,5,),0)</f>
        <v>0</v>
      </c>
      <c r="G116" s="4">
        <f>IF(OR($C116=2,$C116=6,$C116=10),VLOOKUP($D116,Sheet3!$A:$E,5,),0)</f>
        <v>0</v>
      </c>
      <c r="H116" s="4">
        <f>IF(OR($C116=4,$C116=8),VLOOKUP($D116,Sheet3!$A:$E,5,),0)</f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2">
        <v>0</v>
      </c>
      <c r="Q116" s="2">
        <v>0</v>
      </c>
      <c r="R116" s="2">
        <v>0</v>
      </c>
      <c r="V116" s="4" t="str">
        <f>Sheet3!D114&amp;"+"&amp;Sheet3!E114</f>
        <v>生命+2122</v>
      </c>
      <c r="W116" s="2">
        <v>2</v>
      </c>
      <c r="X116" s="2" t="s">
        <v>70</v>
      </c>
      <c r="Y116" s="2">
        <v>1</v>
      </c>
      <c r="Z116" s="4" t="s">
        <v>65</v>
      </c>
      <c r="AA116" s="2">
        <f t="shared" ref="AA116:AB116" si="97">AA98</f>
        <v>92</v>
      </c>
      <c r="AB116" s="2">
        <f t="shared" si="97"/>
        <v>55</v>
      </c>
    </row>
    <row r="117" spans="1:28" x14ac:dyDescent="0.15">
      <c r="A117" s="1">
        <v>140114</v>
      </c>
      <c r="B117" s="2">
        <f t="shared" si="58"/>
        <v>12</v>
      </c>
      <c r="C117" s="4">
        <f t="shared" si="59"/>
        <v>4</v>
      </c>
      <c r="D117" s="2">
        <v>114</v>
      </c>
      <c r="E117" s="4">
        <f>IF(OR($C117=3,$C117=7),VLOOKUP($D117,Sheet3!$A:$E,5,),0)</f>
        <v>0</v>
      </c>
      <c r="F117" s="4">
        <f>IF(OR($C117=1,$C117=5,$C117=9),VLOOKUP($D117,Sheet3!$A:$E,5,),0)</f>
        <v>0</v>
      </c>
      <c r="G117" s="4">
        <f>IF(OR($C117=2,$C117=6,$C117=10),VLOOKUP($D117,Sheet3!$A:$E,5,),0)</f>
        <v>0</v>
      </c>
      <c r="H117" s="4">
        <f>IF(OR($C117=4,$C117=8),VLOOKUP($D117,Sheet3!$A:$E,5,),0)</f>
        <v>424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2">
        <v>0</v>
      </c>
      <c r="Q117" s="2">
        <v>0</v>
      </c>
      <c r="R117" s="2">
        <v>0</v>
      </c>
      <c r="V117" s="4" t="str">
        <f>Sheet3!D115&amp;"+"&amp;Sheet3!E115</f>
        <v>霸气+424</v>
      </c>
      <c r="W117" s="2">
        <v>2</v>
      </c>
      <c r="X117" s="2" t="s">
        <v>70</v>
      </c>
      <c r="Y117" s="2">
        <v>1</v>
      </c>
      <c r="Z117" s="4" t="s">
        <v>65</v>
      </c>
      <c r="AA117" s="2">
        <f t="shared" ref="AA117:AB117" si="98">AA99</f>
        <v>340</v>
      </c>
      <c r="AB117" s="2">
        <f t="shared" si="98"/>
        <v>55</v>
      </c>
    </row>
    <row r="118" spans="1:28" x14ac:dyDescent="0.15">
      <c r="A118" s="1">
        <v>140115</v>
      </c>
      <c r="B118" s="2">
        <f t="shared" si="58"/>
        <v>12</v>
      </c>
      <c r="C118" s="4">
        <f t="shared" si="59"/>
        <v>5</v>
      </c>
      <c r="D118" s="4">
        <v>115</v>
      </c>
      <c r="E118" s="4">
        <f>IF(OR($C118=3,$C118=7),VLOOKUP($D118,Sheet3!$A:$E,5,),0)</f>
        <v>0</v>
      </c>
      <c r="F118" s="4">
        <f>IF(OR($C118=1,$C118=5,$C118=9),VLOOKUP($D118,Sheet3!$A:$E,5,),0)</f>
        <v>283</v>
      </c>
      <c r="G118" s="4">
        <f>IF(OR($C118=2,$C118=6,$C118=10),VLOOKUP($D118,Sheet3!$A:$E,5,),0)</f>
        <v>0</v>
      </c>
      <c r="H118" s="4">
        <f>IF(OR($C118=4,$C118=8),VLOOKUP($D118,Sheet3!$A:$E,5,),0)</f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2">
        <v>0</v>
      </c>
      <c r="Q118" s="2">
        <v>0</v>
      </c>
      <c r="R118" s="2">
        <v>0</v>
      </c>
      <c r="V118" s="4" t="str">
        <f>Sheet3!D116&amp;"+"&amp;Sheet3!E116</f>
        <v>攻击+283</v>
      </c>
      <c r="W118" s="2">
        <v>2</v>
      </c>
      <c r="X118" s="2" t="s">
        <v>70</v>
      </c>
      <c r="Y118" s="2">
        <v>1</v>
      </c>
      <c r="Z118" s="4" t="s">
        <v>65</v>
      </c>
      <c r="AA118" s="2">
        <f t="shared" ref="AA118:AB118" si="99">AA100</f>
        <v>-310</v>
      </c>
      <c r="AB118" s="2">
        <f t="shared" si="99"/>
        <v>130</v>
      </c>
    </row>
    <row r="119" spans="1:28" x14ac:dyDescent="0.15">
      <c r="A119" s="1">
        <v>140116</v>
      </c>
      <c r="B119" s="2">
        <f t="shared" si="58"/>
        <v>12</v>
      </c>
      <c r="C119" s="4">
        <f t="shared" si="59"/>
        <v>6</v>
      </c>
      <c r="D119" s="2">
        <v>116</v>
      </c>
      <c r="E119" s="4">
        <f>IF(OR($C119=3,$C119=7),VLOOKUP($D119,Sheet3!$A:$E,5,),0)</f>
        <v>0</v>
      </c>
      <c r="F119" s="4">
        <f>IF(OR($C119=1,$C119=5,$C119=9),VLOOKUP($D119,Sheet3!$A:$E,5,),0)</f>
        <v>0</v>
      </c>
      <c r="G119" s="4">
        <f>IF(OR($C119=2,$C119=6,$C119=10),VLOOKUP($D119,Sheet3!$A:$E,5,),0)</f>
        <v>283</v>
      </c>
      <c r="H119" s="4">
        <f>IF(OR($C119=4,$C119=8),VLOOKUP($D119,Sheet3!$A:$E,5,),0)</f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2">
        <v>0</v>
      </c>
      <c r="Q119" s="2">
        <v>0</v>
      </c>
      <c r="R119" s="2">
        <v>0</v>
      </c>
      <c r="V119" s="4" t="str">
        <f>Sheet3!D117&amp;"+"&amp;Sheet3!E117</f>
        <v>防御+283</v>
      </c>
      <c r="W119" s="2">
        <v>2</v>
      </c>
      <c r="X119" s="2" t="s">
        <v>70</v>
      </c>
      <c r="Y119" s="2">
        <v>1</v>
      </c>
      <c r="Z119" s="4" t="s">
        <v>65</v>
      </c>
      <c r="AA119" s="2">
        <f t="shared" ref="AA119:AB119" si="100">AA101</f>
        <v>-137</v>
      </c>
      <c r="AB119" s="2">
        <f t="shared" si="100"/>
        <v>130</v>
      </c>
    </row>
    <row r="120" spans="1:28" x14ac:dyDescent="0.15">
      <c r="A120" s="1">
        <v>140117</v>
      </c>
      <c r="B120" s="2">
        <f t="shared" si="58"/>
        <v>12</v>
      </c>
      <c r="C120" s="4">
        <f t="shared" si="59"/>
        <v>7</v>
      </c>
      <c r="D120" s="4">
        <v>117</v>
      </c>
      <c r="E120" s="4">
        <f>IF(OR($C120=3,$C120=7),VLOOKUP($D120,Sheet3!$A:$E,5,),0)</f>
        <v>2122</v>
      </c>
      <c r="F120" s="4">
        <f>IF(OR($C120=1,$C120=5,$C120=9),VLOOKUP($D120,Sheet3!$A:$E,5,),0)</f>
        <v>0</v>
      </c>
      <c r="G120" s="4">
        <f>IF(OR($C120=2,$C120=6,$C120=10),VLOOKUP($D120,Sheet3!$A:$E,5,),0)</f>
        <v>0</v>
      </c>
      <c r="H120" s="4">
        <f>IF(OR($C120=4,$C120=8),VLOOKUP($D120,Sheet3!$A:$E,5,),0)</f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2">
        <v>0</v>
      </c>
      <c r="Q120" s="2">
        <v>0</v>
      </c>
      <c r="R120" s="2">
        <v>0</v>
      </c>
      <c r="V120" s="4" t="str">
        <f>Sheet3!D118&amp;"+"&amp;Sheet3!E118</f>
        <v>生命+2122</v>
      </c>
      <c r="W120" s="2">
        <v>2</v>
      </c>
      <c r="X120" s="2" t="s">
        <v>70</v>
      </c>
      <c r="Y120" s="2">
        <v>1</v>
      </c>
      <c r="Z120" s="4" t="s">
        <v>65</v>
      </c>
      <c r="AA120" s="2">
        <f t="shared" ref="AA120:AB120" si="101">AA102</f>
        <v>-137</v>
      </c>
      <c r="AB120" s="2">
        <f t="shared" si="101"/>
        <v>-115</v>
      </c>
    </row>
    <row r="121" spans="1:28" x14ac:dyDescent="0.15">
      <c r="A121" s="1">
        <v>140118</v>
      </c>
      <c r="B121" s="2">
        <f t="shared" si="58"/>
        <v>12</v>
      </c>
      <c r="C121" s="4">
        <f t="shared" si="59"/>
        <v>8</v>
      </c>
      <c r="D121" s="2">
        <v>118</v>
      </c>
      <c r="E121" s="4">
        <f>IF(OR($C121=3,$C121=7),VLOOKUP($D121,Sheet3!$A:$E,5,),0)</f>
        <v>0</v>
      </c>
      <c r="F121" s="4">
        <f>IF(OR($C121=1,$C121=5,$C121=9),VLOOKUP($D121,Sheet3!$A:$E,5,),0)</f>
        <v>0</v>
      </c>
      <c r="G121" s="4">
        <f>IF(OR($C121=2,$C121=6,$C121=10),VLOOKUP($D121,Sheet3!$A:$E,5,),0)</f>
        <v>0</v>
      </c>
      <c r="H121" s="4">
        <f>IF(OR($C121=4,$C121=8),VLOOKUP($D121,Sheet3!$A:$E,5,),0)</f>
        <v>424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2">
        <v>0</v>
      </c>
      <c r="Q121" s="2">
        <v>0</v>
      </c>
      <c r="R121" s="2">
        <v>0</v>
      </c>
      <c r="V121" s="4" t="str">
        <f>Sheet3!D119&amp;"+"&amp;Sheet3!E119</f>
        <v>霸气+424</v>
      </c>
      <c r="W121" s="2">
        <v>2</v>
      </c>
      <c r="X121" s="2" t="s">
        <v>70</v>
      </c>
      <c r="Y121" s="2">
        <v>1</v>
      </c>
      <c r="Z121" s="4" t="s">
        <v>65</v>
      </c>
      <c r="AA121" s="2">
        <f t="shared" ref="AA121:AB121" si="102">AA103</f>
        <v>92</v>
      </c>
      <c r="AB121" s="2">
        <f t="shared" si="102"/>
        <v>-115</v>
      </c>
    </row>
    <row r="122" spans="1:28" x14ac:dyDescent="0.15">
      <c r="A122" s="1">
        <v>140119</v>
      </c>
      <c r="B122" s="2">
        <f t="shared" si="58"/>
        <v>12</v>
      </c>
      <c r="C122" s="4">
        <f t="shared" si="59"/>
        <v>9</v>
      </c>
      <c r="D122" s="4">
        <v>119</v>
      </c>
      <c r="E122" s="4">
        <f>IF(OR($C122=3,$C122=7),VLOOKUP($D122,Sheet3!$A:$E,5,),0)</f>
        <v>0</v>
      </c>
      <c r="F122" s="4">
        <f>IF(OR($C122=1,$C122=5,$C122=9),VLOOKUP($D122,Sheet3!$A:$E,5,),0)</f>
        <v>283</v>
      </c>
      <c r="G122" s="4">
        <f>IF(OR($C122=2,$C122=6,$C122=10),VLOOKUP($D122,Sheet3!$A:$E,5,),0)</f>
        <v>0</v>
      </c>
      <c r="H122" s="4">
        <f>IF(OR($C122=4,$C122=8),VLOOKUP($D122,Sheet3!$A:$E,5,),0)</f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2">
        <v>0</v>
      </c>
      <c r="Q122" s="2">
        <v>0</v>
      </c>
      <c r="R122" s="2">
        <v>0</v>
      </c>
      <c r="V122" s="4" t="str">
        <f>Sheet3!D120&amp;"+"&amp;Sheet3!E120</f>
        <v>攻击+283</v>
      </c>
      <c r="W122" s="2">
        <v>2</v>
      </c>
      <c r="X122" s="2" t="s">
        <v>70</v>
      </c>
      <c r="Y122" s="2">
        <v>1</v>
      </c>
      <c r="Z122" s="4" t="s">
        <v>65</v>
      </c>
      <c r="AA122" s="2">
        <f t="shared" ref="AA122:AB122" si="103">AA104</f>
        <v>92</v>
      </c>
      <c r="AB122" s="2">
        <f t="shared" si="103"/>
        <v>55</v>
      </c>
    </row>
    <row r="123" spans="1:28" x14ac:dyDescent="0.15">
      <c r="A123" s="1">
        <v>140120</v>
      </c>
      <c r="B123" s="2">
        <f t="shared" si="58"/>
        <v>12</v>
      </c>
      <c r="C123" s="4">
        <f t="shared" si="59"/>
        <v>10</v>
      </c>
      <c r="D123" s="2">
        <v>120</v>
      </c>
      <c r="E123" s="4">
        <f>IF(OR($C123=3,$C123=7),VLOOKUP($D123,Sheet3!$A:$E,5,),0)</f>
        <v>0</v>
      </c>
      <c r="F123" s="4">
        <f>IF(OR($C123=1,$C123=5,$C123=9),VLOOKUP($D123,Sheet3!$A:$E,5,),0)</f>
        <v>0</v>
      </c>
      <c r="G123" s="4">
        <f>IF(OR($C123=2,$C123=6,$C123=10),VLOOKUP($D123,Sheet3!$A:$E,5,),0)</f>
        <v>283</v>
      </c>
      <c r="H123" s="4">
        <f>IF(OR($C123=4,$C123=8),VLOOKUP($D123,Sheet3!$A:$E,5,),0)</f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2">
        <v>0</v>
      </c>
      <c r="Q123" s="2">
        <v>0</v>
      </c>
      <c r="R123" s="2">
        <v>0</v>
      </c>
      <c r="V123" s="4" t="str">
        <f>Sheet3!D121&amp;"+"&amp;Sheet3!E121</f>
        <v>防御+283</v>
      </c>
      <c r="W123" s="2">
        <v>2</v>
      </c>
      <c r="X123" s="2" t="s">
        <v>70</v>
      </c>
      <c r="Y123" s="2">
        <v>1</v>
      </c>
      <c r="Z123" s="4" t="s">
        <v>65</v>
      </c>
      <c r="AA123" s="2">
        <f t="shared" ref="AA123:AB123" si="104">AA105</f>
        <v>340</v>
      </c>
      <c r="AB123" s="2">
        <f t="shared" si="104"/>
        <v>55</v>
      </c>
    </row>
    <row r="124" spans="1:28" x14ac:dyDescent="0.15">
      <c r="C124" s="4"/>
    </row>
    <row r="125" spans="1:28" x14ac:dyDescent="0.15">
      <c r="C125" s="4"/>
      <c r="D125" s="2">
        <v>1</v>
      </c>
      <c r="E125" s="2">
        <f>E4</f>
        <v>0</v>
      </c>
      <c r="F125" s="2">
        <f t="shared" ref="F125:R125" si="105">F4</f>
        <v>19</v>
      </c>
      <c r="G125" s="2">
        <f t="shared" si="105"/>
        <v>0</v>
      </c>
      <c r="H125" s="2">
        <f t="shared" si="105"/>
        <v>0</v>
      </c>
      <c r="I125" s="2">
        <f t="shared" si="105"/>
        <v>0</v>
      </c>
      <c r="J125" s="2">
        <f t="shared" si="105"/>
        <v>0</v>
      </c>
      <c r="K125" s="2">
        <f t="shared" si="105"/>
        <v>0</v>
      </c>
      <c r="L125" s="2">
        <f t="shared" si="105"/>
        <v>0</v>
      </c>
      <c r="M125" s="2">
        <f t="shared" si="105"/>
        <v>0</v>
      </c>
      <c r="N125" s="2">
        <f t="shared" si="105"/>
        <v>0</v>
      </c>
      <c r="O125" s="2">
        <f t="shared" si="105"/>
        <v>0</v>
      </c>
      <c r="P125" s="2">
        <f t="shared" si="105"/>
        <v>0</v>
      </c>
      <c r="Q125" s="2">
        <f t="shared" si="105"/>
        <v>0</v>
      </c>
      <c r="R125" s="2">
        <f t="shared" si="105"/>
        <v>0</v>
      </c>
    </row>
    <row r="126" spans="1:28" x14ac:dyDescent="0.15">
      <c r="C126" s="4"/>
      <c r="D126" s="2">
        <v>2</v>
      </c>
      <c r="E126" s="2">
        <f>E125+E5</f>
        <v>0</v>
      </c>
      <c r="F126" s="2">
        <f t="shared" ref="F126:R126" si="106">F125+F5</f>
        <v>19</v>
      </c>
      <c r="G126" s="2">
        <f t="shared" si="106"/>
        <v>19</v>
      </c>
      <c r="H126" s="2">
        <f t="shared" si="106"/>
        <v>0</v>
      </c>
      <c r="I126" s="2">
        <f t="shared" si="106"/>
        <v>0</v>
      </c>
      <c r="J126" s="2">
        <f t="shared" si="106"/>
        <v>0</v>
      </c>
      <c r="K126" s="2">
        <f t="shared" si="106"/>
        <v>0</v>
      </c>
      <c r="L126" s="2">
        <f t="shared" si="106"/>
        <v>0</v>
      </c>
      <c r="M126" s="2">
        <f t="shared" si="106"/>
        <v>0</v>
      </c>
      <c r="N126" s="2">
        <f t="shared" si="106"/>
        <v>0</v>
      </c>
      <c r="O126" s="2">
        <f t="shared" si="106"/>
        <v>0</v>
      </c>
      <c r="P126" s="2">
        <f t="shared" si="106"/>
        <v>0</v>
      </c>
      <c r="Q126" s="2">
        <f t="shared" si="106"/>
        <v>0</v>
      </c>
      <c r="R126" s="2">
        <f t="shared" si="106"/>
        <v>0</v>
      </c>
    </row>
    <row r="127" spans="1:28" x14ac:dyDescent="0.15">
      <c r="C127" s="4"/>
      <c r="D127" s="2">
        <v>3</v>
      </c>
      <c r="E127" s="2">
        <f t="shared" ref="E127:E190" si="107">E126+E6</f>
        <v>142</v>
      </c>
      <c r="F127" s="2">
        <f t="shared" ref="F127:F190" si="108">F126+F6</f>
        <v>19</v>
      </c>
      <c r="G127" s="2">
        <f t="shared" ref="G127:G190" si="109">G126+G6</f>
        <v>19</v>
      </c>
      <c r="H127" s="2">
        <f t="shared" ref="H127:H190" si="110">H126+H6</f>
        <v>0</v>
      </c>
      <c r="I127" s="2">
        <f t="shared" ref="I127:I190" si="111">I126+I6</f>
        <v>0</v>
      </c>
      <c r="J127" s="2">
        <f t="shared" ref="J127:J190" si="112">J126+J6</f>
        <v>0</v>
      </c>
      <c r="K127" s="2">
        <f t="shared" ref="K127:K190" si="113">K126+K6</f>
        <v>0</v>
      </c>
      <c r="L127" s="2">
        <f t="shared" ref="L127:L190" si="114">L126+L6</f>
        <v>0</v>
      </c>
      <c r="M127" s="2">
        <f t="shared" ref="M127:M190" si="115">M126+M6</f>
        <v>0</v>
      </c>
      <c r="N127" s="2">
        <f t="shared" ref="N127:N190" si="116">N126+N6</f>
        <v>0</v>
      </c>
      <c r="O127" s="2">
        <f t="shared" ref="O127:O190" si="117">O126+O6</f>
        <v>0</v>
      </c>
      <c r="P127" s="2">
        <f t="shared" ref="P127:P190" si="118">P126+P6</f>
        <v>0</v>
      </c>
      <c r="Q127" s="2">
        <f t="shared" ref="Q127:Q190" si="119">Q126+Q6</f>
        <v>0</v>
      </c>
      <c r="R127" s="2">
        <f t="shared" ref="R127:R190" si="120">R126+R6</f>
        <v>0</v>
      </c>
    </row>
    <row r="128" spans="1:28" x14ac:dyDescent="0.15">
      <c r="C128" s="4"/>
      <c r="D128" s="2">
        <v>4</v>
      </c>
      <c r="E128" s="2">
        <f t="shared" si="107"/>
        <v>142</v>
      </c>
      <c r="F128" s="2">
        <f t="shared" si="108"/>
        <v>19</v>
      </c>
      <c r="G128" s="2">
        <f t="shared" si="109"/>
        <v>19</v>
      </c>
      <c r="H128" s="2">
        <f t="shared" si="110"/>
        <v>28</v>
      </c>
      <c r="I128" s="2">
        <f t="shared" si="111"/>
        <v>0</v>
      </c>
      <c r="J128" s="2">
        <f t="shared" si="112"/>
        <v>0</v>
      </c>
      <c r="K128" s="2">
        <f t="shared" si="113"/>
        <v>0</v>
      </c>
      <c r="L128" s="2">
        <f t="shared" si="114"/>
        <v>0</v>
      </c>
      <c r="M128" s="2">
        <f t="shared" si="115"/>
        <v>0</v>
      </c>
      <c r="N128" s="2">
        <f t="shared" si="116"/>
        <v>0</v>
      </c>
      <c r="O128" s="2">
        <f t="shared" si="117"/>
        <v>0</v>
      </c>
      <c r="P128" s="2">
        <f t="shared" si="118"/>
        <v>0</v>
      </c>
      <c r="Q128" s="2">
        <f t="shared" si="119"/>
        <v>0</v>
      </c>
      <c r="R128" s="2">
        <f t="shared" si="120"/>
        <v>0</v>
      </c>
    </row>
    <row r="129" spans="3:18" s="2" customFormat="1" x14ac:dyDescent="0.15">
      <c r="C129" s="4"/>
      <c r="D129" s="2">
        <v>5</v>
      </c>
      <c r="E129" s="2">
        <f t="shared" si="107"/>
        <v>142</v>
      </c>
      <c r="F129" s="2">
        <f t="shared" si="108"/>
        <v>38</v>
      </c>
      <c r="G129" s="2">
        <f t="shared" si="109"/>
        <v>19</v>
      </c>
      <c r="H129" s="2">
        <f t="shared" si="110"/>
        <v>28</v>
      </c>
      <c r="I129" s="2">
        <f t="shared" si="111"/>
        <v>0</v>
      </c>
      <c r="J129" s="2">
        <f t="shared" si="112"/>
        <v>0</v>
      </c>
      <c r="K129" s="2">
        <f t="shared" si="113"/>
        <v>0</v>
      </c>
      <c r="L129" s="2">
        <f t="shared" si="114"/>
        <v>0</v>
      </c>
      <c r="M129" s="2">
        <f t="shared" si="115"/>
        <v>0</v>
      </c>
      <c r="N129" s="2">
        <f t="shared" si="116"/>
        <v>0</v>
      </c>
      <c r="O129" s="2">
        <f t="shared" si="117"/>
        <v>0</v>
      </c>
      <c r="P129" s="2">
        <f t="shared" si="118"/>
        <v>0</v>
      </c>
      <c r="Q129" s="2">
        <f t="shared" si="119"/>
        <v>0</v>
      </c>
      <c r="R129" s="2">
        <f t="shared" si="120"/>
        <v>0</v>
      </c>
    </row>
    <row r="130" spans="3:18" s="2" customFormat="1" x14ac:dyDescent="0.15">
      <c r="C130" s="4"/>
      <c r="D130" s="2">
        <v>6</v>
      </c>
      <c r="E130" s="2">
        <f t="shared" si="107"/>
        <v>142</v>
      </c>
      <c r="F130" s="2">
        <f t="shared" si="108"/>
        <v>38</v>
      </c>
      <c r="G130" s="2">
        <f t="shared" si="109"/>
        <v>38</v>
      </c>
      <c r="H130" s="2">
        <f t="shared" si="110"/>
        <v>28</v>
      </c>
      <c r="I130" s="2">
        <f t="shared" si="111"/>
        <v>0</v>
      </c>
      <c r="J130" s="2">
        <f t="shared" si="112"/>
        <v>0</v>
      </c>
      <c r="K130" s="2">
        <f t="shared" si="113"/>
        <v>0</v>
      </c>
      <c r="L130" s="2">
        <f t="shared" si="114"/>
        <v>0</v>
      </c>
      <c r="M130" s="2">
        <f t="shared" si="115"/>
        <v>0</v>
      </c>
      <c r="N130" s="2">
        <f t="shared" si="116"/>
        <v>0</v>
      </c>
      <c r="O130" s="2">
        <f t="shared" si="117"/>
        <v>0</v>
      </c>
      <c r="P130" s="2">
        <f t="shared" si="118"/>
        <v>0</v>
      </c>
      <c r="Q130" s="2">
        <f t="shared" si="119"/>
        <v>0</v>
      </c>
      <c r="R130" s="2">
        <f t="shared" si="120"/>
        <v>0</v>
      </c>
    </row>
    <row r="131" spans="3:18" s="2" customFormat="1" x14ac:dyDescent="0.15">
      <c r="C131" s="4"/>
      <c r="D131" s="2">
        <v>7</v>
      </c>
      <c r="E131" s="2">
        <f t="shared" si="107"/>
        <v>284</v>
      </c>
      <c r="F131" s="2">
        <f t="shared" si="108"/>
        <v>38</v>
      </c>
      <c r="G131" s="2">
        <f t="shared" si="109"/>
        <v>38</v>
      </c>
      <c r="H131" s="2">
        <f t="shared" si="110"/>
        <v>28</v>
      </c>
      <c r="I131" s="2">
        <f t="shared" si="111"/>
        <v>0</v>
      </c>
      <c r="J131" s="2">
        <f t="shared" si="112"/>
        <v>0</v>
      </c>
      <c r="K131" s="2">
        <f t="shared" si="113"/>
        <v>0</v>
      </c>
      <c r="L131" s="2">
        <f t="shared" si="114"/>
        <v>0</v>
      </c>
      <c r="M131" s="2">
        <f t="shared" si="115"/>
        <v>0</v>
      </c>
      <c r="N131" s="2">
        <f t="shared" si="116"/>
        <v>0</v>
      </c>
      <c r="O131" s="2">
        <f t="shared" si="117"/>
        <v>0</v>
      </c>
      <c r="P131" s="2">
        <f t="shared" si="118"/>
        <v>0</v>
      </c>
      <c r="Q131" s="2">
        <f t="shared" si="119"/>
        <v>0</v>
      </c>
      <c r="R131" s="2">
        <f t="shared" si="120"/>
        <v>0</v>
      </c>
    </row>
    <row r="132" spans="3:18" s="2" customFormat="1" x14ac:dyDescent="0.15">
      <c r="C132" s="4"/>
      <c r="D132" s="2">
        <v>8</v>
      </c>
      <c r="E132" s="2">
        <f t="shared" si="107"/>
        <v>284</v>
      </c>
      <c r="F132" s="2">
        <f t="shared" si="108"/>
        <v>38</v>
      </c>
      <c r="G132" s="2">
        <f t="shared" si="109"/>
        <v>38</v>
      </c>
      <c r="H132" s="2">
        <f t="shared" si="110"/>
        <v>56</v>
      </c>
      <c r="I132" s="2">
        <f t="shared" si="111"/>
        <v>0</v>
      </c>
      <c r="J132" s="2">
        <f t="shared" si="112"/>
        <v>0</v>
      </c>
      <c r="K132" s="2">
        <f t="shared" si="113"/>
        <v>0</v>
      </c>
      <c r="L132" s="2">
        <f t="shared" si="114"/>
        <v>0</v>
      </c>
      <c r="M132" s="2">
        <f t="shared" si="115"/>
        <v>0</v>
      </c>
      <c r="N132" s="2">
        <f t="shared" si="116"/>
        <v>0</v>
      </c>
      <c r="O132" s="2">
        <f t="shared" si="117"/>
        <v>0</v>
      </c>
      <c r="P132" s="2">
        <f t="shared" si="118"/>
        <v>0</v>
      </c>
      <c r="Q132" s="2">
        <f t="shared" si="119"/>
        <v>0</v>
      </c>
      <c r="R132" s="2">
        <f t="shared" si="120"/>
        <v>0</v>
      </c>
    </row>
    <row r="133" spans="3:18" s="2" customFormat="1" x14ac:dyDescent="0.15">
      <c r="C133" s="4"/>
      <c r="D133" s="2">
        <v>9</v>
      </c>
      <c r="E133" s="2">
        <f t="shared" si="107"/>
        <v>284</v>
      </c>
      <c r="F133" s="2">
        <f t="shared" si="108"/>
        <v>57</v>
      </c>
      <c r="G133" s="2">
        <f t="shared" si="109"/>
        <v>38</v>
      </c>
      <c r="H133" s="2">
        <f t="shared" si="110"/>
        <v>56</v>
      </c>
      <c r="I133" s="2">
        <f t="shared" si="111"/>
        <v>0</v>
      </c>
      <c r="J133" s="2">
        <f t="shared" si="112"/>
        <v>0</v>
      </c>
      <c r="K133" s="2">
        <f t="shared" si="113"/>
        <v>0</v>
      </c>
      <c r="L133" s="2">
        <f t="shared" si="114"/>
        <v>0</v>
      </c>
      <c r="M133" s="2">
        <f t="shared" si="115"/>
        <v>0</v>
      </c>
      <c r="N133" s="2">
        <f t="shared" si="116"/>
        <v>0</v>
      </c>
      <c r="O133" s="2">
        <f t="shared" si="117"/>
        <v>0</v>
      </c>
      <c r="P133" s="2">
        <f t="shared" si="118"/>
        <v>0</v>
      </c>
      <c r="Q133" s="2">
        <f t="shared" si="119"/>
        <v>0</v>
      </c>
      <c r="R133" s="2">
        <f t="shared" si="120"/>
        <v>0</v>
      </c>
    </row>
    <row r="134" spans="3:18" s="2" customFormat="1" x14ac:dyDescent="0.15">
      <c r="C134" s="4"/>
      <c r="D134" s="2">
        <v>10</v>
      </c>
      <c r="E134" s="2">
        <f t="shared" si="107"/>
        <v>284</v>
      </c>
      <c r="F134" s="2">
        <f t="shared" si="108"/>
        <v>57</v>
      </c>
      <c r="G134" s="2">
        <f t="shared" si="109"/>
        <v>57</v>
      </c>
      <c r="H134" s="2">
        <f t="shared" si="110"/>
        <v>56</v>
      </c>
      <c r="I134" s="2">
        <f t="shared" si="111"/>
        <v>0</v>
      </c>
      <c r="J134" s="2">
        <f t="shared" si="112"/>
        <v>0</v>
      </c>
      <c r="K134" s="2">
        <f t="shared" si="113"/>
        <v>0</v>
      </c>
      <c r="L134" s="2">
        <f t="shared" si="114"/>
        <v>0</v>
      </c>
      <c r="M134" s="2">
        <f t="shared" si="115"/>
        <v>0</v>
      </c>
      <c r="N134" s="2">
        <f t="shared" si="116"/>
        <v>0</v>
      </c>
      <c r="O134" s="2">
        <f t="shared" si="117"/>
        <v>0</v>
      </c>
      <c r="P134" s="2">
        <f t="shared" si="118"/>
        <v>0</v>
      </c>
      <c r="Q134" s="2">
        <f t="shared" si="119"/>
        <v>0</v>
      </c>
      <c r="R134" s="2">
        <f t="shared" si="120"/>
        <v>0</v>
      </c>
    </row>
    <row r="135" spans="3:18" s="2" customFormat="1" x14ac:dyDescent="0.15">
      <c r="C135" s="4"/>
      <c r="D135" s="2">
        <v>11</v>
      </c>
      <c r="E135" s="2">
        <f t="shared" si="107"/>
        <v>284</v>
      </c>
      <c r="F135" s="2">
        <f t="shared" si="108"/>
        <v>76</v>
      </c>
      <c r="G135" s="2">
        <f t="shared" si="109"/>
        <v>57</v>
      </c>
      <c r="H135" s="2">
        <f t="shared" si="110"/>
        <v>56</v>
      </c>
      <c r="I135" s="2">
        <f t="shared" si="111"/>
        <v>0</v>
      </c>
      <c r="J135" s="2">
        <f t="shared" si="112"/>
        <v>0</v>
      </c>
      <c r="K135" s="2">
        <f t="shared" si="113"/>
        <v>0</v>
      </c>
      <c r="L135" s="2">
        <f t="shared" si="114"/>
        <v>0</v>
      </c>
      <c r="M135" s="2">
        <f t="shared" si="115"/>
        <v>0</v>
      </c>
      <c r="N135" s="2">
        <f t="shared" si="116"/>
        <v>0</v>
      </c>
      <c r="O135" s="2">
        <f t="shared" si="117"/>
        <v>0</v>
      </c>
      <c r="P135" s="2">
        <f t="shared" si="118"/>
        <v>0</v>
      </c>
      <c r="Q135" s="2">
        <f t="shared" si="119"/>
        <v>0</v>
      </c>
      <c r="R135" s="2">
        <f t="shared" si="120"/>
        <v>0</v>
      </c>
    </row>
    <row r="136" spans="3:18" s="2" customFormat="1" x14ac:dyDescent="0.15">
      <c r="C136" s="4"/>
      <c r="D136" s="2">
        <v>12</v>
      </c>
      <c r="E136" s="2">
        <f t="shared" si="107"/>
        <v>284</v>
      </c>
      <c r="F136" s="2">
        <f t="shared" si="108"/>
        <v>76</v>
      </c>
      <c r="G136" s="2">
        <f t="shared" si="109"/>
        <v>76</v>
      </c>
      <c r="H136" s="2">
        <f t="shared" si="110"/>
        <v>56</v>
      </c>
      <c r="I136" s="2">
        <f t="shared" si="111"/>
        <v>0</v>
      </c>
      <c r="J136" s="2">
        <f t="shared" si="112"/>
        <v>0</v>
      </c>
      <c r="K136" s="2">
        <f t="shared" si="113"/>
        <v>0</v>
      </c>
      <c r="L136" s="2">
        <f t="shared" si="114"/>
        <v>0</v>
      </c>
      <c r="M136" s="2">
        <f t="shared" si="115"/>
        <v>0</v>
      </c>
      <c r="N136" s="2">
        <f t="shared" si="116"/>
        <v>0</v>
      </c>
      <c r="O136" s="2">
        <f t="shared" si="117"/>
        <v>0</v>
      </c>
      <c r="P136" s="2">
        <f t="shared" si="118"/>
        <v>0</v>
      </c>
      <c r="Q136" s="2">
        <f t="shared" si="119"/>
        <v>0</v>
      </c>
      <c r="R136" s="2">
        <f t="shared" si="120"/>
        <v>0</v>
      </c>
    </row>
    <row r="137" spans="3:18" s="2" customFormat="1" x14ac:dyDescent="0.15">
      <c r="C137" s="4"/>
      <c r="D137" s="2">
        <v>13</v>
      </c>
      <c r="E137" s="2">
        <f t="shared" si="107"/>
        <v>426</v>
      </c>
      <c r="F137" s="2">
        <f t="shared" si="108"/>
        <v>76</v>
      </c>
      <c r="G137" s="2">
        <f t="shared" si="109"/>
        <v>76</v>
      </c>
      <c r="H137" s="2">
        <f t="shared" si="110"/>
        <v>56</v>
      </c>
      <c r="I137" s="2">
        <f t="shared" si="111"/>
        <v>0</v>
      </c>
      <c r="J137" s="2">
        <f t="shared" si="112"/>
        <v>0</v>
      </c>
      <c r="K137" s="2">
        <f t="shared" si="113"/>
        <v>0</v>
      </c>
      <c r="L137" s="2">
        <f t="shared" si="114"/>
        <v>0</v>
      </c>
      <c r="M137" s="2">
        <f t="shared" si="115"/>
        <v>0</v>
      </c>
      <c r="N137" s="2">
        <f t="shared" si="116"/>
        <v>0</v>
      </c>
      <c r="O137" s="2">
        <f t="shared" si="117"/>
        <v>0</v>
      </c>
      <c r="P137" s="2">
        <f t="shared" si="118"/>
        <v>0</v>
      </c>
      <c r="Q137" s="2">
        <f t="shared" si="119"/>
        <v>0</v>
      </c>
      <c r="R137" s="2">
        <f t="shared" si="120"/>
        <v>0</v>
      </c>
    </row>
    <row r="138" spans="3:18" s="2" customFormat="1" x14ac:dyDescent="0.15">
      <c r="C138" s="4"/>
      <c r="D138" s="2">
        <v>14</v>
      </c>
      <c r="E138" s="2">
        <f t="shared" si="107"/>
        <v>426</v>
      </c>
      <c r="F138" s="2">
        <f t="shared" si="108"/>
        <v>76</v>
      </c>
      <c r="G138" s="2">
        <f t="shared" si="109"/>
        <v>76</v>
      </c>
      <c r="H138" s="2">
        <f t="shared" si="110"/>
        <v>84</v>
      </c>
      <c r="I138" s="2">
        <f t="shared" si="111"/>
        <v>0</v>
      </c>
      <c r="J138" s="2">
        <f t="shared" si="112"/>
        <v>0</v>
      </c>
      <c r="K138" s="2">
        <f t="shared" si="113"/>
        <v>0</v>
      </c>
      <c r="L138" s="2">
        <f t="shared" si="114"/>
        <v>0</v>
      </c>
      <c r="M138" s="2">
        <f t="shared" si="115"/>
        <v>0</v>
      </c>
      <c r="N138" s="2">
        <f t="shared" si="116"/>
        <v>0</v>
      </c>
      <c r="O138" s="2">
        <f t="shared" si="117"/>
        <v>0</v>
      </c>
      <c r="P138" s="2">
        <f t="shared" si="118"/>
        <v>0</v>
      </c>
      <c r="Q138" s="2">
        <f t="shared" si="119"/>
        <v>0</v>
      </c>
      <c r="R138" s="2">
        <f t="shared" si="120"/>
        <v>0</v>
      </c>
    </row>
    <row r="139" spans="3:18" s="2" customFormat="1" x14ac:dyDescent="0.15">
      <c r="C139" s="4"/>
      <c r="D139" s="2">
        <v>15</v>
      </c>
      <c r="E139" s="2">
        <f t="shared" si="107"/>
        <v>426</v>
      </c>
      <c r="F139" s="2">
        <f t="shared" si="108"/>
        <v>95</v>
      </c>
      <c r="G139" s="2">
        <f t="shared" si="109"/>
        <v>76</v>
      </c>
      <c r="H139" s="2">
        <f t="shared" si="110"/>
        <v>84</v>
      </c>
      <c r="I139" s="2">
        <f t="shared" si="111"/>
        <v>0</v>
      </c>
      <c r="J139" s="2">
        <f t="shared" si="112"/>
        <v>0</v>
      </c>
      <c r="K139" s="2">
        <f t="shared" si="113"/>
        <v>0</v>
      </c>
      <c r="L139" s="2">
        <f t="shared" si="114"/>
        <v>0</v>
      </c>
      <c r="M139" s="2">
        <f t="shared" si="115"/>
        <v>0</v>
      </c>
      <c r="N139" s="2">
        <f t="shared" si="116"/>
        <v>0</v>
      </c>
      <c r="O139" s="2">
        <f t="shared" si="117"/>
        <v>0</v>
      </c>
      <c r="P139" s="2">
        <f t="shared" si="118"/>
        <v>0</v>
      </c>
      <c r="Q139" s="2">
        <f t="shared" si="119"/>
        <v>0</v>
      </c>
      <c r="R139" s="2">
        <f t="shared" si="120"/>
        <v>0</v>
      </c>
    </row>
    <row r="140" spans="3:18" s="2" customFormat="1" x14ac:dyDescent="0.15">
      <c r="C140" s="4"/>
      <c r="D140" s="2">
        <v>16</v>
      </c>
      <c r="E140" s="2">
        <f t="shared" si="107"/>
        <v>426</v>
      </c>
      <c r="F140" s="2">
        <f t="shared" si="108"/>
        <v>95</v>
      </c>
      <c r="G140" s="2">
        <f t="shared" si="109"/>
        <v>95</v>
      </c>
      <c r="H140" s="2">
        <f t="shared" si="110"/>
        <v>84</v>
      </c>
      <c r="I140" s="2">
        <f t="shared" si="111"/>
        <v>0</v>
      </c>
      <c r="J140" s="2">
        <f t="shared" si="112"/>
        <v>0</v>
      </c>
      <c r="K140" s="2">
        <f t="shared" si="113"/>
        <v>0</v>
      </c>
      <c r="L140" s="2">
        <f t="shared" si="114"/>
        <v>0</v>
      </c>
      <c r="M140" s="2">
        <f t="shared" si="115"/>
        <v>0</v>
      </c>
      <c r="N140" s="2">
        <f t="shared" si="116"/>
        <v>0</v>
      </c>
      <c r="O140" s="2">
        <f t="shared" si="117"/>
        <v>0</v>
      </c>
      <c r="P140" s="2">
        <f t="shared" si="118"/>
        <v>0</v>
      </c>
      <c r="Q140" s="2">
        <f t="shared" si="119"/>
        <v>0</v>
      </c>
      <c r="R140" s="2">
        <f t="shared" si="120"/>
        <v>0</v>
      </c>
    </row>
    <row r="141" spans="3:18" s="2" customFormat="1" x14ac:dyDescent="0.15">
      <c r="C141" s="4"/>
      <c r="D141" s="2">
        <v>17</v>
      </c>
      <c r="E141" s="2">
        <f t="shared" si="107"/>
        <v>568</v>
      </c>
      <c r="F141" s="2">
        <f t="shared" si="108"/>
        <v>95</v>
      </c>
      <c r="G141" s="2">
        <f t="shared" si="109"/>
        <v>95</v>
      </c>
      <c r="H141" s="2">
        <f t="shared" si="110"/>
        <v>84</v>
      </c>
      <c r="I141" s="2">
        <f t="shared" si="111"/>
        <v>0</v>
      </c>
      <c r="J141" s="2">
        <f t="shared" si="112"/>
        <v>0</v>
      </c>
      <c r="K141" s="2">
        <f t="shared" si="113"/>
        <v>0</v>
      </c>
      <c r="L141" s="2">
        <f t="shared" si="114"/>
        <v>0</v>
      </c>
      <c r="M141" s="2">
        <f t="shared" si="115"/>
        <v>0</v>
      </c>
      <c r="N141" s="2">
        <f t="shared" si="116"/>
        <v>0</v>
      </c>
      <c r="O141" s="2">
        <f t="shared" si="117"/>
        <v>0</v>
      </c>
      <c r="P141" s="2">
        <f t="shared" si="118"/>
        <v>0</v>
      </c>
      <c r="Q141" s="2">
        <f t="shared" si="119"/>
        <v>0</v>
      </c>
      <c r="R141" s="2">
        <f t="shared" si="120"/>
        <v>0</v>
      </c>
    </row>
    <row r="142" spans="3:18" s="2" customFormat="1" x14ac:dyDescent="0.15">
      <c r="C142" s="4"/>
      <c r="D142" s="2">
        <v>18</v>
      </c>
      <c r="E142" s="2">
        <f t="shared" si="107"/>
        <v>568</v>
      </c>
      <c r="F142" s="2">
        <f t="shared" si="108"/>
        <v>95</v>
      </c>
      <c r="G142" s="2">
        <f t="shared" si="109"/>
        <v>95</v>
      </c>
      <c r="H142" s="2">
        <f t="shared" si="110"/>
        <v>112</v>
      </c>
      <c r="I142" s="2">
        <f t="shared" si="111"/>
        <v>0</v>
      </c>
      <c r="J142" s="2">
        <f t="shared" si="112"/>
        <v>0</v>
      </c>
      <c r="K142" s="2">
        <f t="shared" si="113"/>
        <v>0</v>
      </c>
      <c r="L142" s="2">
        <f t="shared" si="114"/>
        <v>0</v>
      </c>
      <c r="M142" s="2">
        <f t="shared" si="115"/>
        <v>0</v>
      </c>
      <c r="N142" s="2">
        <f t="shared" si="116"/>
        <v>0</v>
      </c>
      <c r="O142" s="2">
        <f t="shared" si="117"/>
        <v>0</v>
      </c>
      <c r="P142" s="2">
        <f t="shared" si="118"/>
        <v>0</v>
      </c>
      <c r="Q142" s="2">
        <f t="shared" si="119"/>
        <v>0</v>
      </c>
      <c r="R142" s="2">
        <f t="shared" si="120"/>
        <v>0</v>
      </c>
    </row>
    <row r="143" spans="3:18" s="2" customFormat="1" x14ac:dyDescent="0.15">
      <c r="C143" s="4"/>
      <c r="D143" s="2">
        <v>19</v>
      </c>
      <c r="E143" s="2">
        <f t="shared" si="107"/>
        <v>568</v>
      </c>
      <c r="F143" s="2">
        <f t="shared" si="108"/>
        <v>114</v>
      </c>
      <c r="G143" s="2">
        <f t="shared" si="109"/>
        <v>95</v>
      </c>
      <c r="H143" s="2">
        <f t="shared" si="110"/>
        <v>112</v>
      </c>
      <c r="I143" s="2">
        <f t="shared" si="111"/>
        <v>0</v>
      </c>
      <c r="J143" s="2">
        <f t="shared" si="112"/>
        <v>0</v>
      </c>
      <c r="K143" s="2">
        <f t="shared" si="113"/>
        <v>0</v>
      </c>
      <c r="L143" s="2">
        <f t="shared" si="114"/>
        <v>0</v>
      </c>
      <c r="M143" s="2">
        <f t="shared" si="115"/>
        <v>0</v>
      </c>
      <c r="N143" s="2">
        <f t="shared" si="116"/>
        <v>0</v>
      </c>
      <c r="O143" s="2">
        <f t="shared" si="117"/>
        <v>0</v>
      </c>
      <c r="P143" s="2">
        <f t="shared" si="118"/>
        <v>0</v>
      </c>
      <c r="Q143" s="2">
        <f t="shared" si="119"/>
        <v>0</v>
      </c>
      <c r="R143" s="2">
        <f t="shared" si="120"/>
        <v>0</v>
      </c>
    </row>
    <row r="144" spans="3:18" s="2" customFormat="1" x14ac:dyDescent="0.15">
      <c r="C144" s="4"/>
      <c r="D144" s="2">
        <v>20</v>
      </c>
      <c r="E144" s="2">
        <f t="shared" si="107"/>
        <v>568</v>
      </c>
      <c r="F144" s="2">
        <f t="shared" si="108"/>
        <v>114</v>
      </c>
      <c r="G144" s="2">
        <f t="shared" si="109"/>
        <v>114</v>
      </c>
      <c r="H144" s="2">
        <f t="shared" si="110"/>
        <v>112</v>
      </c>
      <c r="I144" s="2">
        <f t="shared" si="111"/>
        <v>0</v>
      </c>
      <c r="J144" s="2">
        <f t="shared" si="112"/>
        <v>0</v>
      </c>
      <c r="K144" s="2">
        <f t="shared" si="113"/>
        <v>0</v>
      </c>
      <c r="L144" s="2">
        <f t="shared" si="114"/>
        <v>0</v>
      </c>
      <c r="M144" s="2">
        <f t="shared" si="115"/>
        <v>0</v>
      </c>
      <c r="N144" s="2">
        <f t="shared" si="116"/>
        <v>0</v>
      </c>
      <c r="O144" s="2">
        <f t="shared" si="117"/>
        <v>0</v>
      </c>
      <c r="P144" s="2">
        <f t="shared" si="118"/>
        <v>0</v>
      </c>
      <c r="Q144" s="2">
        <f t="shared" si="119"/>
        <v>0</v>
      </c>
      <c r="R144" s="2">
        <f t="shared" si="120"/>
        <v>0</v>
      </c>
    </row>
    <row r="145" spans="3:18" s="2" customFormat="1" x14ac:dyDescent="0.15">
      <c r="C145" s="4"/>
      <c r="D145" s="2">
        <v>21</v>
      </c>
      <c r="E145" s="2">
        <f t="shared" si="107"/>
        <v>568</v>
      </c>
      <c r="F145" s="2">
        <f t="shared" si="108"/>
        <v>143</v>
      </c>
      <c r="G145" s="2">
        <f t="shared" si="109"/>
        <v>114</v>
      </c>
      <c r="H145" s="2">
        <f t="shared" si="110"/>
        <v>112</v>
      </c>
      <c r="I145" s="2">
        <f t="shared" si="111"/>
        <v>0</v>
      </c>
      <c r="J145" s="2">
        <f t="shared" si="112"/>
        <v>0</v>
      </c>
      <c r="K145" s="2">
        <f t="shared" si="113"/>
        <v>0</v>
      </c>
      <c r="L145" s="2">
        <f t="shared" si="114"/>
        <v>0</v>
      </c>
      <c r="M145" s="2">
        <f t="shared" si="115"/>
        <v>0</v>
      </c>
      <c r="N145" s="2">
        <f t="shared" si="116"/>
        <v>0</v>
      </c>
      <c r="O145" s="2">
        <f t="shared" si="117"/>
        <v>0</v>
      </c>
      <c r="P145" s="2">
        <f t="shared" si="118"/>
        <v>0</v>
      </c>
      <c r="Q145" s="2">
        <f t="shared" si="119"/>
        <v>0</v>
      </c>
      <c r="R145" s="2">
        <f t="shared" si="120"/>
        <v>0</v>
      </c>
    </row>
    <row r="146" spans="3:18" s="2" customFormat="1" x14ac:dyDescent="0.15">
      <c r="C146" s="4"/>
      <c r="D146" s="2">
        <v>22</v>
      </c>
      <c r="E146" s="2">
        <f t="shared" si="107"/>
        <v>568</v>
      </c>
      <c r="F146" s="2">
        <f t="shared" si="108"/>
        <v>143</v>
      </c>
      <c r="G146" s="2">
        <f t="shared" si="109"/>
        <v>143</v>
      </c>
      <c r="H146" s="2">
        <f t="shared" si="110"/>
        <v>112</v>
      </c>
      <c r="I146" s="2">
        <f t="shared" si="111"/>
        <v>0</v>
      </c>
      <c r="J146" s="2">
        <f t="shared" si="112"/>
        <v>0</v>
      </c>
      <c r="K146" s="2">
        <f t="shared" si="113"/>
        <v>0</v>
      </c>
      <c r="L146" s="2">
        <f t="shared" si="114"/>
        <v>0</v>
      </c>
      <c r="M146" s="2">
        <f t="shared" si="115"/>
        <v>0</v>
      </c>
      <c r="N146" s="2">
        <f t="shared" si="116"/>
        <v>0</v>
      </c>
      <c r="O146" s="2">
        <f t="shared" si="117"/>
        <v>0</v>
      </c>
      <c r="P146" s="2">
        <f t="shared" si="118"/>
        <v>0</v>
      </c>
      <c r="Q146" s="2">
        <f t="shared" si="119"/>
        <v>0</v>
      </c>
      <c r="R146" s="2">
        <f t="shared" si="120"/>
        <v>0</v>
      </c>
    </row>
    <row r="147" spans="3:18" s="2" customFormat="1" x14ac:dyDescent="0.15">
      <c r="C147" s="4"/>
      <c r="D147" s="2">
        <v>23</v>
      </c>
      <c r="E147" s="2">
        <f t="shared" si="107"/>
        <v>785</v>
      </c>
      <c r="F147" s="2">
        <f t="shared" si="108"/>
        <v>143</v>
      </c>
      <c r="G147" s="2">
        <f t="shared" si="109"/>
        <v>143</v>
      </c>
      <c r="H147" s="2">
        <f t="shared" si="110"/>
        <v>112</v>
      </c>
      <c r="I147" s="2">
        <f t="shared" si="111"/>
        <v>0</v>
      </c>
      <c r="J147" s="2">
        <f t="shared" si="112"/>
        <v>0</v>
      </c>
      <c r="K147" s="2">
        <f t="shared" si="113"/>
        <v>0</v>
      </c>
      <c r="L147" s="2">
        <f t="shared" si="114"/>
        <v>0</v>
      </c>
      <c r="M147" s="2">
        <f t="shared" si="115"/>
        <v>0</v>
      </c>
      <c r="N147" s="2">
        <f t="shared" si="116"/>
        <v>0</v>
      </c>
      <c r="O147" s="2">
        <f t="shared" si="117"/>
        <v>0</v>
      </c>
      <c r="P147" s="2">
        <f t="shared" si="118"/>
        <v>0</v>
      </c>
      <c r="Q147" s="2">
        <f t="shared" si="119"/>
        <v>0</v>
      </c>
      <c r="R147" s="2">
        <f t="shared" si="120"/>
        <v>0</v>
      </c>
    </row>
    <row r="148" spans="3:18" s="2" customFormat="1" x14ac:dyDescent="0.15">
      <c r="C148" s="4"/>
      <c r="D148" s="2">
        <v>24</v>
      </c>
      <c r="E148" s="2">
        <f t="shared" si="107"/>
        <v>785</v>
      </c>
      <c r="F148" s="2">
        <f t="shared" si="108"/>
        <v>143</v>
      </c>
      <c r="G148" s="2">
        <f t="shared" si="109"/>
        <v>143</v>
      </c>
      <c r="H148" s="2">
        <f t="shared" si="110"/>
        <v>155</v>
      </c>
      <c r="I148" s="2">
        <f t="shared" si="111"/>
        <v>0</v>
      </c>
      <c r="J148" s="2">
        <f t="shared" si="112"/>
        <v>0</v>
      </c>
      <c r="K148" s="2">
        <f t="shared" si="113"/>
        <v>0</v>
      </c>
      <c r="L148" s="2">
        <f t="shared" si="114"/>
        <v>0</v>
      </c>
      <c r="M148" s="2">
        <f t="shared" si="115"/>
        <v>0</v>
      </c>
      <c r="N148" s="2">
        <f t="shared" si="116"/>
        <v>0</v>
      </c>
      <c r="O148" s="2">
        <f t="shared" si="117"/>
        <v>0</v>
      </c>
      <c r="P148" s="2">
        <f t="shared" si="118"/>
        <v>0</v>
      </c>
      <c r="Q148" s="2">
        <f t="shared" si="119"/>
        <v>0</v>
      </c>
      <c r="R148" s="2">
        <f t="shared" si="120"/>
        <v>0</v>
      </c>
    </row>
    <row r="149" spans="3:18" s="2" customFormat="1" x14ac:dyDescent="0.15">
      <c r="C149" s="4"/>
      <c r="D149" s="2">
        <v>25</v>
      </c>
      <c r="E149" s="2">
        <f t="shared" si="107"/>
        <v>785</v>
      </c>
      <c r="F149" s="2">
        <f t="shared" si="108"/>
        <v>172</v>
      </c>
      <c r="G149" s="2">
        <f t="shared" si="109"/>
        <v>143</v>
      </c>
      <c r="H149" s="2">
        <f t="shared" si="110"/>
        <v>155</v>
      </c>
      <c r="I149" s="2">
        <f t="shared" si="111"/>
        <v>0</v>
      </c>
      <c r="J149" s="2">
        <f t="shared" si="112"/>
        <v>0</v>
      </c>
      <c r="K149" s="2">
        <f t="shared" si="113"/>
        <v>0</v>
      </c>
      <c r="L149" s="2">
        <f t="shared" si="114"/>
        <v>0</v>
      </c>
      <c r="M149" s="2">
        <f t="shared" si="115"/>
        <v>0</v>
      </c>
      <c r="N149" s="2">
        <f t="shared" si="116"/>
        <v>0</v>
      </c>
      <c r="O149" s="2">
        <f t="shared" si="117"/>
        <v>0</v>
      </c>
      <c r="P149" s="2">
        <f t="shared" si="118"/>
        <v>0</v>
      </c>
      <c r="Q149" s="2">
        <f t="shared" si="119"/>
        <v>0</v>
      </c>
      <c r="R149" s="2">
        <f t="shared" si="120"/>
        <v>0</v>
      </c>
    </row>
    <row r="150" spans="3:18" s="2" customFormat="1" x14ac:dyDescent="0.15">
      <c r="C150" s="4"/>
      <c r="D150" s="2">
        <v>26</v>
      </c>
      <c r="E150" s="2">
        <f t="shared" si="107"/>
        <v>785</v>
      </c>
      <c r="F150" s="2">
        <f t="shared" si="108"/>
        <v>172</v>
      </c>
      <c r="G150" s="2">
        <f t="shared" si="109"/>
        <v>172</v>
      </c>
      <c r="H150" s="2">
        <f t="shared" si="110"/>
        <v>155</v>
      </c>
      <c r="I150" s="2">
        <f t="shared" si="111"/>
        <v>0</v>
      </c>
      <c r="J150" s="2">
        <f t="shared" si="112"/>
        <v>0</v>
      </c>
      <c r="K150" s="2">
        <f t="shared" si="113"/>
        <v>0</v>
      </c>
      <c r="L150" s="2">
        <f t="shared" si="114"/>
        <v>0</v>
      </c>
      <c r="M150" s="2">
        <f t="shared" si="115"/>
        <v>0</v>
      </c>
      <c r="N150" s="2">
        <f t="shared" si="116"/>
        <v>0</v>
      </c>
      <c r="O150" s="2">
        <f t="shared" si="117"/>
        <v>0</v>
      </c>
      <c r="P150" s="2">
        <f t="shared" si="118"/>
        <v>0</v>
      </c>
      <c r="Q150" s="2">
        <f t="shared" si="119"/>
        <v>0</v>
      </c>
      <c r="R150" s="2">
        <f t="shared" si="120"/>
        <v>0</v>
      </c>
    </row>
    <row r="151" spans="3:18" s="2" customFormat="1" x14ac:dyDescent="0.15">
      <c r="C151" s="4"/>
      <c r="D151" s="2">
        <v>27</v>
      </c>
      <c r="E151" s="2">
        <f t="shared" si="107"/>
        <v>1002</v>
      </c>
      <c r="F151" s="2">
        <f t="shared" si="108"/>
        <v>172</v>
      </c>
      <c r="G151" s="2">
        <f t="shared" si="109"/>
        <v>172</v>
      </c>
      <c r="H151" s="2">
        <f t="shared" si="110"/>
        <v>155</v>
      </c>
      <c r="I151" s="2">
        <f t="shared" si="111"/>
        <v>0</v>
      </c>
      <c r="J151" s="2">
        <f t="shared" si="112"/>
        <v>0</v>
      </c>
      <c r="K151" s="2">
        <f t="shared" si="113"/>
        <v>0</v>
      </c>
      <c r="L151" s="2">
        <f t="shared" si="114"/>
        <v>0</v>
      </c>
      <c r="M151" s="2">
        <f t="shared" si="115"/>
        <v>0</v>
      </c>
      <c r="N151" s="2">
        <f t="shared" si="116"/>
        <v>0</v>
      </c>
      <c r="O151" s="2">
        <f t="shared" si="117"/>
        <v>0</v>
      </c>
      <c r="P151" s="2">
        <f t="shared" si="118"/>
        <v>0</v>
      </c>
      <c r="Q151" s="2">
        <f t="shared" si="119"/>
        <v>0</v>
      </c>
      <c r="R151" s="2">
        <f t="shared" si="120"/>
        <v>0</v>
      </c>
    </row>
    <row r="152" spans="3:18" s="2" customFormat="1" x14ac:dyDescent="0.15">
      <c r="C152" s="4"/>
      <c r="D152" s="2">
        <v>28</v>
      </c>
      <c r="E152" s="2">
        <f t="shared" si="107"/>
        <v>1002</v>
      </c>
      <c r="F152" s="2">
        <f t="shared" si="108"/>
        <v>172</v>
      </c>
      <c r="G152" s="2">
        <f t="shared" si="109"/>
        <v>172</v>
      </c>
      <c r="H152" s="2">
        <f t="shared" si="110"/>
        <v>198</v>
      </c>
      <c r="I152" s="2">
        <f t="shared" si="111"/>
        <v>0</v>
      </c>
      <c r="J152" s="2">
        <f t="shared" si="112"/>
        <v>0</v>
      </c>
      <c r="K152" s="2">
        <f t="shared" si="113"/>
        <v>0</v>
      </c>
      <c r="L152" s="2">
        <f t="shared" si="114"/>
        <v>0</v>
      </c>
      <c r="M152" s="2">
        <f t="shared" si="115"/>
        <v>0</v>
      </c>
      <c r="N152" s="2">
        <f t="shared" si="116"/>
        <v>0</v>
      </c>
      <c r="O152" s="2">
        <f t="shared" si="117"/>
        <v>0</v>
      </c>
      <c r="P152" s="2">
        <f t="shared" si="118"/>
        <v>0</v>
      </c>
      <c r="Q152" s="2">
        <f t="shared" si="119"/>
        <v>0</v>
      </c>
      <c r="R152" s="2">
        <f t="shared" si="120"/>
        <v>0</v>
      </c>
    </row>
    <row r="153" spans="3:18" s="2" customFormat="1" x14ac:dyDescent="0.15">
      <c r="C153" s="4"/>
      <c r="D153" s="2">
        <v>29</v>
      </c>
      <c r="E153" s="2">
        <f t="shared" si="107"/>
        <v>1002</v>
      </c>
      <c r="F153" s="2">
        <f t="shared" si="108"/>
        <v>201</v>
      </c>
      <c r="G153" s="2">
        <f t="shared" si="109"/>
        <v>172</v>
      </c>
      <c r="H153" s="2">
        <f t="shared" si="110"/>
        <v>198</v>
      </c>
      <c r="I153" s="2">
        <f t="shared" si="111"/>
        <v>0</v>
      </c>
      <c r="J153" s="2">
        <f t="shared" si="112"/>
        <v>0</v>
      </c>
      <c r="K153" s="2">
        <f t="shared" si="113"/>
        <v>0</v>
      </c>
      <c r="L153" s="2">
        <f t="shared" si="114"/>
        <v>0</v>
      </c>
      <c r="M153" s="2">
        <f t="shared" si="115"/>
        <v>0</v>
      </c>
      <c r="N153" s="2">
        <f t="shared" si="116"/>
        <v>0</v>
      </c>
      <c r="O153" s="2">
        <f t="shared" si="117"/>
        <v>0</v>
      </c>
      <c r="P153" s="2">
        <f t="shared" si="118"/>
        <v>0</v>
      </c>
      <c r="Q153" s="2">
        <f t="shared" si="119"/>
        <v>0</v>
      </c>
      <c r="R153" s="2">
        <f t="shared" si="120"/>
        <v>0</v>
      </c>
    </row>
    <row r="154" spans="3:18" s="2" customFormat="1" x14ac:dyDescent="0.15">
      <c r="C154" s="4"/>
      <c r="D154" s="2">
        <v>30</v>
      </c>
      <c r="E154" s="2">
        <f t="shared" si="107"/>
        <v>1002</v>
      </c>
      <c r="F154" s="2">
        <f t="shared" si="108"/>
        <v>201</v>
      </c>
      <c r="G154" s="2">
        <f t="shared" si="109"/>
        <v>201</v>
      </c>
      <c r="H154" s="2">
        <f t="shared" si="110"/>
        <v>198</v>
      </c>
      <c r="I154" s="2">
        <f t="shared" si="111"/>
        <v>0</v>
      </c>
      <c r="J154" s="2">
        <f t="shared" si="112"/>
        <v>0</v>
      </c>
      <c r="K154" s="2">
        <f t="shared" si="113"/>
        <v>0</v>
      </c>
      <c r="L154" s="2">
        <f t="shared" si="114"/>
        <v>0</v>
      </c>
      <c r="M154" s="2">
        <f t="shared" si="115"/>
        <v>0</v>
      </c>
      <c r="N154" s="2">
        <f t="shared" si="116"/>
        <v>0</v>
      </c>
      <c r="O154" s="2">
        <f t="shared" si="117"/>
        <v>0</v>
      </c>
      <c r="P154" s="2">
        <f t="shared" si="118"/>
        <v>0</v>
      </c>
      <c r="Q154" s="2">
        <f t="shared" si="119"/>
        <v>0</v>
      </c>
      <c r="R154" s="2">
        <f t="shared" si="120"/>
        <v>0</v>
      </c>
    </row>
    <row r="155" spans="3:18" s="2" customFormat="1" x14ac:dyDescent="0.15">
      <c r="C155" s="4"/>
      <c r="D155" s="2">
        <v>31</v>
      </c>
      <c r="E155" s="2">
        <f t="shared" si="107"/>
        <v>1002</v>
      </c>
      <c r="F155" s="2">
        <f t="shared" si="108"/>
        <v>240</v>
      </c>
      <c r="G155" s="2">
        <f t="shared" si="109"/>
        <v>201</v>
      </c>
      <c r="H155" s="2">
        <f t="shared" si="110"/>
        <v>198</v>
      </c>
      <c r="I155" s="2">
        <f t="shared" si="111"/>
        <v>0</v>
      </c>
      <c r="J155" s="2">
        <f t="shared" si="112"/>
        <v>0</v>
      </c>
      <c r="K155" s="2">
        <f t="shared" si="113"/>
        <v>0</v>
      </c>
      <c r="L155" s="2">
        <f t="shared" si="114"/>
        <v>0</v>
      </c>
      <c r="M155" s="2">
        <f t="shared" si="115"/>
        <v>0</v>
      </c>
      <c r="N155" s="2">
        <f t="shared" si="116"/>
        <v>0</v>
      </c>
      <c r="O155" s="2">
        <f t="shared" si="117"/>
        <v>0</v>
      </c>
      <c r="P155" s="2">
        <f t="shared" si="118"/>
        <v>0</v>
      </c>
      <c r="Q155" s="2">
        <f t="shared" si="119"/>
        <v>0</v>
      </c>
      <c r="R155" s="2">
        <f t="shared" si="120"/>
        <v>0</v>
      </c>
    </row>
    <row r="156" spans="3:18" s="2" customFormat="1" x14ac:dyDescent="0.15">
      <c r="C156" s="4"/>
      <c r="D156" s="2">
        <v>32</v>
      </c>
      <c r="E156" s="2">
        <f t="shared" si="107"/>
        <v>1002</v>
      </c>
      <c r="F156" s="2">
        <f t="shared" si="108"/>
        <v>240</v>
      </c>
      <c r="G156" s="2">
        <f t="shared" si="109"/>
        <v>240</v>
      </c>
      <c r="H156" s="2">
        <f t="shared" si="110"/>
        <v>198</v>
      </c>
      <c r="I156" s="2">
        <f t="shared" si="111"/>
        <v>0</v>
      </c>
      <c r="J156" s="2">
        <f t="shared" si="112"/>
        <v>0</v>
      </c>
      <c r="K156" s="2">
        <f t="shared" si="113"/>
        <v>0</v>
      </c>
      <c r="L156" s="2">
        <f t="shared" si="114"/>
        <v>0</v>
      </c>
      <c r="M156" s="2">
        <f t="shared" si="115"/>
        <v>0</v>
      </c>
      <c r="N156" s="2">
        <f t="shared" si="116"/>
        <v>0</v>
      </c>
      <c r="O156" s="2">
        <f t="shared" si="117"/>
        <v>0</v>
      </c>
      <c r="P156" s="2">
        <f t="shared" si="118"/>
        <v>0</v>
      </c>
      <c r="Q156" s="2">
        <f t="shared" si="119"/>
        <v>0</v>
      </c>
      <c r="R156" s="2">
        <f t="shared" si="120"/>
        <v>0</v>
      </c>
    </row>
    <row r="157" spans="3:18" s="2" customFormat="1" x14ac:dyDescent="0.15">
      <c r="C157" s="4"/>
      <c r="D157" s="2">
        <v>33</v>
      </c>
      <c r="E157" s="2">
        <f t="shared" si="107"/>
        <v>1294</v>
      </c>
      <c r="F157" s="2">
        <f t="shared" si="108"/>
        <v>240</v>
      </c>
      <c r="G157" s="2">
        <f t="shared" si="109"/>
        <v>240</v>
      </c>
      <c r="H157" s="2">
        <f t="shared" si="110"/>
        <v>198</v>
      </c>
      <c r="I157" s="2">
        <f t="shared" si="111"/>
        <v>0</v>
      </c>
      <c r="J157" s="2">
        <f t="shared" si="112"/>
        <v>0</v>
      </c>
      <c r="K157" s="2">
        <f t="shared" si="113"/>
        <v>0</v>
      </c>
      <c r="L157" s="2">
        <f t="shared" si="114"/>
        <v>0</v>
      </c>
      <c r="M157" s="2">
        <f t="shared" si="115"/>
        <v>0</v>
      </c>
      <c r="N157" s="2">
        <f t="shared" si="116"/>
        <v>0</v>
      </c>
      <c r="O157" s="2">
        <f t="shared" si="117"/>
        <v>0</v>
      </c>
      <c r="P157" s="2">
        <f t="shared" si="118"/>
        <v>0</v>
      </c>
      <c r="Q157" s="2">
        <f t="shared" si="119"/>
        <v>0</v>
      </c>
      <c r="R157" s="2">
        <f t="shared" si="120"/>
        <v>0</v>
      </c>
    </row>
    <row r="158" spans="3:18" s="2" customFormat="1" x14ac:dyDescent="0.15">
      <c r="C158" s="4"/>
      <c r="D158" s="2">
        <v>34</v>
      </c>
      <c r="E158" s="2">
        <f t="shared" si="107"/>
        <v>1294</v>
      </c>
      <c r="F158" s="2">
        <f t="shared" si="108"/>
        <v>240</v>
      </c>
      <c r="G158" s="2">
        <f t="shared" si="109"/>
        <v>240</v>
      </c>
      <c r="H158" s="2">
        <f t="shared" si="110"/>
        <v>256</v>
      </c>
      <c r="I158" s="2">
        <f t="shared" si="111"/>
        <v>0</v>
      </c>
      <c r="J158" s="2">
        <f t="shared" si="112"/>
        <v>0</v>
      </c>
      <c r="K158" s="2">
        <f t="shared" si="113"/>
        <v>0</v>
      </c>
      <c r="L158" s="2">
        <f t="shared" si="114"/>
        <v>0</v>
      </c>
      <c r="M158" s="2">
        <f t="shared" si="115"/>
        <v>0</v>
      </c>
      <c r="N158" s="2">
        <f t="shared" si="116"/>
        <v>0</v>
      </c>
      <c r="O158" s="2">
        <f t="shared" si="117"/>
        <v>0</v>
      </c>
      <c r="P158" s="2">
        <f t="shared" si="118"/>
        <v>0</v>
      </c>
      <c r="Q158" s="2">
        <f t="shared" si="119"/>
        <v>0</v>
      </c>
      <c r="R158" s="2">
        <f t="shared" si="120"/>
        <v>0</v>
      </c>
    </row>
    <row r="159" spans="3:18" s="2" customFormat="1" x14ac:dyDescent="0.15">
      <c r="C159" s="4"/>
      <c r="D159" s="2">
        <v>35</v>
      </c>
      <c r="E159" s="2">
        <f t="shared" si="107"/>
        <v>1294</v>
      </c>
      <c r="F159" s="2">
        <f t="shared" si="108"/>
        <v>279</v>
      </c>
      <c r="G159" s="2">
        <f t="shared" si="109"/>
        <v>240</v>
      </c>
      <c r="H159" s="2">
        <f t="shared" si="110"/>
        <v>256</v>
      </c>
      <c r="I159" s="2">
        <f t="shared" si="111"/>
        <v>0</v>
      </c>
      <c r="J159" s="2">
        <f t="shared" si="112"/>
        <v>0</v>
      </c>
      <c r="K159" s="2">
        <f t="shared" si="113"/>
        <v>0</v>
      </c>
      <c r="L159" s="2">
        <f t="shared" si="114"/>
        <v>0</v>
      </c>
      <c r="M159" s="2">
        <f t="shared" si="115"/>
        <v>0</v>
      </c>
      <c r="N159" s="2">
        <f t="shared" si="116"/>
        <v>0</v>
      </c>
      <c r="O159" s="2">
        <f t="shared" si="117"/>
        <v>0</v>
      </c>
      <c r="P159" s="2">
        <f t="shared" si="118"/>
        <v>0</v>
      </c>
      <c r="Q159" s="2">
        <f t="shared" si="119"/>
        <v>0</v>
      </c>
      <c r="R159" s="2">
        <f t="shared" si="120"/>
        <v>0</v>
      </c>
    </row>
    <row r="160" spans="3:18" s="2" customFormat="1" x14ac:dyDescent="0.15">
      <c r="C160" s="4"/>
      <c r="D160" s="2">
        <v>36</v>
      </c>
      <c r="E160" s="2">
        <f t="shared" si="107"/>
        <v>1294</v>
      </c>
      <c r="F160" s="2">
        <f t="shared" si="108"/>
        <v>279</v>
      </c>
      <c r="G160" s="2">
        <f t="shared" si="109"/>
        <v>279</v>
      </c>
      <c r="H160" s="2">
        <f t="shared" si="110"/>
        <v>256</v>
      </c>
      <c r="I160" s="2">
        <f t="shared" si="111"/>
        <v>0</v>
      </c>
      <c r="J160" s="2">
        <f t="shared" si="112"/>
        <v>0</v>
      </c>
      <c r="K160" s="2">
        <f t="shared" si="113"/>
        <v>0</v>
      </c>
      <c r="L160" s="2">
        <f t="shared" si="114"/>
        <v>0</v>
      </c>
      <c r="M160" s="2">
        <f t="shared" si="115"/>
        <v>0</v>
      </c>
      <c r="N160" s="2">
        <f t="shared" si="116"/>
        <v>0</v>
      </c>
      <c r="O160" s="2">
        <f t="shared" si="117"/>
        <v>0</v>
      </c>
      <c r="P160" s="2">
        <f t="shared" si="118"/>
        <v>0</v>
      </c>
      <c r="Q160" s="2">
        <f t="shared" si="119"/>
        <v>0</v>
      </c>
      <c r="R160" s="2">
        <f t="shared" si="120"/>
        <v>0</v>
      </c>
    </row>
    <row r="161" spans="3:18" s="2" customFormat="1" x14ac:dyDescent="0.15">
      <c r="C161" s="4"/>
      <c r="D161" s="2">
        <v>37</v>
      </c>
      <c r="E161" s="2">
        <f t="shared" si="107"/>
        <v>1586</v>
      </c>
      <c r="F161" s="2">
        <f t="shared" si="108"/>
        <v>279</v>
      </c>
      <c r="G161" s="2">
        <f t="shared" si="109"/>
        <v>279</v>
      </c>
      <c r="H161" s="2">
        <f t="shared" si="110"/>
        <v>256</v>
      </c>
      <c r="I161" s="2">
        <f t="shared" si="111"/>
        <v>0</v>
      </c>
      <c r="J161" s="2">
        <f t="shared" si="112"/>
        <v>0</v>
      </c>
      <c r="K161" s="2">
        <f t="shared" si="113"/>
        <v>0</v>
      </c>
      <c r="L161" s="2">
        <f t="shared" si="114"/>
        <v>0</v>
      </c>
      <c r="M161" s="2">
        <f t="shared" si="115"/>
        <v>0</v>
      </c>
      <c r="N161" s="2">
        <f t="shared" si="116"/>
        <v>0</v>
      </c>
      <c r="O161" s="2">
        <f t="shared" si="117"/>
        <v>0</v>
      </c>
      <c r="P161" s="2">
        <f t="shared" si="118"/>
        <v>0</v>
      </c>
      <c r="Q161" s="2">
        <f t="shared" si="119"/>
        <v>0</v>
      </c>
      <c r="R161" s="2">
        <f t="shared" si="120"/>
        <v>0</v>
      </c>
    </row>
    <row r="162" spans="3:18" s="2" customFormat="1" x14ac:dyDescent="0.15">
      <c r="C162" s="4"/>
      <c r="D162" s="2">
        <v>38</v>
      </c>
      <c r="E162" s="2">
        <f t="shared" si="107"/>
        <v>1586</v>
      </c>
      <c r="F162" s="2">
        <f t="shared" si="108"/>
        <v>279</v>
      </c>
      <c r="G162" s="2">
        <f t="shared" si="109"/>
        <v>279</v>
      </c>
      <c r="H162" s="2">
        <f t="shared" si="110"/>
        <v>314</v>
      </c>
      <c r="I162" s="2">
        <f t="shared" si="111"/>
        <v>0</v>
      </c>
      <c r="J162" s="2">
        <f t="shared" si="112"/>
        <v>0</v>
      </c>
      <c r="K162" s="2">
        <f t="shared" si="113"/>
        <v>0</v>
      </c>
      <c r="L162" s="2">
        <f t="shared" si="114"/>
        <v>0</v>
      </c>
      <c r="M162" s="2">
        <f t="shared" si="115"/>
        <v>0</v>
      </c>
      <c r="N162" s="2">
        <f t="shared" si="116"/>
        <v>0</v>
      </c>
      <c r="O162" s="2">
        <f t="shared" si="117"/>
        <v>0</v>
      </c>
      <c r="P162" s="2">
        <f t="shared" si="118"/>
        <v>0</v>
      </c>
      <c r="Q162" s="2">
        <f t="shared" si="119"/>
        <v>0</v>
      </c>
      <c r="R162" s="2">
        <f t="shared" si="120"/>
        <v>0</v>
      </c>
    </row>
    <row r="163" spans="3:18" s="2" customFormat="1" x14ac:dyDescent="0.15">
      <c r="C163" s="4"/>
      <c r="D163" s="2">
        <v>39</v>
      </c>
      <c r="E163" s="2">
        <f t="shared" si="107"/>
        <v>1586</v>
      </c>
      <c r="F163" s="2">
        <f t="shared" si="108"/>
        <v>318</v>
      </c>
      <c r="G163" s="2">
        <f t="shared" si="109"/>
        <v>279</v>
      </c>
      <c r="H163" s="2">
        <f t="shared" si="110"/>
        <v>314</v>
      </c>
      <c r="I163" s="2">
        <f t="shared" si="111"/>
        <v>0</v>
      </c>
      <c r="J163" s="2">
        <f t="shared" si="112"/>
        <v>0</v>
      </c>
      <c r="K163" s="2">
        <f t="shared" si="113"/>
        <v>0</v>
      </c>
      <c r="L163" s="2">
        <f t="shared" si="114"/>
        <v>0</v>
      </c>
      <c r="M163" s="2">
        <f t="shared" si="115"/>
        <v>0</v>
      </c>
      <c r="N163" s="2">
        <f t="shared" si="116"/>
        <v>0</v>
      </c>
      <c r="O163" s="2">
        <f t="shared" si="117"/>
        <v>0</v>
      </c>
      <c r="P163" s="2">
        <f t="shared" si="118"/>
        <v>0</v>
      </c>
      <c r="Q163" s="2">
        <f t="shared" si="119"/>
        <v>0</v>
      </c>
      <c r="R163" s="2">
        <f t="shared" si="120"/>
        <v>0</v>
      </c>
    </row>
    <row r="164" spans="3:18" s="2" customFormat="1" x14ac:dyDescent="0.15">
      <c r="C164" s="4"/>
      <c r="D164" s="2">
        <v>40</v>
      </c>
      <c r="E164" s="2">
        <f t="shared" si="107"/>
        <v>1586</v>
      </c>
      <c r="F164" s="2">
        <f t="shared" si="108"/>
        <v>318</v>
      </c>
      <c r="G164" s="2">
        <f t="shared" si="109"/>
        <v>318</v>
      </c>
      <c r="H164" s="2">
        <f t="shared" si="110"/>
        <v>314</v>
      </c>
      <c r="I164" s="2">
        <f t="shared" si="111"/>
        <v>0</v>
      </c>
      <c r="J164" s="2">
        <f t="shared" si="112"/>
        <v>0</v>
      </c>
      <c r="K164" s="2">
        <f t="shared" si="113"/>
        <v>0</v>
      </c>
      <c r="L164" s="2">
        <f t="shared" si="114"/>
        <v>0</v>
      </c>
      <c r="M164" s="2">
        <f t="shared" si="115"/>
        <v>0</v>
      </c>
      <c r="N164" s="2">
        <f t="shared" si="116"/>
        <v>0</v>
      </c>
      <c r="O164" s="2">
        <f t="shared" si="117"/>
        <v>0</v>
      </c>
      <c r="P164" s="2">
        <f t="shared" si="118"/>
        <v>0</v>
      </c>
      <c r="Q164" s="2">
        <f t="shared" si="119"/>
        <v>0</v>
      </c>
      <c r="R164" s="2">
        <f t="shared" si="120"/>
        <v>0</v>
      </c>
    </row>
    <row r="165" spans="3:18" s="2" customFormat="1" x14ac:dyDescent="0.15">
      <c r="C165" s="4"/>
      <c r="D165" s="2">
        <v>41</v>
      </c>
      <c r="E165" s="2">
        <f t="shared" si="107"/>
        <v>1586</v>
      </c>
      <c r="F165" s="2">
        <f t="shared" si="108"/>
        <v>367</v>
      </c>
      <c r="G165" s="2">
        <f t="shared" si="109"/>
        <v>318</v>
      </c>
      <c r="H165" s="2">
        <f t="shared" si="110"/>
        <v>314</v>
      </c>
      <c r="I165" s="2">
        <f t="shared" si="111"/>
        <v>0</v>
      </c>
      <c r="J165" s="2">
        <f t="shared" si="112"/>
        <v>0</v>
      </c>
      <c r="K165" s="2">
        <f t="shared" si="113"/>
        <v>0</v>
      </c>
      <c r="L165" s="2">
        <f t="shared" si="114"/>
        <v>0</v>
      </c>
      <c r="M165" s="2">
        <f t="shared" si="115"/>
        <v>0</v>
      </c>
      <c r="N165" s="2">
        <f t="shared" si="116"/>
        <v>0</v>
      </c>
      <c r="O165" s="2">
        <f t="shared" si="117"/>
        <v>0</v>
      </c>
      <c r="P165" s="2">
        <f t="shared" si="118"/>
        <v>0</v>
      </c>
      <c r="Q165" s="2">
        <f t="shared" si="119"/>
        <v>0</v>
      </c>
      <c r="R165" s="2">
        <f t="shared" si="120"/>
        <v>0</v>
      </c>
    </row>
    <row r="166" spans="3:18" s="2" customFormat="1" x14ac:dyDescent="0.15">
      <c r="C166" s="4"/>
      <c r="D166" s="2">
        <v>42</v>
      </c>
      <c r="E166" s="2">
        <f t="shared" si="107"/>
        <v>1586</v>
      </c>
      <c r="F166" s="2">
        <f t="shared" si="108"/>
        <v>367</v>
      </c>
      <c r="G166" s="2">
        <f t="shared" si="109"/>
        <v>367</v>
      </c>
      <c r="H166" s="2">
        <f t="shared" si="110"/>
        <v>314</v>
      </c>
      <c r="I166" s="2">
        <f t="shared" si="111"/>
        <v>0</v>
      </c>
      <c r="J166" s="2">
        <f t="shared" si="112"/>
        <v>0</v>
      </c>
      <c r="K166" s="2">
        <f t="shared" si="113"/>
        <v>0</v>
      </c>
      <c r="L166" s="2">
        <f t="shared" si="114"/>
        <v>0</v>
      </c>
      <c r="M166" s="2">
        <f t="shared" si="115"/>
        <v>0</v>
      </c>
      <c r="N166" s="2">
        <f t="shared" si="116"/>
        <v>0</v>
      </c>
      <c r="O166" s="2">
        <f t="shared" si="117"/>
        <v>0</v>
      </c>
      <c r="P166" s="2">
        <f t="shared" si="118"/>
        <v>0</v>
      </c>
      <c r="Q166" s="2">
        <f t="shared" si="119"/>
        <v>0</v>
      </c>
      <c r="R166" s="2">
        <f t="shared" si="120"/>
        <v>0</v>
      </c>
    </row>
    <row r="167" spans="3:18" s="2" customFormat="1" x14ac:dyDescent="0.15">
      <c r="C167" s="4"/>
      <c r="D167" s="2">
        <v>43</v>
      </c>
      <c r="E167" s="2">
        <f t="shared" si="107"/>
        <v>1953</v>
      </c>
      <c r="F167" s="2">
        <f t="shared" si="108"/>
        <v>367</v>
      </c>
      <c r="G167" s="2">
        <f t="shared" si="109"/>
        <v>367</v>
      </c>
      <c r="H167" s="2">
        <f t="shared" si="110"/>
        <v>314</v>
      </c>
      <c r="I167" s="2">
        <f t="shared" si="111"/>
        <v>0</v>
      </c>
      <c r="J167" s="2">
        <f t="shared" si="112"/>
        <v>0</v>
      </c>
      <c r="K167" s="2">
        <f t="shared" si="113"/>
        <v>0</v>
      </c>
      <c r="L167" s="2">
        <f t="shared" si="114"/>
        <v>0</v>
      </c>
      <c r="M167" s="2">
        <f t="shared" si="115"/>
        <v>0</v>
      </c>
      <c r="N167" s="2">
        <f t="shared" si="116"/>
        <v>0</v>
      </c>
      <c r="O167" s="2">
        <f t="shared" si="117"/>
        <v>0</v>
      </c>
      <c r="P167" s="2">
        <f t="shared" si="118"/>
        <v>0</v>
      </c>
      <c r="Q167" s="2">
        <f t="shared" si="119"/>
        <v>0</v>
      </c>
      <c r="R167" s="2">
        <f t="shared" si="120"/>
        <v>0</v>
      </c>
    </row>
    <row r="168" spans="3:18" s="2" customFormat="1" x14ac:dyDescent="0.15">
      <c r="C168" s="4"/>
      <c r="D168" s="2">
        <v>44</v>
      </c>
      <c r="E168" s="2">
        <f t="shared" si="107"/>
        <v>1953</v>
      </c>
      <c r="F168" s="2">
        <f t="shared" si="108"/>
        <v>367</v>
      </c>
      <c r="G168" s="2">
        <f t="shared" si="109"/>
        <v>367</v>
      </c>
      <c r="H168" s="2">
        <f t="shared" si="110"/>
        <v>387</v>
      </c>
      <c r="I168" s="2">
        <f t="shared" si="111"/>
        <v>0</v>
      </c>
      <c r="J168" s="2">
        <f t="shared" si="112"/>
        <v>0</v>
      </c>
      <c r="K168" s="2">
        <f t="shared" si="113"/>
        <v>0</v>
      </c>
      <c r="L168" s="2">
        <f t="shared" si="114"/>
        <v>0</v>
      </c>
      <c r="M168" s="2">
        <f t="shared" si="115"/>
        <v>0</v>
      </c>
      <c r="N168" s="2">
        <f t="shared" si="116"/>
        <v>0</v>
      </c>
      <c r="O168" s="2">
        <f t="shared" si="117"/>
        <v>0</v>
      </c>
      <c r="P168" s="2">
        <f t="shared" si="118"/>
        <v>0</v>
      </c>
      <c r="Q168" s="2">
        <f t="shared" si="119"/>
        <v>0</v>
      </c>
      <c r="R168" s="2">
        <f t="shared" si="120"/>
        <v>0</v>
      </c>
    </row>
    <row r="169" spans="3:18" s="2" customFormat="1" x14ac:dyDescent="0.15">
      <c r="C169" s="4"/>
      <c r="D169" s="2">
        <v>45</v>
      </c>
      <c r="E169" s="2">
        <f t="shared" si="107"/>
        <v>1953</v>
      </c>
      <c r="F169" s="2">
        <f t="shared" si="108"/>
        <v>416</v>
      </c>
      <c r="G169" s="2">
        <f t="shared" si="109"/>
        <v>367</v>
      </c>
      <c r="H169" s="2">
        <f t="shared" si="110"/>
        <v>387</v>
      </c>
      <c r="I169" s="2">
        <f t="shared" si="111"/>
        <v>0</v>
      </c>
      <c r="J169" s="2">
        <f t="shared" si="112"/>
        <v>0</v>
      </c>
      <c r="K169" s="2">
        <f t="shared" si="113"/>
        <v>0</v>
      </c>
      <c r="L169" s="2">
        <f t="shared" si="114"/>
        <v>0</v>
      </c>
      <c r="M169" s="2">
        <f t="shared" si="115"/>
        <v>0</v>
      </c>
      <c r="N169" s="2">
        <f t="shared" si="116"/>
        <v>0</v>
      </c>
      <c r="O169" s="2">
        <f t="shared" si="117"/>
        <v>0</v>
      </c>
      <c r="P169" s="2">
        <f t="shared" si="118"/>
        <v>0</v>
      </c>
      <c r="Q169" s="2">
        <f t="shared" si="119"/>
        <v>0</v>
      </c>
      <c r="R169" s="2">
        <f t="shared" si="120"/>
        <v>0</v>
      </c>
    </row>
    <row r="170" spans="3:18" s="2" customFormat="1" x14ac:dyDescent="0.15">
      <c r="C170" s="4"/>
      <c r="D170" s="2">
        <v>46</v>
      </c>
      <c r="E170" s="2">
        <f t="shared" si="107"/>
        <v>1953</v>
      </c>
      <c r="F170" s="2">
        <f t="shared" si="108"/>
        <v>416</v>
      </c>
      <c r="G170" s="2">
        <f t="shared" si="109"/>
        <v>416</v>
      </c>
      <c r="H170" s="2">
        <f t="shared" si="110"/>
        <v>387</v>
      </c>
      <c r="I170" s="2">
        <f t="shared" si="111"/>
        <v>0</v>
      </c>
      <c r="J170" s="2">
        <f t="shared" si="112"/>
        <v>0</v>
      </c>
      <c r="K170" s="2">
        <f t="shared" si="113"/>
        <v>0</v>
      </c>
      <c r="L170" s="2">
        <f t="shared" si="114"/>
        <v>0</v>
      </c>
      <c r="M170" s="2">
        <f t="shared" si="115"/>
        <v>0</v>
      </c>
      <c r="N170" s="2">
        <f t="shared" si="116"/>
        <v>0</v>
      </c>
      <c r="O170" s="2">
        <f t="shared" si="117"/>
        <v>0</v>
      </c>
      <c r="P170" s="2">
        <f t="shared" si="118"/>
        <v>0</v>
      </c>
      <c r="Q170" s="2">
        <f t="shared" si="119"/>
        <v>0</v>
      </c>
      <c r="R170" s="2">
        <f t="shared" si="120"/>
        <v>0</v>
      </c>
    </row>
    <row r="171" spans="3:18" s="2" customFormat="1" x14ac:dyDescent="0.15">
      <c r="C171" s="4"/>
      <c r="D171" s="2">
        <v>47</v>
      </c>
      <c r="E171" s="2">
        <f t="shared" si="107"/>
        <v>2320</v>
      </c>
      <c r="F171" s="2">
        <f t="shared" si="108"/>
        <v>416</v>
      </c>
      <c r="G171" s="2">
        <f t="shared" si="109"/>
        <v>416</v>
      </c>
      <c r="H171" s="2">
        <f t="shared" si="110"/>
        <v>387</v>
      </c>
      <c r="I171" s="2">
        <f t="shared" si="111"/>
        <v>0</v>
      </c>
      <c r="J171" s="2">
        <f t="shared" si="112"/>
        <v>0</v>
      </c>
      <c r="K171" s="2">
        <f t="shared" si="113"/>
        <v>0</v>
      </c>
      <c r="L171" s="2">
        <f t="shared" si="114"/>
        <v>0</v>
      </c>
      <c r="M171" s="2">
        <f t="shared" si="115"/>
        <v>0</v>
      </c>
      <c r="N171" s="2">
        <f t="shared" si="116"/>
        <v>0</v>
      </c>
      <c r="O171" s="2">
        <f t="shared" si="117"/>
        <v>0</v>
      </c>
      <c r="P171" s="2">
        <f t="shared" si="118"/>
        <v>0</v>
      </c>
      <c r="Q171" s="2">
        <f t="shared" si="119"/>
        <v>0</v>
      </c>
      <c r="R171" s="2">
        <f t="shared" si="120"/>
        <v>0</v>
      </c>
    </row>
    <row r="172" spans="3:18" s="2" customFormat="1" x14ac:dyDescent="0.15">
      <c r="C172" s="4"/>
      <c r="D172" s="2">
        <v>48</v>
      </c>
      <c r="E172" s="2">
        <f t="shared" si="107"/>
        <v>2320</v>
      </c>
      <c r="F172" s="2">
        <f t="shared" si="108"/>
        <v>416</v>
      </c>
      <c r="G172" s="2">
        <f t="shared" si="109"/>
        <v>416</v>
      </c>
      <c r="H172" s="2">
        <f t="shared" si="110"/>
        <v>460</v>
      </c>
      <c r="I172" s="2">
        <f t="shared" si="111"/>
        <v>0</v>
      </c>
      <c r="J172" s="2">
        <f t="shared" si="112"/>
        <v>0</v>
      </c>
      <c r="K172" s="2">
        <f t="shared" si="113"/>
        <v>0</v>
      </c>
      <c r="L172" s="2">
        <f t="shared" si="114"/>
        <v>0</v>
      </c>
      <c r="M172" s="2">
        <f t="shared" si="115"/>
        <v>0</v>
      </c>
      <c r="N172" s="2">
        <f t="shared" si="116"/>
        <v>0</v>
      </c>
      <c r="O172" s="2">
        <f t="shared" si="117"/>
        <v>0</v>
      </c>
      <c r="P172" s="2">
        <f t="shared" si="118"/>
        <v>0</v>
      </c>
      <c r="Q172" s="2">
        <f t="shared" si="119"/>
        <v>0</v>
      </c>
      <c r="R172" s="2">
        <f t="shared" si="120"/>
        <v>0</v>
      </c>
    </row>
    <row r="173" spans="3:18" s="2" customFormat="1" x14ac:dyDescent="0.15">
      <c r="C173" s="4"/>
      <c r="D173" s="2">
        <v>49</v>
      </c>
      <c r="E173" s="2">
        <f t="shared" si="107"/>
        <v>2320</v>
      </c>
      <c r="F173" s="2">
        <f t="shared" si="108"/>
        <v>465</v>
      </c>
      <c r="G173" s="2">
        <f t="shared" si="109"/>
        <v>416</v>
      </c>
      <c r="H173" s="2">
        <f t="shared" si="110"/>
        <v>460</v>
      </c>
      <c r="I173" s="2">
        <f t="shared" si="111"/>
        <v>0</v>
      </c>
      <c r="J173" s="2">
        <f t="shared" si="112"/>
        <v>0</v>
      </c>
      <c r="K173" s="2">
        <f t="shared" si="113"/>
        <v>0</v>
      </c>
      <c r="L173" s="2">
        <f t="shared" si="114"/>
        <v>0</v>
      </c>
      <c r="M173" s="2">
        <f t="shared" si="115"/>
        <v>0</v>
      </c>
      <c r="N173" s="2">
        <f t="shared" si="116"/>
        <v>0</v>
      </c>
      <c r="O173" s="2">
        <f t="shared" si="117"/>
        <v>0</v>
      </c>
      <c r="P173" s="2">
        <f t="shared" si="118"/>
        <v>0</v>
      </c>
      <c r="Q173" s="2">
        <f t="shared" si="119"/>
        <v>0</v>
      </c>
      <c r="R173" s="2">
        <f t="shared" si="120"/>
        <v>0</v>
      </c>
    </row>
    <row r="174" spans="3:18" s="2" customFormat="1" x14ac:dyDescent="0.15">
      <c r="C174" s="4"/>
      <c r="D174" s="2">
        <v>50</v>
      </c>
      <c r="E174" s="2">
        <f t="shared" si="107"/>
        <v>2320</v>
      </c>
      <c r="F174" s="2">
        <f t="shared" si="108"/>
        <v>465</v>
      </c>
      <c r="G174" s="2">
        <f t="shared" si="109"/>
        <v>465</v>
      </c>
      <c r="H174" s="2">
        <f t="shared" si="110"/>
        <v>460</v>
      </c>
      <c r="I174" s="2">
        <f t="shared" si="111"/>
        <v>0</v>
      </c>
      <c r="J174" s="2">
        <f t="shared" si="112"/>
        <v>0</v>
      </c>
      <c r="K174" s="2">
        <f t="shared" si="113"/>
        <v>0</v>
      </c>
      <c r="L174" s="2">
        <f t="shared" si="114"/>
        <v>0</v>
      </c>
      <c r="M174" s="2">
        <f t="shared" si="115"/>
        <v>0</v>
      </c>
      <c r="N174" s="2">
        <f t="shared" si="116"/>
        <v>0</v>
      </c>
      <c r="O174" s="2">
        <f t="shared" si="117"/>
        <v>0</v>
      </c>
      <c r="P174" s="2">
        <f t="shared" si="118"/>
        <v>0</v>
      </c>
      <c r="Q174" s="2">
        <f t="shared" si="119"/>
        <v>0</v>
      </c>
      <c r="R174" s="2">
        <f t="shared" si="120"/>
        <v>0</v>
      </c>
    </row>
    <row r="175" spans="3:18" s="2" customFormat="1" x14ac:dyDescent="0.15">
      <c r="C175" s="4"/>
      <c r="D175" s="2">
        <v>51</v>
      </c>
      <c r="E175" s="2">
        <f t="shared" si="107"/>
        <v>2320</v>
      </c>
      <c r="F175" s="2">
        <f t="shared" si="108"/>
        <v>524</v>
      </c>
      <c r="G175" s="2">
        <f t="shared" si="109"/>
        <v>465</v>
      </c>
      <c r="H175" s="2">
        <f t="shared" si="110"/>
        <v>460</v>
      </c>
      <c r="I175" s="2">
        <f t="shared" si="111"/>
        <v>0</v>
      </c>
      <c r="J175" s="2">
        <f t="shared" si="112"/>
        <v>0</v>
      </c>
      <c r="K175" s="2">
        <f t="shared" si="113"/>
        <v>0</v>
      </c>
      <c r="L175" s="2">
        <f t="shared" si="114"/>
        <v>0</v>
      </c>
      <c r="M175" s="2">
        <f t="shared" si="115"/>
        <v>0</v>
      </c>
      <c r="N175" s="2">
        <f t="shared" si="116"/>
        <v>0</v>
      </c>
      <c r="O175" s="2">
        <f t="shared" si="117"/>
        <v>0</v>
      </c>
      <c r="P175" s="2">
        <f t="shared" si="118"/>
        <v>0</v>
      </c>
      <c r="Q175" s="2">
        <f t="shared" si="119"/>
        <v>0</v>
      </c>
      <c r="R175" s="2">
        <f t="shared" si="120"/>
        <v>0</v>
      </c>
    </row>
    <row r="176" spans="3:18" s="2" customFormat="1" x14ac:dyDescent="0.15">
      <c r="C176" s="4"/>
      <c r="D176" s="2">
        <v>52</v>
      </c>
      <c r="E176" s="2">
        <f t="shared" si="107"/>
        <v>2320</v>
      </c>
      <c r="F176" s="2">
        <f t="shared" si="108"/>
        <v>524</v>
      </c>
      <c r="G176" s="2">
        <f t="shared" si="109"/>
        <v>524</v>
      </c>
      <c r="H176" s="2">
        <f t="shared" si="110"/>
        <v>460</v>
      </c>
      <c r="I176" s="2">
        <f t="shared" si="111"/>
        <v>0</v>
      </c>
      <c r="J176" s="2">
        <f t="shared" si="112"/>
        <v>0</v>
      </c>
      <c r="K176" s="2">
        <f t="shared" si="113"/>
        <v>0</v>
      </c>
      <c r="L176" s="2">
        <f t="shared" si="114"/>
        <v>0</v>
      </c>
      <c r="M176" s="2">
        <f t="shared" si="115"/>
        <v>0</v>
      </c>
      <c r="N176" s="2">
        <f t="shared" si="116"/>
        <v>0</v>
      </c>
      <c r="O176" s="2">
        <f t="shared" si="117"/>
        <v>0</v>
      </c>
      <c r="P176" s="2">
        <f t="shared" si="118"/>
        <v>0</v>
      </c>
      <c r="Q176" s="2">
        <f t="shared" si="119"/>
        <v>0</v>
      </c>
      <c r="R176" s="2">
        <f t="shared" si="120"/>
        <v>0</v>
      </c>
    </row>
    <row r="177" spans="3:18" s="2" customFormat="1" x14ac:dyDescent="0.15">
      <c r="C177" s="4"/>
      <c r="D177" s="2">
        <v>53</v>
      </c>
      <c r="E177" s="2">
        <f t="shared" si="107"/>
        <v>2762</v>
      </c>
      <c r="F177" s="2">
        <f t="shared" si="108"/>
        <v>524</v>
      </c>
      <c r="G177" s="2">
        <f t="shared" si="109"/>
        <v>524</v>
      </c>
      <c r="H177" s="2">
        <f t="shared" si="110"/>
        <v>460</v>
      </c>
      <c r="I177" s="2">
        <f t="shared" si="111"/>
        <v>0</v>
      </c>
      <c r="J177" s="2">
        <f t="shared" si="112"/>
        <v>0</v>
      </c>
      <c r="K177" s="2">
        <f t="shared" si="113"/>
        <v>0</v>
      </c>
      <c r="L177" s="2">
        <f t="shared" si="114"/>
        <v>0</v>
      </c>
      <c r="M177" s="2">
        <f t="shared" si="115"/>
        <v>0</v>
      </c>
      <c r="N177" s="2">
        <f t="shared" si="116"/>
        <v>0</v>
      </c>
      <c r="O177" s="2">
        <f t="shared" si="117"/>
        <v>0</v>
      </c>
      <c r="P177" s="2">
        <f t="shared" si="118"/>
        <v>0</v>
      </c>
      <c r="Q177" s="2">
        <f t="shared" si="119"/>
        <v>0</v>
      </c>
      <c r="R177" s="2">
        <f t="shared" si="120"/>
        <v>0</v>
      </c>
    </row>
    <row r="178" spans="3:18" s="2" customFormat="1" x14ac:dyDescent="0.15">
      <c r="C178" s="4"/>
      <c r="D178" s="2">
        <v>54</v>
      </c>
      <c r="E178" s="2">
        <f t="shared" si="107"/>
        <v>2762</v>
      </c>
      <c r="F178" s="2">
        <f t="shared" si="108"/>
        <v>524</v>
      </c>
      <c r="G178" s="2">
        <f t="shared" si="109"/>
        <v>524</v>
      </c>
      <c r="H178" s="2">
        <f t="shared" si="110"/>
        <v>548</v>
      </c>
      <c r="I178" s="2">
        <f t="shared" si="111"/>
        <v>0</v>
      </c>
      <c r="J178" s="2">
        <f t="shared" si="112"/>
        <v>0</v>
      </c>
      <c r="K178" s="2">
        <f t="shared" si="113"/>
        <v>0</v>
      </c>
      <c r="L178" s="2">
        <f t="shared" si="114"/>
        <v>0</v>
      </c>
      <c r="M178" s="2">
        <f t="shared" si="115"/>
        <v>0</v>
      </c>
      <c r="N178" s="2">
        <f t="shared" si="116"/>
        <v>0</v>
      </c>
      <c r="O178" s="2">
        <f t="shared" si="117"/>
        <v>0</v>
      </c>
      <c r="P178" s="2">
        <f t="shared" si="118"/>
        <v>0</v>
      </c>
      <c r="Q178" s="2">
        <f t="shared" si="119"/>
        <v>0</v>
      </c>
      <c r="R178" s="2">
        <f t="shared" si="120"/>
        <v>0</v>
      </c>
    </row>
    <row r="179" spans="3:18" s="2" customFormat="1" x14ac:dyDescent="0.15">
      <c r="C179" s="4"/>
      <c r="D179" s="2">
        <v>55</v>
      </c>
      <c r="E179" s="2">
        <f t="shared" si="107"/>
        <v>2762</v>
      </c>
      <c r="F179" s="2">
        <f t="shared" si="108"/>
        <v>583</v>
      </c>
      <c r="G179" s="2">
        <f t="shared" si="109"/>
        <v>524</v>
      </c>
      <c r="H179" s="2">
        <f t="shared" si="110"/>
        <v>548</v>
      </c>
      <c r="I179" s="2">
        <f t="shared" si="111"/>
        <v>0</v>
      </c>
      <c r="J179" s="2">
        <f t="shared" si="112"/>
        <v>0</v>
      </c>
      <c r="K179" s="2">
        <f t="shared" si="113"/>
        <v>0</v>
      </c>
      <c r="L179" s="2">
        <f t="shared" si="114"/>
        <v>0</v>
      </c>
      <c r="M179" s="2">
        <f t="shared" si="115"/>
        <v>0</v>
      </c>
      <c r="N179" s="2">
        <f t="shared" si="116"/>
        <v>0</v>
      </c>
      <c r="O179" s="2">
        <f t="shared" si="117"/>
        <v>0</v>
      </c>
      <c r="P179" s="2">
        <f t="shared" si="118"/>
        <v>0</v>
      </c>
      <c r="Q179" s="2">
        <f t="shared" si="119"/>
        <v>0</v>
      </c>
      <c r="R179" s="2">
        <f t="shared" si="120"/>
        <v>0</v>
      </c>
    </row>
    <row r="180" spans="3:18" s="2" customFormat="1" x14ac:dyDescent="0.15">
      <c r="C180" s="4"/>
      <c r="D180" s="2">
        <v>56</v>
      </c>
      <c r="E180" s="2">
        <f t="shared" si="107"/>
        <v>2762</v>
      </c>
      <c r="F180" s="2">
        <f t="shared" si="108"/>
        <v>583</v>
      </c>
      <c r="G180" s="2">
        <f t="shared" si="109"/>
        <v>583</v>
      </c>
      <c r="H180" s="2">
        <f t="shared" si="110"/>
        <v>548</v>
      </c>
      <c r="I180" s="2">
        <f t="shared" si="111"/>
        <v>0</v>
      </c>
      <c r="J180" s="2">
        <f t="shared" si="112"/>
        <v>0</v>
      </c>
      <c r="K180" s="2">
        <f t="shared" si="113"/>
        <v>0</v>
      </c>
      <c r="L180" s="2">
        <f t="shared" si="114"/>
        <v>0</v>
      </c>
      <c r="M180" s="2">
        <f t="shared" si="115"/>
        <v>0</v>
      </c>
      <c r="N180" s="2">
        <f t="shared" si="116"/>
        <v>0</v>
      </c>
      <c r="O180" s="2">
        <f t="shared" si="117"/>
        <v>0</v>
      </c>
      <c r="P180" s="2">
        <f t="shared" si="118"/>
        <v>0</v>
      </c>
      <c r="Q180" s="2">
        <f t="shared" si="119"/>
        <v>0</v>
      </c>
      <c r="R180" s="2">
        <f t="shared" si="120"/>
        <v>0</v>
      </c>
    </row>
    <row r="181" spans="3:18" s="2" customFormat="1" x14ac:dyDescent="0.15">
      <c r="C181" s="4"/>
      <c r="D181" s="2">
        <v>57</v>
      </c>
      <c r="E181" s="2">
        <f t="shared" si="107"/>
        <v>3204</v>
      </c>
      <c r="F181" s="2">
        <f t="shared" si="108"/>
        <v>583</v>
      </c>
      <c r="G181" s="2">
        <f t="shared" si="109"/>
        <v>583</v>
      </c>
      <c r="H181" s="2">
        <f t="shared" si="110"/>
        <v>548</v>
      </c>
      <c r="I181" s="2">
        <f t="shared" si="111"/>
        <v>0</v>
      </c>
      <c r="J181" s="2">
        <f t="shared" si="112"/>
        <v>0</v>
      </c>
      <c r="K181" s="2">
        <f t="shared" si="113"/>
        <v>0</v>
      </c>
      <c r="L181" s="2">
        <f t="shared" si="114"/>
        <v>0</v>
      </c>
      <c r="M181" s="2">
        <f t="shared" si="115"/>
        <v>0</v>
      </c>
      <c r="N181" s="2">
        <f t="shared" si="116"/>
        <v>0</v>
      </c>
      <c r="O181" s="2">
        <f t="shared" si="117"/>
        <v>0</v>
      </c>
      <c r="P181" s="2">
        <f t="shared" si="118"/>
        <v>0</v>
      </c>
      <c r="Q181" s="2">
        <f t="shared" si="119"/>
        <v>0</v>
      </c>
      <c r="R181" s="2">
        <f t="shared" si="120"/>
        <v>0</v>
      </c>
    </row>
    <row r="182" spans="3:18" s="2" customFormat="1" x14ac:dyDescent="0.15">
      <c r="C182" s="4"/>
      <c r="D182" s="2">
        <v>58</v>
      </c>
      <c r="E182" s="2">
        <f t="shared" si="107"/>
        <v>3204</v>
      </c>
      <c r="F182" s="2">
        <f t="shared" si="108"/>
        <v>583</v>
      </c>
      <c r="G182" s="2">
        <f t="shared" si="109"/>
        <v>583</v>
      </c>
      <c r="H182" s="2">
        <f t="shared" si="110"/>
        <v>636</v>
      </c>
      <c r="I182" s="2">
        <f t="shared" si="111"/>
        <v>0</v>
      </c>
      <c r="J182" s="2">
        <f t="shared" si="112"/>
        <v>0</v>
      </c>
      <c r="K182" s="2">
        <f t="shared" si="113"/>
        <v>0</v>
      </c>
      <c r="L182" s="2">
        <f t="shared" si="114"/>
        <v>0</v>
      </c>
      <c r="M182" s="2">
        <f t="shared" si="115"/>
        <v>0</v>
      </c>
      <c r="N182" s="2">
        <f t="shared" si="116"/>
        <v>0</v>
      </c>
      <c r="O182" s="2">
        <f t="shared" si="117"/>
        <v>0</v>
      </c>
      <c r="P182" s="2">
        <f t="shared" si="118"/>
        <v>0</v>
      </c>
      <c r="Q182" s="2">
        <f t="shared" si="119"/>
        <v>0</v>
      </c>
      <c r="R182" s="2">
        <f t="shared" si="120"/>
        <v>0</v>
      </c>
    </row>
    <row r="183" spans="3:18" s="2" customFormat="1" x14ac:dyDescent="0.15">
      <c r="C183" s="4"/>
      <c r="D183" s="2">
        <v>59</v>
      </c>
      <c r="E183" s="2">
        <f t="shared" si="107"/>
        <v>3204</v>
      </c>
      <c r="F183" s="2">
        <f t="shared" si="108"/>
        <v>642</v>
      </c>
      <c r="G183" s="2">
        <f t="shared" si="109"/>
        <v>583</v>
      </c>
      <c r="H183" s="2">
        <f t="shared" si="110"/>
        <v>636</v>
      </c>
      <c r="I183" s="2">
        <f t="shared" si="111"/>
        <v>0</v>
      </c>
      <c r="J183" s="2">
        <f t="shared" si="112"/>
        <v>0</v>
      </c>
      <c r="K183" s="2">
        <f t="shared" si="113"/>
        <v>0</v>
      </c>
      <c r="L183" s="2">
        <f t="shared" si="114"/>
        <v>0</v>
      </c>
      <c r="M183" s="2">
        <f t="shared" si="115"/>
        <v>0</v>
      </c>
      <c r="N183" s="2">
        <f t="shared" si="116"/>
        <v>0</v>
      </c>
      <c r="O183" s="2">
        <f t="shared" si="117"/>
        <v>0</v>
      </c>
      <c r="P183" s="2">
        <f t="shared" si="118"/>
        <v>0</v>
      </c>
      <c r="Q183" s="2">
        <f t="shared" si="119"/>
        <v>0</v>
      </c>
      <c r="R183" s="2">
        <f t="shared" si="120"/>
        <v>0</v>
      </c>
    </row>
    <row r="184" spans="3:18" s="2" customFormat="1" x14ac:dyDescent="0.15">
      <c r="C184" s="4"/>
      <c r="D184" s="2">
        <v>60</v>
      </c>
      <c r="E184" s="2">
        <f t="shared" si="107"/>
        <v>3204</v>
      </c>
      <c r="F184" s="2">
        <f t="shared" si="108"/>
        <v>642</v>
      </c>
      <c r="G184" s="2">
        <f t="shared" si="109"/>
        <v>642</v>
      </c>
      <c r="H184" s="2">
        <f t="shared" si="110"/>
        <v>636</v>
      </c>
      <c r="I184" s="2">
        <f t="shared" si="111"/>
        <v>0</v>
      </c>
      <c r="J184" s="2">
        <f t="shared" si="112"/>
        <v>0</v>
      </c>
      <c r="K184" s="2">
        <f t="shared" si="113"/>
        <v>0</v>
      </c>
      <c r="L184" s="2">
        <f t="shared" si="114"/>
        <v>0</v>
      </c>
      <c r="M184" s="2">
        <f t="shared" si="115"/>
        <v>0</v>
      </c>
      <c r="N184" s="2">
        <f t="shared" si="116"/>
        <v>0</v>
      </c>
      <c r="O184" s="2">
        <f t="shared" si="117"/>
        <v>0</v>
      </c>
      <c r="P184" s="2">
        <f t="shared" si="118"/>
        <v>0</v>
      </c>
      <c r="Q184" s="2">
        <f t="shared" si="119"/>
        <v>0</v>
      </c>
      <c r="R184" s="2">
        <f t="shared" si="120"/>
        <v>0</v>
      </c>
    </row>
    <row r="185" spans="3:18" s="2" customFormat="1" x14ac:dyDescent="0.15">
      <c r="C185" s="4"/>
      <c r="D185" s="2">
        <v>61</v>
      </c>
      <c r="E185" s="2">
        <f t="shared" si="107"/>
        <v>3204</v>
      </c>
      <c r="F185" s="2">
        <f t="shared" si="108"/>
        <v>720</v>
      </c>
      <c r="G185" s="2">
        <f t="shared" si="109"/>
        <v>642</v>
      </c>
      <c r="H185" s="2">
        <f t="shared" si="110"/>
        <v>636</v>
      </c>
      <c r="I185" s="2">
        <f t="shared" si="111"/>
        <v>0</v>
      </c>
      <c r="J185" s="2">
        <f t="shared" si="112"/>
        <v>0</v>
      </c>
      <c r="K185" s="2">
        <f t="shared" si="113"/>
        <v>0</v>
      </c>
      <c r="L185" s="2">
        <f t="shared" si="114"/>
        <v>0</v>
      </c>
      <c r="M185" s="2">
        <f t="shared" si="115"/>
        <v>0</v>
      </c>
      <c r="N185" s="2">
        <f t="shared" si="116"/>
        <v>0</v>
      </c>
      <c r="O185" s="2">
        <f t="shared" si="117"/>
        <v>0</v>
      </c>
      <c r="P185" s="2">
        <f t="shared" si="118"/>
        <v>0</v>
      </c>
      <c r="Q185" s="2">
        <f t="shared" si="119"/>
        <v>0</v>
      </c>
      <c r="R185" s="2">
        <f t="shared" si="120"/>
        <v>0</v>
      </c>
    </row>
    <row r="186" spans="3:18" s="2" customFormat="1" x14ac:dyDescent="0.15">
      <c r="C186" s="4"/>
      <c r="D186" s="2">
        <v>62</v>
      </c>
      <c r="E186" s="2">
        <f t="shared" si="107"/>
        <v>3204</v>
      </c>
      <c r="F186" s="2">
        <f t="shared" si="108"/>
        <v>720</v>
      </c>
      <c r="G186" s="2">
        <f t="shared" si="109"/>
        <v>720</v>
      </c>
      <c r="H186" s="2">
        <f t="shared" si="110"/>
        <v>636</v>
      </c>
      <c r="I186" s="2">
        <f t="shared" si="111"/>
        <v>0</v>
      </c>
      <c r="J186" s="2">
        <f t="shared" si="112"/>
        <v>0</v>
      </c>
      <c r="K186" s="2">
        <f t="shared" si="113"/>
        <v>0</v>
      </c>
      <c r="L186" s="2">
        <f t="shared" si="114"/>
        <v>0</v>
      </c>
      <c r="M186" s="2">
        <f t="shared" si="115"/>
        <v>0</v>
      </c>
      <c r="N186" s="2">
        <f t="shared" si="116"/>
        <v>0</v>
      </c>
      <c r="O186" s="2">
        <f t="shared" si="117"/>
        <v>0</v>
      </c>
      <c r="P186" s="2">
        <f t="shared" si="118"/>
        <v>0</v>
      </c>
      <c r="Q186" s="2">
        <f t="shared" si="119"/>
        <v>0</v>
      </c>
      <c r="R186" s="2">
        <f t="shared" si="120"/>
        <v>0</v>
      </c>
    </row>
    <row r="187" spans="3:18" s="2" customFormat="1" x14ac:dyDescent="0.15">
      <c r="C187" s="4"/>
      <c r="D187" s="2">
        <v>63</v>
      </c>
      <c r="E187" s="2">
        <f t="shared" si="107"/>
        <v>3789</v>
      </c>
      <c r="F187" s="2">
        <f t="shared" si="108"/>
        <v>720</v>
      </c>
      <c r="G187" s="2">
        <f t="shared" si="109"/>
        <v>720</v>
      </c>
      <c r="H187" s="2">
        <f t="shared" si="110"/>
        <v>636</v>
      </c>
      <c r="I187" s="2">
        <f t="shared" si="111"/>
        <v>0</v>
      </c>
      <c r="J187" s="2">
        <f t="shared" si="112"/>
        <v>0</v>
      </c>
      <c r="K187" s="2">
        <f t="shared" si="113"/>
        <v>0</v>
      </c>
      <c r="L187" s="2">
        <f t="shared" si="114"/>
        <v>0</v>
      </c>
      <c r="M187" s="2">
        <f t="shared" si="115"/>
        <v>0</v>
      </c>
      <c r="N187" s="2">
        <f t="shared" si="116"/>
        <v>0</v>
      </c>
      <c r="O187" s="2">
        <f t="shared" si="117"/>
        <v>0</v>
      </c>
      <c r="P187" s="2">
        <f t="shared" si="118"/>
        <v>0</v>
      </c>
      <c r="Q187" s="2">
        <f t="shared" si="119"/>
        <v>0</v>
      </c>
      <c r="R187" s="2">
        <f t="shared" si="120"/>
        <v>0</v>
      </c>
    </row>
    <row r="188" spans="3:18" s="2" customFormat="1" x14ac:dyDescent="0.15">
      <c r="C188" s="4"/>
      <c r="D188" s="2">
        <v>64</v>
      </c>
      <c r="E188" s="2">
        <f t="shared" si="107"/>
        <v>3789</v>
      </c>
      <c r="F188" s="2">
        <f t="shared" si="108"/>
        <v>720</v>
      </c>
      <c r="G188" s="2">
        <f t="shared" si="109"/>
        <v>720</v>
      </c>
      <c r="H188" s="2">
        <f t="shared" si="110"/>
        <v>753</v>
      </c>
      <c r="I188" s="2">
        <f t="shared" si="111"/>
        <v>0</v>
      </c>
      <c r="J188" s="2">
        <f t="shared" si="112"/>
        <v>0</v>
      </c>
      <c r="K188" s="2">
        <f t="shared" si="113"/>
        <v>0</v>
      </c>
      <c r="L188" s="2">
        <f t="shared" si="114"/>
        <v>0</v>
      </c>
      <c r="M188" s="2">
        <f t="shared" si="115"/>
        <v>0</v>
      </c>
      <c r="N188" s="2">
        <f t="shared" si="116"/>
        <v>0</v>
      </c>
      <c r="O188" s="2">
        <f t="shared" si="117"/>
        <v>0</v>
      </c>
      <c r="P188" s="2">
        <f t="shared" si="118"/>
        <v>0</v>
      </c>
      <c r="Q188" s="2">
        <f t="shared" si="119"/>
        <v>0</v>
      </c>
      <c r="R188" s="2">
        <f t="shared" si="120"/>
        <v>0</v>
      </c>
    </row>
    <row r="189" spans="3:18" s="2" customFormat="1" x14ac:dyDescent="0.15">
      <c r="C189" s="4"/>
      <c r="D189" s="2">
        <v>65</v>
      </c>
      <c r="E189" s="2">
        <f t="shared" si="107"/>
        <v>3789</v>
      </c>
      <c r="F189" s="2">
        <f t="shared" si="108"/>
        <v>798</v>
      </c>
      <c r="G189" s="2">
        <f t="shared" si="109"/>
        <v>720</v>
      </c>
      <c r="H189" s="2">
        <f t="shared" si="110"/>
        <v>753</v>
      </c>
      <c r="I189" s="2">
        <f t="shared" si="111"/>
        <v>0</v>
      </c>
      <c r="J189" s="2">
        <f t="shared" si="112"/>
        <v>0</v>
      </c>
      <c r="K189" s="2">
        <f t="shared" si="113"/>
        <v>0</v>
      </c>
      <c r="L189" s="2">
        <f t="shared" si="114"/>
        <v>0</v>
      </c>
      <c r="M189" s="2">
        <f t="shared" si="115"/>
        <v>0</v>
      </c>
      <c r="N189" s="2">
        <f t="shared" si="116"/>
        <v>0</v>
      </c>
      <c r="O189" s="2">
        <f t="shared" si="117"/>
        <v>0</v>
      </c>
      <c r="P189" s="2">
        <f t="shared" si="118"/>
        <v>0</v>
      </c>
      <c r="Q189" s="2">
        <f t="shared" si="119"/>
        <v>0</v>
      </c>
      <c r="R189" s="2">
        <f t="shared" si="120"/>
        <v>0</v>
      </c>
    </row>
    <row r="190" spans="3:18" s="2" customFormat="1" x14ac:dyDescent="0.15">
      <c r="C190" s="4"/>
      <c r="D190" s="2">
        <v>66</v>
      </c>
      <c r="E190" s="2">
        <f t="shared" si="107"/>
        <v>3789</v>
      </c>
      <c r="F190" s="2">
        <f t="shared" si="108"/>
        <v>798</v>
      </c>
      <c r="G190" s="2">
        <f t="shared" si="109"/>
        <v>798</v>
      </c>
      <c r="H190" s="2">
        <f t="shared" si="110"/>
        <v>753</v>
      </c>
      <c r="I190" s="2">
        <f t="shared" si="111"/>
        <v>0</v>
      </c>
      <c r="J190" s="2">
        <f t="shared" si="112"/>
        <v>0</v>
      </c>
      <c r="K190" s="2">
        <f t="shared" si="113"/>
        <v>0</v>
      </c>
      <c r="L190" s="2">
        <f t="shared" si="114"/>
        <v>0</v>
      </c>
      <c r="M190" s="2">
        <f t="shared" si="115"/>
        <v>0</v>
      </c>
      <c r="N190" s="2">
        <f t="shared" si="116"/>
        <v>0</v>
      </c>
      <c r="O190" s="2">
        <f t="shared" si="117"/>
        <v>0</v>
      </c>
      <c r="P190" s="2">
        <f t="shared" si="118"/>
        <v>0</v>
      </c>
      <c r="Q190" s="2">
        <f t="shared" si="119"/>
        <v>0</v>
      </c>
      <c r="R190" s="2">
        <f t="shared" si="120"/>
        <v>0</v>
      </c>
    </row>
    <row r="191" spans="3:18" s="2" customFormat="1" x14ac:dyDescent="0.15">
      <c r="C191" s="4"/>
      <c r="D191" s="2">
        <v>67</v>
      </c>
      <c r="E191" s="2">
        <f t="shared" ref="E191:E244" si="121">E190+E70</f>
        <v>4374</v>
      </c>
      <c r="F191" s="2">
        <f t="shared" ref="F191:F244" si="122">F190+F70</f>
        <v>798</v>
      </c>
      <c r="G191" s="2">
        <f t="shared" ref="G191:G244" si="123">G190+G70</f>
        <v>798</v>
      </c>
      <c r="H191" s="2">
        <f t="shared" ref="H191:H244" si="124">H190+H70</f>
        <v>753</v>
      </c>
      <c r="I191" s="2">
        <f t="shared" ref="I191:I244" si="125">I190+I70</f>
        <v>0</v>
      </c>
      <c r="J191" s="2">
        <f t="shared" ref="J191:J244" si="126">J190+J70</f>
        <v>0</v>
      </c>
      <c r="K191" s="2">
        <f t="shared" ref="K191:K244" si="127">K190+K70</f>
        <v>0</v>
      </c>
      <c r="L191" s="2">
        <f t="shared" ref="L191:L244" si="128">L190+L70</f>
        <v>0</v>
      </c>
      <c r="M191" s="2">
        <f t="shared" ref="M191:M244" si="129">M190+M70</f>
        <v>0</v>
      </c>
      <c r="N191" s="2">
        <f t="shared" ref="N191:N244" si="130">N190+N70</f>
        <v>0</v>
      </c>
      <c r="O191" s="2">
        <f t="shared" ref="O191:O244" si="131">O190+O70</f>
        <v>0</v>
      </c>
      <c r="P191" s="2">
        <f t="shared" ref="P191:P244" si="132">P190+P70</f>
        <v>0</v>
      </c>
      <c r="Q191" s="2">
        <f t="shared" ref="Q191:Q244" si="133">Q190+Q70</f>
        <v>0</v>
      </c>
      <c r="R191" s="2">
        <f t="shared" ref="R191:R244" si="134">R190+R70</f>
        <v>0</v>
      </c>
    </row>
    <row r="192" spans="3:18" s="2" customFormat="1" x14ac:dyDescent="0.15">
      <c r="C192" s="4"/>
      <c r="D192" s="2">
        <v>68</v>
      </c>
      <c r="E192" s="2">
        <f t="shared" si="121"/>
        <v>4374</v>
      </c>
      <c r="F192" s="2">
        <f t="shared" si="122"/>
        <v>798</v>
      </c>
      <c r="G192" s="2">
        <f t="shared" si="123"/>
        <v>798</v>
      </c>
      <c r="H192" s="2">
        <f t="shared" si="124"/>
        <v>870</v>
      </c>
      <c r="I192" s="2">
        <f t="shared" si="125"/>
        <v>0</v>
      </c>
      <c r="J192" s="2">
        <f t="shared" si="126"/>
        <v>0</v>
      </c>
      <c r="K192" s="2">
        <f t="shared" si="127"/>
        <v>0</v>
      </c>
      <c r="L192" s="2">
        <f t="shared" si="128"/>
        <v>0</v>
      </c>
      <c r="M192" s="2">
        <f t="shared" si="129"/>
        <v>0</v>
      </c>
      <c r="N192" s="2">
        <f t="shared" si="130"/>
        <v>0</v>
      </c>
      <c r="O192" s="2">
        <f t="shared" si="131"/>
        <v>0</v>
      </c>
      <c r="P192" s="2">
        <f t="shared" si="132"/>
        <v>0</v>
      </c>
      <c r="Q192" s="2">
        <f t="shared" si="133"/>
        <v>0</v>
      </c>
      <c r="R192" s="2">
        <f t="shared" si="134"/>
        <v>0</v>
      </c>
    </row>
    <row r="193" spans="3:18" s="2" customFormat="1" x14ac:dyDescent="0.15">
      <c r="C193" s="4"/>
      <c r="D193" s="2">
        <v>69</v>
      </c>
      <c r="E193" s="2">
        <f t="shared" si="121"/>
        <v>4374</v>
      </c>
      <c r="F193" s="2">
        <f t="shared" si="122"/>
        <v>876</v>
      </c>
      <c r="G193" s="2">
        <f t="shared" si="123"/>
        <v>798</v>
      </c>
      <c r="H193" s="2">
        <f t="shared" si="124"/>
        <v>870</v>
      </c>
      <c r="I193" s="2">
        <f t="shared" si="125"/>
        <v>0</v>
      </c>
      <c r="J193" s="2">
        <f t="shared" si="126"/>
        <v>0</v>
      </c>
      <c r="K193" s="2">
        <f t="shared" si="127"/>
        <v>0</v>
      </c>
      <c r="L193" s="2">
        <f t="shared" si="128"/>
        <v>0</v>
      </c>
      <c r="M193" s="2">
        <f t="shared" si="129"/>
        <v>0</v>
      </c>
      <c r="N193" s="2">
        <f t="shared" si="130"/>
        <v>0</v>
      </c>
      <c r="O193" s="2">
        <f t="shared" si="131"/>
        <v>0</v>
      </c>
      <c r="P193" s="2">
        <f t="shared" si="132"/>
        <v>0</v>
      </c>
      <c r="Q193" s="2">
        <f t="shared" si="133"/>
        <v>0</v>
      </c>
      <c r="R193" s="2">
        <f t="shared" si="134"/>
        <v>0</v>
      </c>
    </row>
    <row r="194" spans="3:18" s="2" customFormat="1" x14ac:dyDescent="0.15">
      <c r="C194" s="4"/>
      <c r="D194" s="2">
        <v>70</v>
      </c>
      <c r="E194" s="2">
        <f t="shared" si="121"/>
        <v>4374</v>
      </c>
      <c r="F194" s="2">
        <f t="shared" si="122"/>
        <v>876</v>
      </c>
      <c r="G194" s="2">
        <f t="shared" si="123"/>
        <v>876</v>
      </c>
      <c r="H194" s="2">
        <f t="shared" si="124"/>
        <v>870</v>
      </c>
      <c r="I194" s="2">
        <f t="shared" si="125"/>
        <v>0</v>
      </c>
      <c r="J194" s="2">
        <f t="shared" si="126"/>
        <v>0</v>
      </c>
      <c r="K194" s="2">
        <f t="shared" si="127"/>
        <v>0</v>
      </c>
      <c r="L194" s="2">
        <f t="shared" si="128"/>
        <v>0</v>
      </c>
      <c r="M194" s="2">
        <f t="shared" si="129"/>
        <v>0</v>
      </c>
      <c r="N194" s="2">
        <f t="shared" si="130"/>
        <v>0</v>
      </c>
      <c r="O194" s="2">
        <f t="shared" si="131"/>
        <v>0</v>
      </c>
      <c r="P194" s="2">
        <f t="shared" si="132"/>
        <v>0</v>
      </c>
      <c r="Q194" s="2">
        <f t="shared" si="133"/>
        <v>0</v>
      </c>
      <c r="R194" s="2">
        <f t="shared" si="134"/>
        <v>0</v>
      </c>
    </row>
    <row r="195" spans="3:18" s="2" customFormat="1" x14ac:dyDescent="0.15">
      <c r="C195" s="4"/>
      <c r="D195" s="2">
        <v>71</v>
      </c>
      <c r="E195" s="2">
        <f t="shared" si="121"/>
        <v>4374</v>
      </c>
      <c r="F195" s="2">
        <f t="shared" si="122"/>
        <v>974</v>
      </c>
      <c r="G195" s="2">
        <f t="shared" si="123"/>
        <v>876</v>
      </c>
      <c r="H195" s="2">
        <f t="shared" si="124"/>
        <v>870</v>
      </c>
      <c r="I195" s="2">
        <f t="shared" si="125"/>
        <v>0</v>
      </c>
      <c r="J195" s="2">
        <f t="shared" si="126"/>
        <v>0</v>
      </c>
      <c r="K195" s="2">
        <f t="shared" si="127"/>
        <v>0</v>
      </c>
      <c r="L195" s="2">
        <f t="shared" si="128"/>
        <v>0</v>
      </c>
      <c r="M195" s="2">
        <f t="shared" si="129"/>
        <v>0</v>
      </c>
      <c r="N195" s="2">
        <f t="shared" si="130"/>
        <v>0</v>
      </c>
      <c r="O195" s="2">
        <f t="shared" si="131"/>
        <v>0</v>
      </c>
      <c r="P195" s="2">
        <f t="shared" si="132"/>
        <v>0</v>
      </c>
      <c r="Q195" s="2">
        <f t="shared" si="133"/>
        <v>0</v>
      </c>
      <c r="R195" s="2">
        <f t="shared" si="134"/>
        <v>0</v>
      </c>
    </row>
    <row r="196" spans="3:18" x14ac:dyDescent="0.15">
      <c r="D196" s="2">
        <v>72</v>
      </c>
      <c r="E196" s="2">
        <f t="shared" si="121"/>
        <v>4374</v>
      </c>
      <c r="F196" s="2">
        <f t="shared" si="122"/>
        <v>974</v>
      </c>
      <c r="G196" s="2">
        <f t="shared" si="123"/>
        <v>974</v>
      </c>
      <c r="H196" s="2">
        <f t="shared" si="124"/>
        <v>870</v>
      </c>
      <c r="I196" s="2">
        <f t="shared" si="125"/>
        <v>0</v>
      </c>
      <c r="J196" s="2">
        <f t="shared" si="126"/>
        <v>0</v>
      </c>
      <c r="K196" s="2">
        <f t="shared" si="127"/>
        <v>0</v>
      </c>
      <c r="L196" s="2">
        <f t="shared" si="128"/>
        <v>0</v>
      </c>
      <c r="M196" s="2">
        <f t="shared" si="129"/>
        <v>0</v>
      </c>
      <c r="N196" s="2">
        <f t="shared" si="130"/>
        <v>0</v>
      </c>
      <c r="O196" s="2">
        <f t="shared" si="131"/>
        <v>0</v>
      </c>
      <c r="P196" s="2">
        <f t="shared" si="132"/>
        <v>0</v>
      </c>
      <c r="Q196" s="2">
        <f t="shared" si="133"/>
        <v>0</v>
      </c>
      <c r="R196" s="2">
        <f t="shared" si="134"/>
        <v>0</v>
      </c>
    </row>
    <row r="197" spans="3:18" x14ac:dyDescent="0.15">
      <c r="D197" s="2">
        <v>73</v>
      </c>
      <c r="E197" s="2">
        <f t="shared" si="121"/>
        <v>5109</v>
      </c>
      <c r="F197" s="2">
        <f t="shared" si="122"/>
        <v>974</v>
      </c>
      <c r="G197" s="2">
        <f t="shared" si="123"/>
        <v>974</v>
      </c>
      <c r="H197" s="2">
        <f t="shared" si="124"/>
        <v>870</v>
      </c>
      <c r="I197" s="2">
        <f t="shared" si="125"/>
        <v>0</v>
      </c>
      <c r="J197" s="2">
        <f t="shared" si="126"/>
        <v>0</v>
      </c>
      <c r="K197" s="2">
        <f t="shared" si="127"/>
        <v>0</v>
      </c>
      <c r="L197" s="2">
        <f t="shared" si="128"/>
        <v>0</v>
      </c>
      <c r="M197" s="2">
        <f t="shared" si="129"/>
        <v>0</v>
      </c>
      <c r="N197" s="2">
        <f t="shared" si="130"/>
        <v>0</v>
      </c>
      <c r="O197" s="2">
        <f t="shared" si="131"/>
        <v>0</v>
      </c>
      <c r="P197" s="2">
        <f t="shared" si="132"/>
        <v>0</v>
      </c>
      <c r="Q197" s="2">
        <f t="shared" si="133"/>
        <v>0</v>
      </c>
      <c r="R197" s="2">
        <f t="shared" si="134"/>
        <v>0</v>
      </c>
    </row>
    <row r="198" spans="3:18" x14ac:dyDescent="0.15">
      <c r="D198" s="2">
        <v>74</v>
      </c>
      <c r="E198" s="2">
        <f t="shared" si="121"/>
        <v>5109</v>
      </c>
      <c r="F198" s="2">
        <f t="shared" si="122"/>
        <v>974</v>
      </c>
      <c r="G198" s="2">
        <f t="shared" si="123"/>
        <v>974</v>
      </c>
      <c r="H198" s="2">
        <f t="shared" si="124"/>
        <v>1017</v>
      </c>
      <c r="I198" s="2">
        <f t="shared" si="125"/>
        <v>0</v>
      </c>
      <c r="J198" s="2">
        <f t="shared" si="126"/>
        <v>0</v>
      </c>
      <c r="K198" s="2">
        <f t="shared" si="127"/>
        <v>0</v>
      </c>
      <c r="L198" s="2">
        <f t="shared" si="128"/>
        <v>0</v>
      </c>
      <c r="M198" s="2">
        <f t="shared" si="129"/>
        <v>0</v>
      </c>
      <c r="N198" s="2">
        <f t="shared" si="130"/>
        <v>0</v>
      </c>
      <c r="O198" s="2">
        <f t="shared" si="131"/>
        <v>0</v>
      </c>
      <c r="P198" s="2">
        <f t="shared" si="132"/>
        <v>0</v>
      </c>
      <c r="Q198" s="2">
        <f t="shared" si="133"/>
        <v>0</v>
      </c>
      <c r="R198" s="2">
        <f t="shared" si="134"/>
        <v>0</v>
      </c>
    </row>
    <row r="199" spans="3:18" x14ac:dyDescent="0.15">
      <c r="D199" s="2">
        <v>75</v>
      </c>
      <c r="E199" s="2">
        <f t="shared" si="121"/>
        <v>5109</v>
      </c>
      <c r="F199" s="2">
        <f t="shared" si="122"/>
        <v>1072</v>
      </c>
      <c r="G199" s="2">
        <f t="shared" si="123"/>
        <v>974</v>
      </c>
      <c r="H199" s="2">
        <f t="shared" si="124"/>
        <v>1017</v>
      </c>
      <c r="I199" s="2">
        <f t="shared" si="125"/>
        <v>0</v>
      </c>
      <c r="J199" s="2">
        <f t="shared" si="126"/>
        <v>0</v>
      </c>
      <c r="K199" s="2">
        <f t="shared" si="127"/>
        <v>0</v>
      </c>
      <c r="L199" s="2">
        <f t="shared" si="128"/>
        <v>0</v>
      </c>
      <c r="M199" s="2">
        <f t="shared" si="129"/>
        <v>0</v>
      </c>
      <c r="N199" s="2">
        <f t="shared" si="130"/>
        <v>0</v>
      </c>
      <c r="O199" s="2">
        <f t="shared" si="131"/>
        <v>0</v>
      </c>
      <c r="P199" s="2">
        <f t="shared" si="132"/>
        <v>0</v>
      </c>
      <c r="Q199" s="2">
        <f t="shared" si="133"/>
        <v>0</v>
      </c>
      <c r="R199" s="2">
        <f t="shared" si="134"/>
        <v>0</v>
      </c>
    </row>
    <row r="200" spans="3:18" x14ac:dyDescent="0.15">
      <c r="D200" s="2">
        <v>76</v>
      </c>
      <c r="E200" s="2">
        <f t="shared" si="121"/>
        <v>5109</v>
      </c>
      <c r="F200" s="2">
        <f t="shared" si="122"/>
        <v>1072</v>
      </c>
      <c r="G200" s="2">
        <f t="shared" si="123"/>
        <v>1072</v>
      </c>
      <c r="H200" s="2">
        <f t="shared" si="124"/>
        <v>1017</v>
      </c>
      <c r="I200" s="2">
        <f t="shared" si="125"/>
        <v>0</v>
      </c>
      <c r="J200" s="2">
        <f t="shared" si="126"/>
        <v>0</v>
      </c>
      <c r="K200" s="2">
        <f t="shared" si="127"/>
        <v>0</v>
      </c>
      <c r="L200" s="2">
        <f t="shared" si="128"/>
        <v>0</v>
      </c>
      <c r="M200" s="2">
        <f t="shared" si="129"/>
        <v>0</v>
      </c>
      <c r="N200" s="2">
        <f t="shared" si="130"/>
        <v>0</v>
      </c>
      <c r="O200" s="2">
        <f t="shared" si="131"/>
        <v>0</v>
      </c>
      <c r="P200" s="2">
        <f t="shared" si="132"/>
        <v>0</v>
      </c>
      <c r="Q200" s="2">
        <f t="shared" si="133"/>
        <v>0</v>
      </c>
      <c r="R200" s="2">
        <f t="shared" si="134"/>
        <v>0</v>
      </c>
    </row>
    <row r="201" spans="3:18" x14ac:dyDescent="0.15">
      <c r="D201" s="2">
        <v>77</v>
      </c>
      <c r="E201" s="2">
        <f t="shared" si="121"/>
        <v>5844</v>
      </c>
      <c r="F201" s="2">
        <f t="shared" si="122"/>
        <v>1072</v>
      </c>
      <c r="G201" s="2">
        <f t="shared" si="123"/>
        <v>1072</v>
      </c>
      <c r="H201" s="2">
        <f t="shared" si="124"/>
        <v>1017</v>
      </c>
      <c r="I201" s="2">
        <f t="shared" si="125"/>
        <v>0</v>
      </c>
      <c r="J201" s="2">
        <f t="shared" si="126"/>
        <v>0</v>
      </c>
      <c r="K201" s="2">
        <f t="shared" si="127"/>
        <v>0</v>
      </c>
      <c r="L201" s="2">
        <f t="shared" si="128"/>
        <v>0</v>
      </c>
      <c r="M201" s="2">
        <f t="shared" si="129"/>
        <v>0</v>
      </c>
      <c r="N201" s="2">
        <f t="shared" si="130"/>
        <v>0</v>
      </c>
      <c r="O201" s="2">
        <f t="shared" si="131"/>
        <v>0</v>
      </c>
      <c r="P201" s="2">
        <f t="shared" si="132"/>
        <v>0</v>
      </c>
      <c r="Q201" s="2">
        <f t="shared" si="133"/>
        <v>0</v>
      </c>
      <c r="R201" s="2">
        <f t="shared" si="134"/>
        <v>0</v>
      </c>
    </row>
    <row r="202" spans="3:18" x14ac:dyDescent="0.15">
      <c r="D202" s="2">
        <v>78</v>
      </c>
      <c r="E202" s="2">
        <f t="shared" si="121"/>
        <v>5844</v>
      </c>
      <c r="F202" s="2">
        <f t="shared" si="122"/>
        <v>1072</v>
      </c>
      <c r="G202" s="2">
        <f t="shared" si="123"/>
        <v>1072</v>
      </c>
      <c r="H202" s="2">
        <f t="shared" si="124"/>
        <v>1164</v>
      </c>
      <c r="I202" s="2">
        <f t="shared" si="125"/>
        <v>0</v>
      </c>
      <c r="J202" s="2">
        <f t="shared" si="126"/>
        <v>0</v>
      </c>
      <c r="K202" s="2">
        <f t="shared" si="127"/>
        <v>0</v>
      </c>
      <c r="L202" s="2">
        <f t="shared" si="128"/>
        <v>0</v>
      </c>
      <c r="M202" s="2">
        <f t="shared" si="129"/>
        <v>0</v>
      </c>
      <c r="N202" s="2">
        <f t="shared" si="130"/>
        <v>0</v>
      </c>
      <c r="O202" s="2">
        <f t="shared" si="131"/>
        <v>0</v>
      </c>
      <c r="P202" s="2">
        <f t="shared" si="132"/>
        <v>0</v>
      </c>
      <c r="Q202" s="2">
        <f t="shared" si="133"/>
        <v>0</v>
      </c>
      <c r="R202" s="2">
        <f t="shared" si="134"/>
        <v>0</v>
      </c>
    </row>
    <row r="203" spans="3:18" x14ac:dyDescent="0.15">
      <c r="D203" s="2">
        <v>79</v>
      </c>
      <c r="E203" s="2">
        <f t="shared" si="121"/>
        <v>5844</v>
      </c>
      <c r="F203" s="2">
        <f t="shared" si="122"/>
        <v>1170</v>
      </c>
      <c r="G203" s="2">
        <f t="shared" si="123"/>
        <v>1072</v>
      </c>
      <c r="H203" s="2">
        <f t="shared" si="124"/>
        <v>1164</v>
      </c>
      <c r="I203" s="2">
        <f t="shared" si="125"/>
        <v>0</v>
      </c>
      <c r="J203" s="2">
        <f t="shared" si="126"/>
        <v>0</v>
      </c>
      <c r="K203" s="2">
        <f t="shared" si="127"/>
        <v>0</v>
      </c>
      <c r="L203" s="2">
        <f t="shared" si="128"/>
        <v>0</v>
      </c>
      <c r="M203" s="2">
        <f t="shared" si="129"/>
        <v>0</v>
      </c>
      <c r="N203" s="2">
        <f t="shared" si="130"/>
        <v>0</v>
      </c>
      <c r="O203" s="2">
        <f t="shared" si="131"/>
        <v>0</v>
      </c>
      <c r="P203" s="2">
        <f t="shared" si="132"/>
        <v>0</v>
      </c>
      <c r="Q203" s="2">
        <f t="shared" si="133"/>
        <v>0</v>
      </c>
      <c r="R203" s="2">
        <f t="shared" si="134"/>
        <v>0</v>
      </c>
    </row>
    <row r="204" spans="3:18" x14ac:dyDescent="0.15">
      <c r="D204" s="2">
        <v>80</v>
      </c>
      <c r="E204" s="2">
        <f t="shared" si="121"/>
        <v>5844</v>
      </c>
      <c r="F204" s="2">
        <f t="shared" si="122"/>
        <v>1170</v>
      </c>
      <c r="G204" s="2">
        <f t="shared" si="123"/>
        <v>1170</v>
      </c>
      <c r="H204" s="2">
        <f t="shared" si="124"/>
        <v>1164</v>
      </c>
      <c r="I204" s="2">
        <f t="shared" si="125"/>
        <v>0</v>
      </c>
      <c r="J204" s="2">
        <f t="shared" si="126"/>
        <v>0</v>
      </c>
      <c r="K204" s="2">
        <f t="shared" si="127"/>
        <v>0</v>
      </c>
      <c r="L204" s="2">
        <f t="shared" si="128"/>
        <v>0</v>
      </c>
      <c r="M204" s="2">
        <f t="shared" si="129"/>
        <v>0</v>
      </c>
      <c r="N204" s="2">
        <f t="shared" si="130"/>
        <v>0</v>
      </c>
      <c r="O204" s="2">
        <f t="shared" si="131"/>
        <v>0</v>
      </c>
      <c r="P204" s="2">
        <f t="shared" si="132"/>
        <v>0</v>
      </c>
      <c r="Q204" s="2">
        <f t="shared" si="133"/>
        <v>0</v>
      </c>
      <c r="R204" s="2">
        <f t="shared" si="134"/>
        <v>0</v>
      </c>
    </row>
    <row r="205" spans="3:18" x14ac:dyDescent="0.15">
      <c r="D205" s="2">
        <v>81</v>
      </c>
      <c r="E205" s="2">
        <f t="shared" si="121"/>
        <v>5844</v>
      </c>
      <c r="F205" s="2">
        <f t="shared" si="122"/>
        <v>1297</v>
      </c>
      <c r="G205" s="2">
        <f t="shared" si="123"/>
        <v>1170</v>
      </c>
      <c r="H205" s="2">
        <f t="shared" si="124"/>
        <v>1164</v>
      </c>
      <c r="I205" s="2">
        <f t="shared" si="125"/>
        <v>0</v>
      </c>
      <c r="J205" s="2">
        <f t="shared" si="126"/>
        <v>0</v>
      </c>
      <c r="K205" s="2">
        <f t="shared" si="127"/>
        <v>0</v>
      </c>
      <c r="L205" s="2">
        <f t="shared" si="128"/>
        <v>0</v>
      </c>
      <c r="M205" s="2">
        <f t="shared" si="129"/>
        <v>0</v>
      </c>
      <c r="N205" s="2">
        <f t="shared" si="130"/>
        <v>0</v>
      </c>
      <c r="O205" s="2">
        <f t="shared" si="131"/>
        <v>0</v>
      </c>
      <c r="P205" s="2">
        <f t="shared" si="132"/>
        <v>0</v>
      </c>
      <c r="Q205" s="2">
        <f t="shared" si="133"/>
        <v>0</v>
      </c>
      <c r="R205" s="2">
        <f t="shared" si="134"/>
        <v>0</v>
      </c>
    </row>
    <row r="206" spans="3:18" x14ac:dyDescent="0.15">
      <c r="D206" s="2">
        <v>82</v>
      </c>
      <c r="E206" s="2">
        <f t="shared" si="121"/>
        <v>5844</v>
      </c>
      <c r="F206" s="2">
        <f t="shared" si="122"/>
        <v>1297</v>
      </c>
      <c r="G206" s="2">
        <f t="shared" si="123"/>
        <v>1297</v>
      </c>
      <c r="H206" s="2">
        <f t="shared" si="124"/>
        <v>1164</v>
      </c>
      <c r="I206" s="2">
        <f t="shared" si="125"/>
        <v>0</v>
      </c>
      <c r="J206" s="2">
        <f t="shared" si="126"/>
        <v>0</v>
      </c>
      <c r="K206" s="2">
        <f t="shared" si="127"/>
        <v>0</v>
      </c>
      <c r="L206" s="2">
        <f t="shared" si="128"/>
        <v>0</v>
      </c>
      <c r="M206" s="2">
        <f t="shared" si="129"/>
        <v>0</v>
      </c>
      <c r="N206" s="2">
        <f t="shared" si="130"/>
        <v>0</v>
      </c>
      <c r="O206" s="2">
        <f t="shared" si="131"/>
        <v>0</v>
      </c>
      <c r="P206" s="2">
        <f t="shared" si="132"/>
        <v>0</v>
      </c>
      <c r="Q206" s="2">
        <f t="shared" si="133"/>
        <v>0</v>
      </c>
      <c r="R206" s="2">
        <f t="shared" si="134"/>
        <v>0</v>
      </c>
    </row>
    <row r="207" spans="3:18" x14ac:dyDescent="0.15">
      <c r="D207" s="2">
        <v>83</v>
      </c>
      <c r="E207" s="2">
        <f t="shared" si="121"/>
        <v>6796</v>
      </c>
      <c r="F207" s="2">
        <f t="shared" si="122"/>
        <v>1297</v>
      </c>
      <c r="G207" s="2">
        <f t="shared" si="123"/>
        <v>1297</v>
      </c>
      <c r="H207" s="2">
        <f t="shared" si="124"/>
        <v>1164</v>
      </c>
      <c r="I207" s="2">
        <f t="shared" si="125"/>
        <v>0</v>
      </c>
      <c r="J207" s="2">
        <f t="shared" si="126"/>
        <v>0</v>
      </c>
      <c r="K207" s="2">
        <f t="shared" si="127"/>
        <v>0</v>
      </c>
      <c r="L207" s="2">
        <f t="shared" si="128"/>
        <v>0</v>
      </c>
      <c r="M207" s="2">
        <f t="shared" si="129"/>
        <v>0</v>
      </c>
      <c r="N207" s="2">
        <f t="shared" si="130"/>
        <v>0</v>
      </c>
      <c r="O207" s="2">
        <f t="shared" si="131"/>
        <v>0</v>
      </c>
      <c r="P207" s="2">
        <f t="shared" si="132"/>
        <v>0</v>
      </c>
      <c r="Q207" s="2">
        <f t="shared" si="133"/>
        <v>0</v>
      </c>
      <c r="R207" s="2">
        <f t="shared" si="134"/>
        <v>0</v>
      </c>
    </row>
    <row r="208" spans="3:18" x14ac:dyDescent="0.15">
      <c r="D208" s="2">
        <v>84</v>
      </c>
      <c r="E208" s="2">
        <f t="shared" si="121"/>
        <v>6796</v>
      </c>
      <c r="F208" s="2">
        <f t="shared" si="122"/>
        <v>1297</v>
      </c>
      <c r="G208" s="2">
        <f t="shared" si="123"/>
        <v>1297</v>
      </c>
      <c r="H208" s="2">
        <f t="shared" si="124"/>
        <v>1354</v>
      </c>
      <c r="I208" s="2">
        <f t="shared" si="125"/>
        <v>0</v>
      </c>
      <c r="J208" s="2">
        <f t="shared" si="126"/>
        <v>0</v>
      </c>
      <c r="K208" s="2">
        <f t="shared" si="127"/>
        <v>0</v>
      </c>
      <c r="L208" s="2">
        <f t="shared" si="128"/>
        <v>0</v>
      </c>
      <c r="M208" s="2">
        <f t="shared" si="129"/>
        <v>0</v>
      </c>
      <c r="N208" s="2">
        <f t="shared" si="130"/>
        <v>0</v>
      </c>
      <c r="O208" s="2">
        <f t="shared" si="131"/>
        <v>0</v>
      </c>
      <c r="P208" s="2">
        <f t="shared" si="132"/>
        <v>0</v>
      </c>
      <c r="Q208" s="2">
        <f t="shared" si="133"/>
        <v>0</v>
      </c>
      <c r="R208" s="2">
        <f t="shared" si="134"/>
        <v>0</v>
      </c>
    </row>
    <row r="209" spans="4:18" x14ac:dyDescent="0.15">
      <c r="D209" s="2">
        <v>85</v>
      </c>
      <c r="E209" s="2">
        <f t="shared" si="121"/>
        <v>6796</v>
      </c>
      <c r="F209" s="2">
        <f t="shared" si="122"/>
        <v>1424</v>
      </c>
      <c r="G209" s="2">
        <f t="shared" si="123"/>
        <v>1297</v>
      </c>
      <c r="H209" s="2">
        <f t="shared" si="124"/>
        <v>1354</v>
      </c>
      <c r="I209" s="2">
        <f t="shared" si="125"/>
        <v>0</v>
      </c>
      <c r="J209" s="2">
        <f t="shared" si="126"/>
        <v>0</v>
      </c>
      <c r="K209" s="2">
        <f t="shared" si="127"/>
        <v>0</v>
      </c>
      <c r="L209" s="2">
        <f t="shared" si="128"/>
        <v>0</v>
      </c>
      <c r="M209" s="2">
        <f t="shared" si="129"/>
        <v>0</v>
      </c>
      <c r="N209" s="2">
        <f t="shared" si="130"/>
        <v>0</v>
      </c>
      <c r="O209" s="2">
        <f t="shared" si="131"/>
        <v>0</v>
      </c>
      <c r="P209" s="2">
        <f t="shared" si="132"/>
        <v>0</v>
      </c>
      <c r="Q209" s="2">
        <f t="shared" si="133"/>
        <v>0</v>
      </c>
      <c r="R209" s="2">
        <f t="shared" si="134"/>
        <v>0</v>
      </c>
    </row>
    <row r="210" spans="4:18" x14ac:dyDescent="0.15">
      <c r="D210" s="2">
        <v>86</v>
      </c>
      <c r="E210" s="2">
        <f t="shared" si="121"/>
        <v>6796</v>
      </c>
      <c r="F210" s="2">
        <f t="shared" si="122"/>
        <v>1424</v>
      </c>
      <c r="G210" s="2">
        <f t="shared" si="123"/>
        <v>1424</v>
      </c>
      <c r="H210" s="2">
        <f t="shared" si="124"/>
        <v>1354</v>
      </c>
      <c r="I210" s="2">
        <f t="shared" si="125"/>
        <v>0</v>
      </c>
      <c r="J210" s="2">
        <f t="shared" si="126"/>
        <v>0</v>
      </c>
      <c r="K210" s="2">
        <f t="shared" si="127"/>
        <v>0</v>
      </c>
      <c r="L210" s="2">
        <f t="shared" si="128"/>
        <v>0</v>
      </c>
      <c r="M210" s="2">
        <f t="shared" si="129"/>
        <v>0</v>
      </c>
      <c r="N210" s="2">
        <f t="shared" si="130"/>
        <v>0</v>
      </c>
      <c r="O210" s="2">
        <f t="shared" si="131"/>
        <v>0</v>
      </c>
      <c r="P210" s="2">
        <f t="shared" si="132"/>
        <v>0</v>
      </c>
      <c r="Q210" s="2">
        <f t="shared" si="133"/>
        <v>0</v>
      </c>
      <c r="R210" s="2">
        <f t="shared" si="134"/>
        <v>0</v>
      </c>
    </row>
    <row r="211" spans="4:18" x14ac:dyDescent="0.15">
      <c r="D211" s="2">
        <v>87</v>
      </c>
      <c r="E211" s="2">
        <f t="shared" si="121"/>
        <v>7748</v>
      </c>
      <c r="F211" s="2">
        <f t="shared" si="122"/>
        <v>1424</v>
      </c>
      <c r="G211" s="2">
        <f t="shared" si="123"/>
        <v>1424</v>
      </c>
      <c r="H211" s="2">
        <f t="shared" si="124"/>
        <v>1354</v>
      </c>
      <c r="I211" s="2">
        <f t="shared" si="125"/>
        <v>0</v>
      </c>
      <c r="J211" s="2">
        <f t="shared" si="126"/>
        <v>0</v>
      </c>
      <c r="K211" s="2">
        <f t="shared" si="127"/>
        <v>0</v>
      </c>
      <c r="L211" s="2">
        <f t="shared" si="128"/>
        <v>0</v>
      </c>
      <c r="M211" s="2">
        <f t="shared" si="129"/>
        <v>0</v>
      </c>
      <c r="N211" s="2">
        <f t="shared" si="130"/>
        <v>0</v>
      </c>
      <c r="O211" s="2">
        <f t="shared" si="131"/>
        <v>0</v>
      </c>
      <c r="P211" s="2">
        <f t="shared" si="132"/>
        <v>0</v>
      </c>
      <c r="Q211" s="2">
        <f t="shared" si="133"/>
        <v>0</v>
      </c>
      <c r="R211" s="2">
        <f t="shared" si="134"/>
        <v>0</v>
      </c>
    </row>
    <row r="212" spans="4:18" x14ac:dyDescent="0.15">
      <c r="D212" s="2">
        <v>88</v>
      </c>
      <c r="E212" s="2">
        <f t="shared" si="121"/>
        <v>7748</v>
      </c>
      <c r="F212" s="2">
        <f t="shared" si="122"/>
        <v>1424</v>
      </c>
      <c r="G212" s="2">
        <f t="shared" si="123"/>
        <v>1424</v>
      </c>
      <c r="H212" s="2">
        <f t="shared" si="124"/>
        <v>1544</v>
      </c>
      <c r="I212" s="2">
        <f t="shared" si="125"/>
        <v>0</v>
      </c>
      <c r="J212" s="2">
        <f t="shared" si="126"/>
        <v>0</v>
      </c>
      <c r="K212" s="2">
        <f t="shared" si="127"/>
        <v>0</v>
      </c>
      <c r="L212" s="2">
        <f t="shared" si="128"/>
        <v>0</v>
      </c>
      <c r="M212" s="2">
        <f t="shared" si="129"/>
        <v>0</v>
      </c>
      <c r="N212" s="2">
        <f t="shared" si="130"/>
        <v>0</v>
      </c>
      <c r="O212" s="2">
        <f t="shared" si="131"/>
        <v>0</v>
      </c>
      <c r="P212" s="2">
        <f t="shared" si="132"/>
        <v>0</v>
      </c>
      <c r="Q212" s="2">
        <f t="shared" si="133"/>
        <v>0</v>
      </c>
      <c r="R212" s="2">
        <f t="shared" si="134"/>
        <v>0</v>
      </c>
    </row>
    <row r="213" spans="4:18" x14ac:dyDescent="0.15">
      <c r="D213" s="2">
        <v>89</v>
      </c>
      <c r="E213" s="2">
        <f t="shared" si="121"/>
        <v>7748</v>
      </c>
      <c r="F213" s="2">
        <f t="shared" si="122"/>
        <v>1551</v>
      </c>
      <c r="G213" s="2">
        <f t="shared" si="123"/>
        <v>1424</v>
      </c>
      <c r="H213" s="2">
        <f t="shared" si="124"/>
        <v>1544</v>
      </c>
      <c r="I213" s="2">
        <f t="shared" si="125"/>
        <v>0</v>
      </c>
      <c r="J213" s="2">
        <f t="shared" si="126"/>
        <v>0</v>
      </c>
      <c r="K213" s="2">
        <f t="shared" si="127"/>
        <v>0</v>
      </c>
      <c r="L213" s="2">
        <f t="shared" si="128"/>
        <v>0</v>
      </c>
      <c r="M213" s="2">
        <f t="shared" si="129"/>
        <v>0</v>
      </c>
      <c r="N213" s="2">
        <f t="shared" si="130"/>
        <v>0</v>
      </c>
      <c r="O213" s="2">
        <f t="shared" si="131"/>
        <v>0</v>
      </c>
      <c r="P213" s="2">
        <f t="shared" si="132"/>
        <v>0</v>
      </c>
      <c r="Q213" s="2">
        <f t="shared" si="133"/>
        <v>0</v>
      </c>
      <c r="R213" s="2">
        <f t="shared" si="134"/>
        <v>0</v>
      </c>
    </row>
    <row r="214" spans="4:18" x14ac:dyDescent="0.15">
      <c r="D214" s="2">
        <v>90</v>
      </c>
      <c r="E214" s="2">
        <f t="shared" si="121"/>
        <v>7748</v>
      </c>
      <c r="F214" s="2">
        <f t="shared" si="122"/>
        <v>1551</v>
      </c>
      <c r="G214" s="2">
        <f t="shared" si="123"/>
        <v>1551</v>
      </c>
      <c r="H214" s="2">
        <f t="shared" si="124"/>
        <v>1544</v>
      </c>
      <c r="I214" s="2">
        <f t="shared" si="125"/>
        <v>0</v>
      </c>
      <c r="J214" s="2">
        <f t="shared" si="126"/>
        <v>0</v>
      </c>
      <c r="K214" s="2">
        <f t="shared" si="127"/>
        <v>0</v>
      </c>
      <c r="L214" s="2">
        <f t="shared" si="128"/>
        <v>0</v>
      </c>
      <c r="M214" s="2">
        <f t="shared" si="129"/>
        <v>0</v>
      </c>
      <c r="N214" s="2">
        <f t="shared" si="130"/>
        <v>0</v>
      </c>
      <c r="O214" s="2">
        <f t="shared" si="131"/>
        <v>0</v>
      </c>
      <c r="P214" s="2">
        <f t="shared" si="132"/>
        <v>0</v>
      </c>
      <c r="Q214" s="2">
        <f t="shared" si="133"/>
        <v>0</v>
      </c>
      <c r="R214" s="2">
        <f t="shared" si="134"/>
        <v>0</v>
      </c>
    </row>
    <row r="215" spans="4:18" x14ac:dyDescent="0.15">
      <c r="D215" s="2">
        <v>91</v>
      </c>
      <c r="E215" s="2">
        <f t="shared" si="121"/>
        <v>7748</v>
      </c>
      <c r="F215" s="2">
        <f t="shared" si="122"/>
        <v>1717</v>
      </c>
      <c r="G215" s="2">
        <f t="shared" si="123"/>
        <v>1551</v>
      </c>
      <c r="H215" s="2">
        <f t="shared" si="124"/>
        <v>1544</v>
      </c>
      <c r="I215" s="2">
        <f t="shared" si="125"/>
        <v>0</v>
      </c>
      <c r="J215" s="2">
        <f t="shared" si="126"/>
        <v>0</v>
      </c>
      <c r="K215" s="2">
        <f t="shared" si="127"/>
        <v>0</v>
      </c>
      <c r="L215" s="2">
        <f t="shared" si="128"/>
        <v>0</v>
      </c>
      <c r="M215" s="2">
        <f t="shared" si="129"/>
        <v>0</v>
      </c>
      <c r="N215" s="2">
        <f t="shared" si="130"/>
        <v>0</v>
      </c>
      <c r="O215" s="2">
        <f t="shared" si="131"/>
        <v>0</v>
      </c>
      <c r="P215" s="2">
        <f t="shared" si="132"/>
        <v>0</v>
      </c>
      <c r="Q215" s="2">
        <f t="shared" si="133"/>
        <v>0</v>
      </c>
      <c r="R215" s="2">
        <f t="shared" si="134"/>
        <v>0</v>
      </c>
    </row>
    <row r="216" spans="4:18" x14ac:dyDescent="0.15">
      <c r="D216" s="2">
        <v>92</v>
      </c>
      <c r="E216" s="2">
        <f t="shared" si="121"/>
        <v>7748</v>
      </c>
      <c r="F216" s="2">
        <f t="shared" si="122"/>
        <v>1717</v>
      </c>
      <c r="G216" s="2">
        <f t="shared" si="123"/>
        <v>1717</v>
      </c>
      <c r="H216" s="2">
        <f t="shared" si="124"/>
        <v>1544</v>
      </c>
      <c r="I216" s="2">
        <f t="shared" si="125"/>
        <v>0</v>
      </c>
      <c r="J216" s="2">
        <f t="shared" si="126"/>
        <v>0</v>
      </c>
      <c r="K216" s="2">
        <f t="shared" si="127"/>
        <v>0</v>
      </c>
      <c r="L216" s="2">
        <f t="shared" si="128"/>
        <v>0</v>
      </c>
      <c r="M216" s="2">
        <f t="shared" si="129"/>
        <v>0</v>
      </c>
      <c r="N216" s="2">
        <f t="shared" si="130"/>
        <v>0</v>
      </c>
      <c r="O216" s="2">
        <f t="shared" si="131"/>
        <v>0</v>
      </c>
      <c r="P216" s="2">
        <f t="shared" si="132"/>
        <v>0</v>
      </c>
      <c r="Q216" s="2">
        <f t="shared" si="133"/>
        <v>0</v>
      </c>
      <c r="R216" s="2">
        <f t="shared" si="134"/>
        <v>0</v>
      </c>
    </row>
    <row r="217" spans="4:18" x14ac:dyDescent="0.15">
      <c r="D217" s="2">
        <v>93</v>
      </c>
      <c r="E217" s="2">
        <f t="shared" si="121"/>
        <v>8993</v>
      </c>
      <c r="F217" s="2">
        <f t="shared" si="122"/>
        <v>1717</v>
      </c>
      <c r="G217" s="2">
        <f t="shared" si="123"/>
        <v>1717</v>
      </c>
      <c r="H217" s="2">
        <f t="shared" si="124"/>
        <v>1544</v>
      </c>
      <c r="I217" s="2">
        <f t="shared" si="125"/>
        <v>0</v>
      </c>
      <c r="J217" s="2">
        <f t="shared" si="126"/>
        <v>0</v>
      </c>
      <c r="K217" s="2">
        <f t="shared" si="127"/>
        <v>0</v>
      </c>
      <c r="L217" s="2">
        <f t="shared" si="128"/>
        <v>0</v>
      </c>
      <c r="M217" s="2">
        <f t="shared" si="129"/>
        <v>0</v>
      </c>
      <c r="N217" s="2">
        <f t="shared" si="130"/>
        <v>0</v>
      </c>
      <c r="O217" s="2">
        <f t="shared" si="131"/>
        <v>0</v>
      </c>
      <c r="P217" s="2">
        <f t="shared" si="132"/>
        <v>0</v>
      </c>
      <c r="Q217" s="2">
        <f t="shared" si="133"/>
        <v>0</v>
      </c>
      <c r="R217" s="2">
        <f t="shared" si="134"/>
        <v>0</v>
      </c>
    </row>
    <row r="218" spans="4:18" x14ac:dyDescent="0.15">
      <c r="D218" s="2">
        <v>94</v>
      </c>
      <c r="E218" s="2">
        <f t="shared" si="121"/>
        <v>8993</v>
      </c>
      <c r="F218" s="2">
        <f t="shared" si="122"/>
        <v>1717</v>
      </c>
      <c r="G218" s="2">
        <f t="shared" si="123"/>
        <v>1717</v>
      </c>
      <c r="H218" s="2">
        <f t="shared" si="124"/>
        <v>1793</v>
      </c>
      <c r="I218" s="2">
        <f t="shared" si="125"/>
        <v>0</v>
      </c>
      <c r="J218" s="2">
        <f t="shared" si="126"/>
        <v>0</v>
      </c>
      <c r="K218" s="2">
        <f t="shared" si="127"/>
        <v>0</v>
      </c>
      <c r="L218" s="2">
        <f t="shared" si="128"/>
        <v>0</v>
      </c>
      <c r="M218" s="2">
        <f t="shared" si="129"/>
        <v>0</v>
      </c>
      <c r="N218" s="2">
        <f t="shared" si="130"/>
        <v>0</v>
      </c>
      <c r="O218" s="2">
        <f t="shared" si="131"/>
        <v>0</v>
      </c>
      <c r="P218" s="2">
        <f t="shared" si="132"/>
        <v>0</v>
      </c>
      <c r="Q218" s="2">
        <f t="shared" si="133"/>
        <v>0</v>
      </c>
      <c r="R218" s="2">
        <f t="shared" si="134"/>
        <v>0</v>
      </c>
    </row>
    <row r="219" spans="4:18" x14ac:dyDescent="0.15">
      <c r="D219" s="2">
        <v>95</v>
      </c>
      <c r="E219" s="2">
        <f t="shared" si="121"/>
        <v>8993</v>
      </c>
      <c r="F219" s="2">
        <f t="shared" si="122"/>
        <v>1883</v>
      </c>
      <c r="G219" s="2">
        <f t="shared" si="123"/>
        <v>1717</v>
      </c>
      <c r="H219" s="2">
        <f t="shared" si="124"/>
        <v>1793</v>
      </c>
      <c r="I219" s="2">
        <f t="shared" si="125"/>
        <v>0</v>
      </c>
      <c r="J219" s="2">
        <f t="shared" si="126"/>
        <v>0</v>
      </c>
      <c r="K219" s="2">
        <f t="shared" si="127"/>
        <v>0</v>
      </c>
      <c r="L219" s="2">
        <f t="shared" si="128"/>
        <v>0</v>
      </c>
      <c r="M219" s="2">
        <f t="shared" si="129"/>
        <v>0</v>
      </c>
      <c r="N219" s="2">
        <f t="shared" si="130"/>
        <v>0</v>
      </c>
      <c r="O219" s="2">
        <f t="shared" si="131"/>
        <v>0</v>
      </c>
      <c r="P219" s="2">
        <f t="shared" si="132"/>
        <v>0</v>
      </c>
      <c r="Q219" s="2">
        <f t="shared" si="133"/>
        <v>0</v>
      </c>
      <c r="R219" s="2">
        <f t="shared" si="134"/>
        <v>0</v>
      </c>
    </row>
    <row r="220" spans="4:18" x14ac:dyDescent="0.15">
      <c r="D220" s="2">
        <v>96</v>
      </c>
      <c r="E220" s="2">
        <f t="shared" si="121"/>
        <v>8993</v>
      </c>
      <c r="F220" s="2">
        <f t="shared" si="122"/>
        <v>1883</v>
      </c>
      <c r="G220" s="2">
        <f t="shared" si="123"/>
        <v>1883</v>
      </c>
      <c r="H220" s="2">
        <f t="shared" si="124"/>
        <v>1793</v>
      </c>
      <c r="I220" s="2">
        <f t="shared" si="125"/>
        <v>0</v>
      </c>
      <c r="J220" s="2">
        <f t="shared" si="126"/>
        <v>0</v>
      </c>
      <c r="K220" s="2">
        <f t="shared" si="127"/>
        <v>0</v>
      </c>
      <c r="L220" s="2">
        <f t="shared" si="128"/>
        <v>0</v>
      </c>
      <c r="M220" s="2">
        <f t="shared" si="129"/>
        <v>0</v>
      </c>
      <c r="N220" s="2">
        <f t="shared" si="130"/>
        <v>0</v>
      </c>
      <c r="O220" s="2">
        <f t="shared" si="131"/>
        <v>0</v>
      </c>
      <c r="P220" s="2">
        <f t="shared" si="132"/>
        <v>0</v>
      </c>
      <c r="Q220" s="2">
        <f t="shared" si="133"/>
        <v>0</v>
      </c>
      <c r="R220" s="2">
        <f t="shared" si="134"/>
        <v>0</v>
      </c>
    </row>
    <row r="221" spans="4:18" x14ac:dyDescent="0.15">
      <c r="D221" s="2">
        <v>97</v>
      </c>
      <c r="E221" s="2">
        <f t="shared" si="121"/>
        <v>10238</v>
      </c>
      <c r="F221" s="2">
        <f t="shared" si="122"/>
        <v>1883</v>
      </c>
      <c r="G221" s="2">
        <f t="shared" si="123"/>
        <v>1883</v>
      </c>
      <c r="H221" s="2">
        <f t="shared" si="124"/>
        <v>1793</v>
      </c>
      <c r="I221" s="2">
        <f t="shared" si="125"/>
        <v>0</v>
      </c>
      <c r="J221" s="2">
        <f t="shared" si="126"/>
        <v>0</v>
      </c>
      <c r="K221" s="2">
        <f t="shared" si="127"/>
        <v>0</v>
      </c>
      <c r="L221" s="2">
        <f t="shared" si="128"/>
        <v>0</v>
      </c>
      <c r="M221" s="2">
        <f t="shared" si="129"/>
        <v>0</v>
      </c>
      <c r="N221" s="2">
        <f t="shared" si="130"/>
        <v>0</v>
      </c>
      <c r="O221" s="2">
        <f t="shared" si="131"/>
        <v>0</v>
      </c>
      <c r="P221" s="2">
        <f t="shared" si="132"/>
        <v>0</v>
      </c>
      <c r="Q221" s="2">
        <f t="shared" si="133"/>
        <v>0</v>
      </c>
      <c r="R221" s="2">
        <f t="shared" si="134"/>
        <v>0</v>
      </c>
    </row>
    <row r="222" spans="4:18" x14ac:dyDescent="0.15">
      <c r="D222" s="2">
        <v>98</v>
      </c>
      <c r="E222" s="2">
        <f t="shared" si="121"/>
        <v>10238</v>
      </c>
      <c r="F222" s="2">
        <f t="shared" si="122"/>
        <v>1883</v>
      </c>
      <c r="G222" s="2">
        <f t="shared" si="123"/>
        <v>1883</v>
      </c>
      <c r="H222" s="2">
        <f t="shared" si="124"/>
        <v>2042</v>
      </c>
      <c r="I222" s="2">
        <f t="shared" si="125"/>
        <v>0</v>
      </c>
      <c r="J222" s="2">
        <f t="shared" si="126"/>
        <v>0</v>
      </c>
      <c r="K222" s="2">
        <f t="shared" si="127"/>
        <v>0</v>
      </c>
      <c r="L222" s="2">
        <f t="shared" si="128"/>
        <v>0</v>
      </c>
      <c r="M222" s="2">
        <f t="shared" si="129"/>
        <v>0</v>
      </c>
      <c r="N222" s="2">
        <f t="shared" si="130"/>
        <v>0</v>
      </c>
      <c r="O222" s="2">
        <f t="shared" si="131"/>
        <v>0</v>
      </c>
      <c r="P222" s="2">
        <f t="shared" si="132"/>
        <v>0</v>
      </c>
      <c r="Q222" s="2">
        <f t="shared" si="133"/>
        <v>0</v>
      </c>
      <c r="R222" s="2">
        <f t="shared" si="134"/>
        <v>0</v>
      </c>
    </row>
    <row r="223" spans="4:18" x14ac:dyDescent="0.15">
      <c r="D223" s="2">
        <v>99</v>
      </c>
      <c r="E223" s="2">
        <f t="shared" si="121"/>
        <v>10238</v>
      </c>
      <c r="F223" s="2">
        <f t="shared" si="122"/>
        <v>2049</v>
      </c>
      <c r="G223" s="2">
        <f t="shared" si="123"/>
        <v>1883</v>
      </c>
      <c r="H223" s="2">
        <f t="shared" si="124"/>
        <v>2042</v>
      </c>
      <c r="I223" s="2">
        <f t="shared" si="125"/>
        <v>0</v>
      </c>
      <c r="J223" s="2">
        <f t="shared" si="126"/>
        <v>0</v>
      </c>
      <c r="K223" s="2">
        <f t="shared" si="127"/>
        <v>0</v>
      </c>
      <c r="L223" s="2">
        <f t="shared" si="128"/>
        <v>0</v>
      </c>
      <c r="M223" s="2">
        <f t="shared" si="129"/>
        <v>0</v>
      </c>
      <c r="N223" s="2">
        <f t="shared" si="130"/>
        <v>0</v>
      </c>
      <c r="O223" s="2">
        <f t="shared" si="131"/>
        <v>0</v>
      </c>
      <c r="P223" s="2">
        <f t="shared" si="132"/>
        <v>0</v>
      </c>
      <c r="Q223" s="2">
        <f t="shared" si="133"/>
        <v>0</v>
      </c>
      <c r="R223" s="2">
        <f t="shared" si="134"/>
        <v>0</v>
      </c>
    </row>
    <row r="224" spans="4:18" x14ac:dyDescent="0.15">
      <c r="D224" s="2">
        <v>100</v>
      </c>
      <c r="E224" s="2">
        <f t="shared" si="121"/>
        <v>10238</v>
      </c>
      <c r="F224" s="2">
        <f t="shared" si="122"/>
        <v>2049</v>
      </c>
      <c r="G224" s="2">
        <f t="shared" si="123"/>
        <v>2049</v>
      </c>
      <c r="H224" s="2">
        <f t="shared" si="124"/>
        <v>2042</v>
      </c>
      <c r="I224" s="2">
        <f t="shared" si="125"/>
        <v>0</v>
      </c>
      <c r="J224" s="2">
        <f t="shared" si="126"/>
        <v>0</v>
      </c>
      <c r="K224" s="2">
        <f t="shared" si="127"/>
        <v>0</v>
      </c>
      <c r="L224" s="2">
        <f t="shared" si="128"/>
        <v>0</v>
      </c>
      <c r="M224" s="2">
        <f t="shared" si="129"/>
        <v>0</v>
      </c>
      <c r="N224" s="2">
        <f t="shared" si="130"/>
        <v>0</v>
      </c>
      <c r="O224" s="2">
        <f t="shared" si="131"/>
        <v>0</v>
      </c>
      <c r="P224" s="2">
        <f t="shared" si="132"/>
        <v>0</v>
      </c>
      <c r="Q224" s="2">
        <f t="shared" si="133"/>
        <v>0</v>
      </c>
      <c r="R224" s="2">
        <f t="shared" si="134"/>
        <v>0</v>
      </c>
    </row>
    <row r="225" spans="4:18" x14ac:dyDescent="0.15">
      <c r="D225" s="2">
        <v>101</v>
      </c>
      <c r="E225" s="2">
        <f t="shared" si="121"/>
        <v>10238</v>
      </c>
      <c r="F225" s="2">
        <f t="shared" si="122"/>
        <v>2264</v>
      </c>
      <c r="G225" s="2">
        <f t="shared" si="123"/>
        <v>2049</v>
      </c>
      <c r="H225" s="2">
        <f t="shared" si="124"/>
        <v>2042</v>
      </c>
      <c r="I225" s="2">
        <f t="shared" si="125"/>
        <v>0</v>
      </c>
      <c r="J225" s="2">
        <f t="shared" si="126"/>
        <v>0</v>
      </c>
      <c r="K225" s="2">
        <f t="shared" si="127"/>
        <v>0</v>
      </c>
      <c r="L225" s="2">
        <f t="shared" si="128"/>
        <v>0</v>
      </c>
      <c r="M225" s="2">
        <f t="shared" si="129"/>
        <v>0</v>
      </c>
      <c r="N225" s="2">
        <f t="shared" si="130"/>
        <v>0</v>
      </c>
      <c r="O225" s="2">
        <f t="shared" si="131"/>
        <v>0</v>
      </c>
      <c r="P225" s="2">
        <f t="shared" si="132"/>
        <v>0</v>
      </c>
      <c r="Q225" s="2">
        <f t="shared" si="133"/>
        <v>0</v>
      </c>
      <c r="R225" s="2">
        <f t="shared" si="134"/>
        <v>0</v>
      </c>
    </row>
    <row r="226" spans="4:18" x14ac:dyDescent="0.15">
      <c r="D226" s="2">
        <v>102</v>
      </c>
      <c r="E226" s="2">
        <f t="shared" si="121"/>
        <v>10238</v>
      </c>
      <c r="F226" s="2">
        <f t="shared" si="122"/>
        <v>2264</v>
      </c>
      <c r="G226" s="2">
        <f t="shared" si="123"/>
        <v>2264</v>
      </c>
      <c r="H226" s="2">
        <f t="shared" si="124"/>
        <v>2042</v>
      </c>
      <c r="I226" s="2">
        <f t="shared" si="125"/>
        <v>0</v>
      </c>
      <c r="J226" s="2">
        <f t="shared" si="126"/>
        <v>0</v>
      </c>
      <c r="K226" s="2">
        <f t="shared" si="127"/>
        <v>0</v>
      </c>
      <c r="L226" s="2">
        <f t="shared" si="128"/>
        <v>0</v>
      </c>
      <c r="M226" s="2">
        <f t="shared" si="129"/>
        <v>0</v>
      </c>
      <c r="N226" s="2">
        <f t="shared" si="130"/>
        <v>0</v>
      </c>
      <c r="O226" s="2">
        <f t="shared" si="131"/>
        <v>0</v>
      </c>
      <c r="P226" s="2">
        <f t="shared" si="132"/>
        <v>0</v>
      </c>
      <c r="Q226" s="2">
        <f t="shared" si="133"/>
        <v>0</v>
      </c>
      <c r="R226" s="2">
        <f t="shared" si="134"/>
        <v>0</v>
      </c>
    </row>
    <row r="227" spans="4:18" x14ac:dyDescent="0.15">
      <c r="D227" s="2">
        <v>103</v>
      </c>
      <c r="E227" s="2">
        <f t="shared" si="121"/>
        <v>11850</v>
      </c>
      <c r="F227" s="2">
        <f t="shared" si="122"/>
        <v>2264</v>
      </c>
      <c r="G227" s="2">
        <f t="shared" si="123"/>
        <v>2264</v>
      </c>
      <c r="H227" s="2">
        <f t="shared" si="124"/>
        <v>2042</v>
      </c>
      <c r="I227" s="2">
        <f t="shared" si="125"/>
        <v>0</v>
      </c>
      <c r="J227" s="2">
        <f t="shared" si="126"/>
        <v>0</v>
      </c>
      <c r="K227" s="2">
        <f t="shared" si="127"/>
        <v>0</v>
      </c>
      <c r="L227" s="2">
        <f t="shared" si="128"/>
        <v>0</v>
      </c>
      <c r="M227" s="2">
        <f t="shared" si="129"/>
        <v>0</v>
      </c>
      <c r="N227" s="2">
        <f t="shared" si="130"/>
        <v>0</v>
      </c>
      <c r="O227" s="2">
        <f t="shared" si="131"/>
        <v>0</v>
      </c>
      <c r="P227" s="2">
        <f t="shared" si="132"/>
        <v>0</v>
      </c>
      <c r="Q227" s="2">
        <f t="shared" si="133"/>
        <v>0</v>
      </c>
      <c r="R227" s="2">
        <f t="shared" si="134"/>
        <v>0</v>
      </c>
    </row>
    <row r="228" spans="4:18" x14ac:dyDescent="0.15">
      <c r="D228" s="2">
        <v>104</v>
      </c>
      <c r="E228" s="2">
        <f t="shared" si="121"/>
        <v>11850</v>
      </c>
      <c r="F228" s="2">
        <f t="shared" si="122"/>
        <v>2264</v>
      </c>
      <c r="G228" s="2">
        <f t="shared" si="123"/>
        <v>2264</v>
      </c>
      <c r="H228" s="2">
        <f t="shared" si="124"/>
        <v>2364</v>
      </c>
      <c r="I228" s="2">
        <f t="shared" si="125"/>
        <v>0</v>
      </c>
      <c r="J228" s="2">
        <f t="shared" si="126"/>
        <v>0</v>
      </c>
      <c r="K228" s="2">
        <f t="shared" si="127"/>
        <v>0</v>
      </c>
      <c r="L228" s="2">
        <f t="shared" si="128"/>
        <v>0</v>
      </c>
      <c r="M228" s="2">
        <f t="shared" si="129"/>
        <v>0</v>
      </c>
      <c r="N228" s="2">
        <f t="shared" si="130"/>
        <v>0</v>
      </c>
      <c r="O228" s="2">
        <f t="shared" si="131"/>
        <v>0</v>
      </c>
      <c r="P228" s="2">
        <f t="shared" si="132"/>
        <v>0</v>
      </c>
      <c r="Q228" s="2">
        <f t="shared" si="133"/>
        <v>0</v>
      </c>
      <c r="R228" s="2">
        <f t="shared" si="134"/>
        <v>0</v>
      </c>
    </row>
    <row r="229" spans="4:18" x14ac:dyDescent="0.15">
      <c r="D229" s="2">
        <v>105</v>
      </c>
      <c r="E229" s="2">
        <f t="shared" si="121"/>
        <v>11850</v>
      </c>
      <c r="F229" s="2">
        <f t="shared" si="122"/>
        <v>2479</v>
      </c>
      <c r="G229" s="2">
        <f t="shared" si="123"/>
        <v>2264</v>
      </c>
      <c r="H229" s="2">
        <f t="shared" si="124"/>
        <v>2364</v>
      </c>
      <c r="I229" s="2">
        <f t="shared" si="125"/>
        <v>0</v>
      </c>
      <c r="J229" s="2">
        <f t="shared" si="126"/>
        <v>0</v>
      </c>
      <c r="K229" s="2">
        <f t="shared" si="127"/>
        <v>0</v>
      </c>
      <c r="L229" s="2">
        <f t="shared" si="128"/>
        <v>0</v>
      </c>
      <c r="M229" s="2">
        <f t="shared" si="129"/>
        <v>0</v>
      </c>
      <c r="N229" s="2">
        <f t="shared" si="130"/>
        <v>0</v>
      </c>
      <c r="O229" s="2">
        <f t="shared" si="131"/>
        <v>0</v>
      </c>
      <c r="P229" s="2">
        <f t="shared" si="132"/>
        <v>0</v>
      </c>
      <c r="Q229" s="2">
        <f t="shared" si="133"/>
        <v>0</v>
      </c>
      <c r="R229" s="2">
        <f t="shared" si="134"/>
        <v>0</v>
      </c>
    </row>
    <row r="230" spans="4:18" x14ac:dyDescent="0.15">
      <c r="D230" s="2">
        <v>106</v>
      </c>
      <c r="E230" s="2">
        <f t="shared" si="121"/>
        <v>11850</v>
      </c>
      <c r="F230" s="2">
        <f t="shared" si="122"/>
        <v>2479</v>
      </c>
      <c r="G230" s="2">
        <f t="shared" si="123"/>
        <v>2479</v>
      </c>
      <c r="H230" s="2">
        <f t="shared" si="124"/>
        <v>2364</v>
      </c>
      <c r="I230" s="2">
        <f t="shared" si="125"/>
        <v>0</v>
      </c>
      <c r="J230" s="2">
        <f t="shared" si="126"/>
        <v>0</v>
      </c>
      <c r="K230" s="2">
        <f t="shared" si="127"/>
        <v>0</v>
      </c>
      <c r="L230" s="2">
        <f t="shared" si="128"/>
        <v>0</v>
      </c>
      <c r="M230" s="2">
        <f t="shared" si="129"/>
        <v>0</v>
      </c>
      <c r="N230" s="2">
        <f t="shared" si="130"/>
        <v>0</v>
      </c>
      <c r="O230" s="2">
        <f t="shared" si="131"/>
        <v>0</v>
      </c>
      <c r="P230" s="2">
        <f t="shared" si="132"/>
        <v>0</v>
      </c>
      <c r="Q230" s="2">
        <f t="shared" si="133"/>
        <v>0</v>
      </c>
      <c r="R230" s="2">
        <f t="shared" si="134"/>
        <v>0</v>
      </c>
    </row>
    <row r="231" spans="4:18" x14ac:dyDescent="0.15">
      <c r="D231" s="2">
        <v>107</v>
      </c>
      <c r="E231" s="2">
        <f t="shared" si="121"/>
        <v>13462</v>
      </c>
      <c r="F231" s="2">
        <f t="shared" si="122"/>
        <v>2479</v>
      </c>
      <c r="G231" s="2">
        <f t="shared" si="123"/>
        <v>2479</v>
      </c>
      <c r="H231" s="2">
        <f t="shared" si="124"/>
        <v>2364</v>
      </c>
      <c r="I231" s="2">
        <f t="shared" si="125"/>
        <v>0</v>
      </c>
      <c r="J231" s="2">
        <f t="shared" si="126"/>
        <v>0</v>
      </c>
      <c r="K231" s="2">
        <f t="shared" si="127"/>
        <v>0</v>
      </c>
      <c r="L231" s="2">
        <f t="shared" si="128"/>
        <v>0</v>
      </c>
      <c r="M231" s="2">
        <f t="shared" si="129"/>
        <v>0</v>
      </c>
      <c r="N231" s="2">
        <f t="shared" si="130"/>
        <v>0</v>
      </c>
      <c r="O231" s="2">
        <f t="shared" si="131"/>
        <v>0</v>
      </c>
      <c r="P231" s="2">
        <f t="shared" si="132"/>
        <v>0</v>
      </c>
      <c r="Q231" s="2">
        <f t="shared" si="133"/>
        <v>0</v>
      </c>
      <c r="R231" s="2">
        <f t="shared" si="134"/>
        <v>0</v>
      </c>
    </row>
    <row r="232" spans="4:18" x14ac:dyDescent="0.15">
      <c r="D232" s="2">
        <v>108</v>
      </c>
      <c r="E232" s="2">
        <f t="shared" si="121"/>
        <v>13462</v>
      </c>
      <c r="F232" s="2">
        <f t="shared" si="122"/>
        <v>2479</v>
      </c>
      <c r="G232" s="2">
        <f t="shared" si="123"/>
        <v>2479</v>
      </c>
      <c r="H232" s="2">
        <f t="shared" si="124"/>
        <v>2686</v>
      </c>
      <c r="I232" s="2">
        <f t="shared" si="125"/>
        <v>0</v>
      </c>
      <c r="J232" s="2">
        <f t="shared" si="126"/>
        <v>0</v>
      </c>
      <c r="K232" s="2">
        <f t="shared" si="127"/>
        <v>0</v>
      </c>
      <c r="L232" s="2">
        <f t="shared" si="128"/>
        <v>0</v>
      </c>
      <c r="M232" s="2">
        <f t="shared" si="129"/>
        <v>0</v>
      </c>
      <c r="N232" s="2">
        <f t="shared" si="130"/>
        <v>0</v>
      </c>
      <c r="O232" s="2">
        <f t="shared" si="131"/>
        <v>0</v>
      </c>
      <c r="P232" s="2">
        <f t="shared" si="132"/>
        <v>0</v>
      </c>
      <c r="Q232" s="2">
        <f t="shared" si="133"/>
        <v>0</v>
      </c>
      <c r="R232" s="2">
        <f t="shared" si="134"/>
        <v>0</v>
      </c>
    </row>
    <row r="233" spans="4:18" x14ac:dyDescent="0.15">
      <c r="D233" s="2">
        <v>109</v>
      </c>
      <c r="E233" s="2">
        <f t="shared" si="121"/>
        <v>13462</v>
      </c>
      <c r="F233" s="2">
        <f t="shared" si="122"/>
        <v>2694</v>
      </c>
      <c r="G233" s="2">
        <f t="shared" si="123"/>
        <v>2479</v>
      </c>
      <c r="H233" s="2">
        <f t="shared" si="124"/>
        <v>2686</v>
      </c>
      <c r="I233" s="2">
        <f t="shared" si="125"/>
        <v>0</v>
      </c>
      <c r="J233" s="2">
        <f t="shared" si="126"/>
        <v>0</v>
      </c>
      <c r="K233" s="2">
        <f t="shared" si="127"/>
        <v>0</v>
      </c>
      <c r="L233" s="2">
        <f t="shared" si="128"/>
        <v>0</v>
      </c>
      <c r="M233" s="2">
        <f t="shared" si="129"/>
        <v>0</v>
      </c>
      <c r="N233" s="2">
        <f t="shared" si="130"/>
        <v>0</v>
      </c>
      <c r="O233" s="2">
        <f t="shared" si="131"/>
        <v>0</v>
      </c>
      <c r="P233" s="2">
        <f t="shared" si="132"/>
        <v>0</v>
      </c>
      <c r="Q233" s="2">
        <f t="shared" si="133"/>
        <v>0</v>
      </c>
      <c r="R233" s="2">
        <f t="shared" si="134"/>
        <v>0</v>
      </c>
    </row>
    <row r="234" spans="4:18" x14ac:dyDescent="0.15">
      <c r="D234" s="2">
        <v>110</v>
      </c>
      <c r="E234" s="2">
        <f t="shared" si="121"/>
        <v>13462</v>
      </c>
      <c r="F234" s="2">
        <f t="shared" si="122"/>
        <v>2694</v>
      </c>
      <c r="G234" s="2">
        <f t="shared" si="123"/>
        <v>2694</v>
      </c>
      <c r="H234" s="2">
        <f t="shared" si="124"/>
        <v>2686</v>
      </c>
      <c r="I234" s="2">
        <f t="shared" si="125"/>
        <v>0</v>
      </c>
      <c r="J234" s="2">
        <f t="shared" si="126"/>
        <v>0</v>
      </c>
      <c r="K234" s="2">
        <f t="shared" si="127"/>
        <v>0</v>
      </c>
      <c r="L234" s="2">
        <f t="shared" si="128"/>
        <v>0</v>
      </c>
      <c r="M234" s="2">
        <f t="shared" si="129"/>
        <v>0</v>
      </c>
      <c r="N234" s="2">
        <f t="shared" si="130"/>
        <v>0</v>
      </c>
      <c r="O234" s="2">
        <f t="shared" si="131"/>
        <v>0</v>
      </c>
      <c r="P234" s="2">
        <f t="shared" si="132"/>
        <v>0</v>
      </c>
      <c r="Q234" s="2">
        <f t="shared" si="133"/>
        <v>0</v>
      </c>
      <c r="R234" s="2">
        <f t="shared" si="134"/>
        <v>0</v>
      </c>
    </row>
    <row r="235" spans="4:18" x14ac:dyDescent="0.15">
      <c r="D235" s="2">
        <v>111</v>
      </c>
      <c r="E235" s="2">
        <f t="shared" si="121"/>
        <v>13462</v>
      </c>
      <c r="F235" s="2">
        <f t="shared" si="122"/>
        <v>2977</v>
      </c>
      <c r="G235" s="2">
        <f t="shared" si="123"/>
        <v>2694</v>
      </c>
      <c r="H235" s="2">
        <f t="shared" si="124"/>
        <v>2686</v>
      </c>
      <c r="I235" s="2">
        <f t="shared" si="125"/>
        <v>0</v>
      </c>
      <c r="J235" s="2">
        <f t="shared" si="126"/>
        <v>0</v>
      </c>
      <c r="K235" s="2">
        <f t="shared" si="127"/>
        <v>0</v>
      </c>
      <c r="L235" s="2">
        <f t="shared" si="128"/>
        <v>0</v>
      </c>
      <c r="M235" s="2">
        <f t="shared" si="129"/>
        <v>0</v>
      </c>
      <c r="N235" s="2">
        <f t="shared" si="130"/>
        <v>0</v>
      </c>
      <c r="O235" s="2">
        <f t="shared" si="131"/>
        <v>0</v>
      </c>
      <c r="P235" s="2">
        <f t="shared" si="132"/>
        <v>0</v>
      </c>
      <c r="Q235" s="2">
        <f t="shared" si="133"/>
        <v>0</v>
      </c>
      <c r="R235" s="2">
        <f t="shared" si="134"/>
        <v>0</v>
      </c>
    </row>
    <row r="236" spans="4:18" x14ac:dyDescent="0.15">
      <c r="D236" s="2">
        <v>112</v>
      </c>
      <c r="E236" s="2">
        <f t="shared" si="121"/>
        <v>13462</v>
      </c>
      <c r="F236" s="2">
        <f t="shared" si="122"/>
        <v>2977</v>
      </c>
      <c r="G236" s="2">
        <f t="shared" si="123"/>
        <v>2977</v>
      </c>
      <c r="H236" s="2">
        <f t="shared" si="124"/>
        <v>2686</v>
      </c>
      <c r="I236" s="2">
        <f t="shared" si="125"/>
        <v>0</v>
      </c>
      <c r="J236" s="2">
        <f t="shared" si="126"/>
        <v>0</v>
      </c>
      <c r="K236" s="2">
        <f t="shared" si="127"/>
        <v>0</v>
      </c>
      <c r="L236" s="2">
        <f t="shared" si="128"/>
        <v>0</v>
      </c>
      <c r="M236" s="2">
        <f t="shared" si="129"/>
        <v>0</v>
      </c>
      <c r="N236" s="2">
        <f t="shared" si="130"/>
        <v>0</v>
      </c>
      <c r="O236" s="2">
        <f t="shared" si="131"/>
        <v>0</v>
      </c>
      <c r="P236" s="2">
        <f t="shared" si="132"/>
        <v>0</v>
      </c>
      <c r="Q236" s="2">
        <f t="shared" si="133"/>
        <v>0</v>
      </c>
      <c r="R236" s="2">
        <f t="shared" si="134"/>
        <v>0</v>
      </c>
    </row>
    <row r="237" spans="4:18" x14ac:dyDescent="0.15">
      <c r="D237" s="2">
        <v>113</v>
      </c>
      <c r="E237" s="2">
        <f t="shared" si="121"/>
        <v>15584</v>
      </c>
      <c r="F237" s="2">
        <f t="shared" si="122"/>
        <v>2977</v>
      </c>
      <c r="G237" s="2">
        <f t="shared" si="123"/>
        <v>2977</v>
      </c>
      <c r="H237" s="2">
        <f t="shared" si="124"/>
        <v>2686</v>
      </c>
      <c r="I237" s="2">
        <f t="shared" si="125"/>
        <v>0</v>
      </c>
      <c r="J237" s="2">
        <f t="shared" si="126"/>
        <v>0</v>
      </c>
      <c r="K237" s="2">
        <f t="shared" si="127"/>
        <v>0</v>
      </c>
      <c r="L237" s="2">
        <f t="shared" si="128"/>
        <v>0</v>
      </c>
      <c r="M237" s="2">
        <f t="shared" si="129"/>
        <v>0</v>
      </c>
      <c r="N237" s="2">
        <f t="shared" si="130"/>
        <v>0</v>
      </c>
      <c r="O237" s="2">
        <f t="shared" si="131"/>
        <v>0</v>
      </c>
      <c r="P237" s="2">
        <f t="shared" si="132"/>
        <v>0</v>
      </c>
      <c r="Q237" s="2">
        <f t="shared" si="133"/>
        <v>0</v>
      </c>
      <c r="R237" s="2">
        <f t="shared" si="134"/>
        <v>0</v>
      </c>
    </row>
    <row r="238" spans="4:18" x14ac:dyDescent="0.15">
      <c r="D238" s="2">
        <v>114</v>
      </c>
      <c r="E238" s="2">
        <f t="shared" si="121"/>
        <v>15584</v>
      </c>
      <c r="F238" s="2">
        <f t="shared" si="122"/>
        <v>2977</v>
      </c>
      <c r="G238" s="2">
        <f t="shared" si="123"/>
        <v>2977</v>
      </c>
      <c r="H238" s="2">
        <f t="shared" si="124"/>
        <v>3110</v>
      </c>
      <c r="I238" s="2">
        <f t="shared" si="125"/>
        <v>0</v>
      </c>
      <c r="J238" s="2">
        <f t="shared" si="126"/>
        <v>0</v>
      </c>
      <c r="K238" s="2">
        <f t="shared" si="127"/>
        <v>0</v>
      </c>
      <c r="L238" s="2">
        <f t="shared" si="128"/>
        <v>0</v>
      </c>
      <c r="M238" s="2">
        <f t="shared" si="129"/>
        <v>0</v>
      </c>
      <c r="N238" s="2">
        <f t="shared" si="130"/>
        <v>0</v>
      </c>
      <c r="O238" s="2">
        <f t="shared" si="131"/>
        <v>0</v>
      </c>
      <c r="P238" s="2">
        <f t="shared" si="132"/>
        <v>0</v>
      </c>
      <c r="Q238" s="2">
        <f t="shared" si="133"/>
        <v>0</v>
      </c>
      <c r="R238" s="2">
        <f t="shared" si="134"/>
        <v>0</v>
      </c>
    </row>
    <row r="239" spans="4:18" x14ac:dyDescent="0.15">
      <c r="D239" s="2">
        <v>115</v>
      </c>
      <c r="E239" s="2">
        <f t="shared" si="121"/>
        <v>15584</v>
      </c>
      <c r="F239" s="2">
        <f t="shared" si="122"/>
        <v>3260</v>
      </c>
      <c r="G239" s="2">
        <f t="shared" si="123"/>
        <v>2977</v>
      </c>
      <c r="H239" s="2">
        <f t="shared" si="124"/>
        <v>3110</v>
      </c>
      <c r="I239" s="2">
        <f t="shared" si="125"/>
        <v>0</v>
      </c>
      <c r="J239" s="2">
        <f t="shared" si="126"/>
        <v>0</v>
      </c>
      <c r="K239" s="2">
        <f t="shared" si="127"/>
        <v>0</v>
      </c>
      <c r="L239" s="2">
        <f t="shared" si="128"/>
        <v>0</v>
      </c>
      <c r="M239" s="2">
        <f t="shared" si="129"/>
        <v>0</v>
      </c>
      <c r="N239" s="2">
        <f t="shared" si="130"/>
        <v>0</v>
      </c>
      <c r="O239" s="2">
        <f t="shared" si="131"/>
        <v>0</v>
      </c>
      <c r="P239" s="2">
        <f t="shared" si="132"/>
        <v>0</v>
      </c>
      <c r="Q239" s="2">
        <f t="shared" si="133"/>
        <v>0</v>
      </c>
      <c r="R239" s="2">
        <f t="shared" si="134"/>
        <v>0</v>
      </c>
    </row>
    <row r="240" spans="4:18" x14ac:dyDescent="0.15">
      <c r="D240" s="2">
        <v>116</v>
      </c>
      <c r="E240" s="2">
        <f t="shared" si="121"/>
        <v>15584</v>
      </c>
      <c r="F240" s="2">
        <f t="shared" si="122"/>
        <v>3260</v>
      </c>
      <c r="G240" s="2">
        <f t="shared" si="123"/>
        <v>3260</v>
      </c>
      <c r="H240" s="2">
        <f t="shared" si="124"/>
        <v>3110</v>
      </c>
      <c r="I240" s="2">
        <f t="shared" si="125"/>
        <v>0</v>
      </c>
      <c r="J240" s="2">
        <f t="shared" si="126"/>
        <v>0</v>
      </c>
      <c r="K240" s="2">
        <f t="shared" si="127"/>
        <v>0</v>
      </c>
      <c r="L240" s="2">
        <f t="shared" si="128"/>
        <v>0</v>
      </c>
      <c r="M240" s="2">
        <f t="shared" si="129"/>
        <v>0</v>
      </c>
      <c r="N240" s="2">
        <f t="shared" si="130"/>
        <v>0</v>
      </c>
      <c r="O240" s="2">
        <f t="shared" si="131"/>
        <v>0</v>
      </c>
      <c r="P240" s="2">
        <f t="shared" si="132"/>
        <v>0</v>
      </c>
      <c r="Q240" s="2">
        <f t="shared" si="133"/>
        <v>0</v>
      </c>
      <c r="R240" s="2">
        <f t="shared" si="134"/>
        <v>0</v>
      </c>
    </row>
    <row r="241" spans="4:18" x14ac:dyDescent="0.15">
      <c r="D241" s="2">
        <v>117</v>
      </c>
      <c r="E241" s="2">
        <f t="shared" si="121"/>
        <v>17706</v>
      </c>
      <c r="F241" s="2">
        <f t="shared" si="122"/>
        <v>3260</v>
      </c>
      <c r="G241" s="2">
        <f t="shared" si="123"/>
        <v>3260</v>
      </c>
      <c r="H241" s="2">
        <f t="shared" si="124"/>
        <v>3110</v>
      </c>
      <c r="I241" s="2">
        <f t="shared" si="125"/>
        <v>0</v>
      </c>
      <c r="J241" s="2">
        <f t="shared" si="126"/>
        <v>0</v>
      </c>
      <c r="K241" s="2">
        <f t="shared" si="127"/>
        <v>0</v>
      </c>
      <c r="L241" s="2">
        <f t="shared" si="128"/>
        <v>0</v>
      </c>
      <c r="M241" s="2">
        <f t="shared" si="129"/>
        <v>0</v>
      </c>
      <c r="N241" s="2">
        <f t="shared" si="130"/>
        <v>0</v>
      </c>
      <c r="O241" s="2">
        <f t="shared" si="131"/>
        <v>0</v>
      </c>
      <c r="P241" s="2">
        <f t="shared" si="132"/>
        <v>0</v>
      </c>
      <c r="Q241" s="2">
        <f t="shared" si="133"/>
        <v>0</v>
      </c>
      <c r="R241" s="2">
        <f t="shared" si="134"/>
        <v>0</v>
      </c>
    </row>
    <row r="242" spans="4:18" x14ac:dyDescent="0.15">
      <c r="D242" s="2">
        <v>118</v>
      </c>
      <c r="E242" s="2">
        <f t="shared" si="121"/>
        <v>17706</v>
      </c>
      <c r="F242" s="2">
        <f t="shared" si="122"/>
        <v>3260</v>
      </c>
      <c r="G242" s="2">
        <f t="shared" si="123"/>
        <v>3260</v>
      </c>
      <c r="H242" s="2">
        <f t="shared" si="124"/>
        <v>3534</v>
      </c>
      <c r="I242" s="2">
        <f t="shared" si="125"/>
        <v>0</v>
      </c>
      <c r="J242" s="2">
        <f t="shared" si="126"/>
        <v>0</v>
      </c>
      <c r="K242" s="2">
        <f t="shared" si="127"/>
        <v>0</v>
      </c>
      <c r="L242" s="2">
        <f t="shared" si="128"/>
        <v>0</v>
      </c>
      <c r="M242" s="2">
        <f t="shared" si="129"/>
        <v>0</v>
      </c>
      <c r="N242" s="2">
        <f t="shared" si="130"/>
        <v>0</v>
      </c>
      <c r="O242" s="2">
        <f t="shared" si="131"/>
        <v>0</v>
      </c>
      <c r="P242" s="2">
        <f t="shared" si="132"/>
        <v>0</v>
      </c>
      <c r="Q242" s="2">
        <f t="shared" si="133"/>
        <v>0</v>
      </c>
      <c r="R242" s="2">
        <f t="shared" si="134"/>
        <v>0</v>
      </c>
    </row>
    <row r="243" spans="4:18" x14ac:dyDescent="0.15">
      <c r="D243" s="2">
        <v>119</v>
      </c>
      <c r="E243" s="2">
        <f t="shared" si="121"/>
        <v>17706</v>
      </c>
      <c r="F243" s="2">
        <f t="shared" si="122"/>
        <v>3543</v>
      </c>
      <c r="G243" s="2">
        <f t="shared" si="123"/>
        <v>3260</v>
      </c>
      <c r="H243" s="2">
        <f t="shared" si="124"/>
        <v>3534</v>
      </c>
      <c r="I243" s="2">
        <f t="shared" si="125"/>
        <v>0</v>
      </c>
      <c r="J243" s="2">
        <f t="shared" si="126"/>
        <v>0</v>
      </c>
      <c r="K243" s="2">
        <f t="shared" si="127"/>
        <v>0</v>
      </c>
      <c r="L243" s="2">
        <f t="shared" si="128"/>
        <v>0</v>
      </c>
      <c r="M243" s="2">
        <f t="shared" si="129"/>
        <v>0</v>
      </c>
      <c r="N243" s="2">
        <f t="shared" si="130"/>
        <v>0</v>
      </c>
      <c r="O243" s="2">
        <f t="shared" si="131"/>
        <v>0</v>
      </c>
      <c r="P243" s="2">
        <f t="shared" si="132"/>
        <v>0</v>
      </c>
      <c r="Q243" s="2">
        <f t="shared" si="133"/>
        <v>0</v>
      </c>
      <c r="R243" s="2">
        <f t="shared" si="134"/>
        <v>0</v>
      </c>
    </row>
    <row r="244" spans="4:18" x14ac:dyDescent="0.15">
      <c r="D244" s="2">
        <v>120</v>
      </c>
      <c r="E244" s="2">
        <f t="shared" si="121"/>
        <v>17706</v>
      </c>
      <c r="F244" s="2">
        <f t="shared" si="122"/>
        <v>3543</v>
      </c>
      <c r="G244" s="2">
        <f t="shared" si="123"/>
        <v>3543</v>
      </c>
      <c r="H244" s="2">
        <f t="shared" si="124"/>
        <v>3534</v>
      </c>
      <c r="I244" s="2">
        <f t="shared" si="125"/>
        <v>0</v>
      </c>
      <c r="J244" s="2">
        <f t="shared" si="126"/>
        <v>0</v>
      </c>
      <c r="K244" s="2">
        <f t="shared" si="127"/>
        <v>0</v>
      </c>
      <c r="L244" s="2">
        <f t="shared" si="128"/>
        <v>0</v>
      </c>
      <c r="M244" s="2">
        <f t="shared" si="129"/>
        <v>0</v>
      </c>
      <c r="N244" s="2">
        <f t="shared" si="130"/>
        <v>0</v>
      </c>
      <c r="O244" s="2">
        <f t="shared" si="131"/>
        <v>0</v>
      </c>
      <c r="P244" s="2">
        <f t="shared" si="132"/>
        <v>0</v>
      </c>
      <c r="Q244" s="2">
        <f t="shared" si="133"/>
        <v>0</v>
      </c>
      <c r="R244" s="2">
        <f t="shared" si="134"/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>
      <selection activeCell="D8" sqref="D8"/>
    </sheetView>
  </sheetViews>
  <sheetFormatPr defaultRowHeight="13.5" x14ac:dyDescent="0.15"/>
  <sheetData>
    <row r="1" spans="1:5" ht="24" x14ac:dyDescent="0.15">
      <c r="A1" s="13" t="s">
        <v>72</v>
      </c>
      <c r="B1" s="13" t="s">
        <v>19</v>
      </c>
      <c r="C1" s="13" t="s">
        <v>20</v>
      </c>
      <c r="D1" s="13" t="s">
        <v>73</v>
      </c>
      <c r="E1" s="13" t="s">
        <v>74</v>
      </c>
    </row>
    <row r="2" spans="1:5" x14ac:dyDescent="0.15">
      <c r="A2" s="10">
        <v>1</v>
      </c>
      <c r="B2" s="10">
        <v>1</v>
      </c>
      <c r="C2" s="10">
        <v>1</v>
      </c>
      <c r="D2" s="11" t="s">
        <v>75</v>
      </c>
      <c r="E2" s="10">
        <v>19</v>
      </c>
    </row>
    <row r="3" spans="1:5" x14ac:dyDescent="0.15">
      <c r="A3" s="10">
        <v>2</v>
      </c>
      <c r="B3" s="10">
        <v>1</v>
      </c>
      <c r="C3" s="10">
        <v>2</v>
      </c>
      <c r="D3" s="11" t="s">
        <v>76</v>
      </c>
      <c r="E3" s="10">
        <v>19</v>
      </c>
    </row>
    <row r="4" spans="1:5" x14ac:dyDescent="0.15">
      <c r="A4" s="10">
        <v>3</v>
      </c>
      <c r="B4" s="10">
        <v>1</v>
      </c>
      <c r="C4" s="10">
        <v>3</v>
      </c>
      <c r="D4" s="12" t="s">
        <v>77</v>
      </c>
      <c r="E4" s="10">
        <v>142</v>
      </c>
    </row>
    <row r="5" spans="1:5" x14ac:dyDescent="0.15">
      <c r="A5" s="10">
        <v>4</v>
      </c>
      <c r="B5" s="10">
        <v>1</v>
      </c>
      <c r="C5" s="10">
        <v>4</v>
      </c>
      <c r="D5" s="12" t="s">
        <v>24</v>
      </c>
      <c r="E5" s="10">
        <v>28</v>
      </c>
    </row>
    <row r="6" spans="1:5" x14ac:dyDescent="0.15">
      <c r="A6" s="10">
        <v>5</v>
      </c>
      <c r="B6" s="10">
        <v>1</v>
      </c>
      <c r="C6" s="10">
        <v>5</v>
      </c>
      <c r="D6" s="12" t="s">
        <v>75</v>
      </c>
      <c r="E6" s="10">
        <v>19</v>
      </c>
    </row>
    <row r="7" spans="1:5" x14ac:dyDescent="0.15">
      <c r="A7" s="10">
        <v>6</v>
      </c>
      <c r="B7" s="10">
        <v>1</v>
      </c>
      <c r="C7" s="10">
        <v>6</v>
      </c>
      <c r="D7" s="12" t="s">
        <v>76</v>
      </c>
      <c r="E7" s="10">
        <v>19</v>
      </c>
    </row>
    <row r="8" spans="1:5" x14ac:dyDescent="0.15">
      <c r="A8" s="10">
        <v>7</v>
      </c>
      <c r="B8" s="10">
        <v>1</v>
      </c>
      <c r="C8" s="10">
        <v>7</v>
      </c>
      <c r="D8" s="12" t="s">
        <v>77</v>
      </c>
      <c r="E8" s="10">
        <v>142</v>
      </c>
    </row>
    <row r="9" spans="1:5" x14ac:dyDescent="0.15">
      <c r="A9" s="10">
        <v>8</v>
      </c>
      <c r="B9" s="10">
        <v>1</v>
      </c>
      <c r="C9" s="10">
        <v>8</v>
      </c>
      <c r="D9" s="11" t="s">
        <v>24</v>
      </c>
      <c r="E9" s="10">
        <v>28</v>
      </c>
    </row>
    <row r="10" spans="1:5" x14ac:dyDescent="0.15">
      <c r="A10" s="10">
        <v>9</v>
      </c>
      <c r="B10" s="10">
        <v>1</v>
      </c>
      <c r="C10" s="10">
        <v>9</v>
      </c>
      <c r="D10" s="11" t="s">
        <v>75</v>
      </c>
      <c r="E10" s="10">
        <v>19</v>
      </c>
    </row>
    <row r="11" spans="1:5" x14ac:dyDescent="0.15">
      <c r="A11" s="10">
        <v>10</v>
      </c>
      <c r="B11" s="10">
        <v>1</v>
      </c>
      <c r="C11" s="10">
        <v>10</v>
      </c>
      <c r="D11" s="12" t="s">
        <v>76</v>
      </c>
      <c r="E11" s="10">
        <v>19</v>
      </c>
    </row>
    <row r="12" spans="1:5" x14ac:dyDescent="0.15">
      <c r="A12" s="10">
        <v>11</v>
      </c>
      <c r="B12" s="10">
        <v>2</v>
      </c>
      <c r="C12" s="10">
        <v>1</v>
      </c>
      <c r="D12" s="10" t="s">
        <v>75</v>
      </c>
      <c r="E12" s="10">
        <v>19</v>
      </c>
    </row>
    <row r="13" spans="1:5" x14ac:dyDescent="0.15">
      <c r="A13" s="10">
        <v>12</v>
      </c>
      <c r="B13" s="10">
        <v>2</v>
      </c>
      <c r="C13" s="10">
        <v>2</v>
      </c>
      <c r="D13" s="10" t="s">
        <v>76</v>
      </c>
      <c r="E13" s="10">
        <v>19</v>
      </c>
    </row>
    <row r="14" spans="1:5" x14ac:dyDescent="0.15">
      <c r="A14" s="10">
        <v>13</v>
      </c>
      <c r="B14" s="10">
        <v>2</v>
      </c>
      <c r="C14" s="10">
        <v>3</v>
      </c>
      <c r="D14" s="10" t="s">
        <v>77</v>
      </c>
      <c r="E14" s="10">
        <v>142</v>
      </c>
    </row>
    <row r="15" spans="1:5" x14ac:dyDescent="0.15">
      <c r="A15" s="10">
        <v>14</v>
      </c>
      <c r="B15" s="10">
        <v>2</v>
      </c>
      <c r="C15" s="10">
        <v>4</v>
      </c>
      <c r="D15" s="10" t="s">
        <v>24</v>
      </c>
      <c r="E15" s="10">
        <v>28</v>
      </c>
    </row>
    <row r="16" spans="1:5" x14ac:dyDescent="0.15">
      <c r="A16" s="10">
        <v>15</v>
      </c>
      <c r="B16" s="10">
        <v>2</v>
      </c>
      <c r="C16" s="10">
        <v>5</v>
      </c>
      <c r="D16" s="10" t="s">
        <v>75</v>
      </c>
      <c r="E16" s="10">
        <v>19</v>
      </c>
    </row>
    <row r="17" spans="1:5" x14ac:dyDescent="0.15">
      <c r="A17" s="10">
        <v>16</v>
      </c>
      <c r="B17" s="10">
        <v>2</v>
      </c>
      <c r="C17" s="10">
        <v>6</v>
      </c>
      <c r="D17" s="10" t="s">
        <v>76</v>
      </c>
      <c r="E17" s="10">
        <v>19</v>
      </c>
    </row>
    <row r="18" spans="1:5" x14ac:dyDescent="0.15">
      <c r="A18" s="10">
        <v>17</v>
      </c>
      <c r="B18" s="10">
        <v>2</v>
      </c>
      <c r="C18" s="10">
        <v>7</v>
      </c>
      <c r="D18" s="10" t="s">
        <v>77</v>
      </c>
      <c r="E18" s="10">
        <v>142</v>
      </c>
    </row>
    <row r="19" spans="1:5" x14ac:dyDescent="0.15">
      <c r="A19" s="10">
        <v>18</v>
      </c>
      <c r="B19" s="10">
        <v>2</v>
      </c>
      <c r="C19" s="10">
        <v>8</v>
      </c>
      <c r="D19" s="10" t="s">
        <v>24</v>
      </c>
      <c r="E19" s="10">
        <v>28</v>
      </c>
    </row>
    <row r="20" spans="1:5" x14ac:dyDescent="0.15">
      <c r="A20" s="10">
        <v>19</v>
      </c>
      <c r="B20" s="10">
        <v>2</v>
      </c>
      <c r="C20" s="10">
        <v>9</v>
      </c>
      <c r="D20" s="10" t="s">
        <v>75</v>
      </c>
      <c r="E20" s="10">
        <v>19</v>
      </c>
    </row>
    <row r="21" spans="1:5" x14ac:dyDescent="0.15">
      <c r="A21" s="10">
        <v>20</v>
      </c>
      <c r="B21" s="10">
        <v>2</v>
      </c>
      <c r="C21" s="10">
        <v>10</v>
      </c>
      <c r="D21" s="10" t="s">
        <v>76</v>
      </c>
      <c r="E21" s="10">
        <v>19</v>
      </c>
    </row>
    <row r="22" spans="1:5" x14ac:dyDescent="0.15">
      <c r="A22" s="10">
        <v>21</v>
      </c>
      <c r="B22" s="10">
        <v>3</v>
      </c>
      <c r="C22" s="10">
        <v>1</v>
      </c>
      <c r="D22" s="10" t="s">
        <v>75</v>
      </c>
      <c r="E22" s="10">
        <v>29</v>
      </c>
    </row>
    <row r="23" spans="1:5" x14ac:dyDescent="0.15">
      <c r="A23" s="10">
        <v>22</v>
      </c>
      <c r="B23" s="10">
        <v>3</v>
      </c>
      <c r="C23" s="10">
        <v>2</v>
      </c>
      <c r="D23" s="10" t="s">
        <v>76</v>
      </c>
      <c r="E23" s="10">
        <v>29</v>
      </c>
    </row>
    <row r="24" spans="1:5" x14ac:dyDescent="0.15">
      <c r="A24" s="10">
        <v>23</v>
      </c>
      <c r="B24" s="10">
        <v>3</v>
      </c>
      <c r="C24" s="10">
        <v>3</v>
      </c>
      <c r="D24" s="10" t="s">
        <v>77</v>
      </c>
      <c r="E24" s="10">
        <v>217</v>
      </c>
    </row>
    <row r="25" spans="1:5" x14ac:dyDescent="0.15">
      <c r="A25" s="10">
        <v>24</v>
      </c>
      <c r="B25" s="10">
        <v>3</v>
      </c>
      <c r="C25" s="10">
        <v>4</v>
      </c>
      <c r="D25" s="10" t="s">
        <v>24</v>
      </c>
      <c r="E25" s="10">
        <v>43</v>
      </c>
    </row>
    <row r="26" spans="1:5" x14ac:dyDescent="0.15">
      <c r="A26" s="10">
        <v>25</v>
      </c>
      <c r="B26" s="10">
        <v>3</v>
      </c>
      <c r="C26" s="10">
        <v>5</v>
      </c>
      <c r="D26" s="10" t="s">
        <v>75</v>
      </c>
      <c r="E26" s="10">
        <v>29</v>
      </c>
    </row>
    <row r="27" spans="1:5" x14ac:dyDescent="0.15">
      <c r="A27" s="10">
        <v>26</v>
      </c>
      <c r="B27" s="10">
        <v>3</v>
      </c>
      <c r="C27" s="10">
        <v>6</v>
      </c>
      <c r="D27" s="10" t="s">
        <v>76</v>
      </c>
      <c r="E27" s="10">
        <v>29</v>
      </c>
    </row>
    <row r="28" spans="1:5" x14ac:dyDescent="0.15">
      <c r="A28" s="10">
        <v>27</v>
      </c>
      <c r="B28" s="10">
        <v>3</v>
      </c>
      <c r="C28" s="10">
        <v>7</v>
      </c>
      <c r="D28" s="10" t="s">
        <v>77</v>
      </c>
      <c r="E28" s="10">
        <v>217</v>
      </c>
    </row>
    <row r="29" spans="1:5" x14ac:dyDescent="0.15">
      <c r="A29" s="10">
        <v>28</v>
      </c>
      <c r="B29" s="10">
        <v>3</v>
      </c>
      <c r="C29" s="10">
        <v>8</v>
      </c>
      <c r="D29" s="10" t="s">
        <v>24</v>
      </c>
      <c r="E29" s="10">
        <v>43</v>
      </c>
    </row>
    <row r="30" spans="1:5" x14ac:dyDescent="0.15">
      <c r="A30" s="10">
        <v>29</v>
      </c>
      <c r="B30" s="10">
        <v>3</v>
      </c>
      <c r="C30" s="10">
        <v>9</v>
      </c>
      <c r="D30" s="10" t="s">
        <v>75</v>
      </c>
      <c r="E30" s="10">
        <v>29</v>
      </c>
    </row>
    <row r="31" spans="1:5" x14ac:dyDescent="0.15">
      <c r="A31" s="10">
        <v>30</v>
      </c>
      <c r="B31" s="10">
        <v>3</v>
      </c>
      <c r="C31" s="10">
        <v>10</v>
      </c>
      <c r="D31" s="10" t="s">
        <v>76</v>
      </c>
      <c r="E31" s="10">
        <v>29</v>
      </c>
    </row>
    <row r="32" spans="1:5" x14ac:dyDescent="0.15">
      <c r="A32" s="10">
        <v>31</v>
      </c>
      <c r="B32" s="10">
        <v>4</v>
      </c>
      <c r="C32" s="10">
        <v>1</v>
      </c>
      <c r="D32" s="10" t="s">
        <v>75</v>
      </c>
      <c r="E32" s="10">
        <v>39</v>
      </c>
    </row>
    <row r="33" spans="1:5" x14ac:dyDescent="0.15">
      <c r="A33" s="10">
        <v>32</v>
      </c>
      <c r="B33" s="10">
        <v>4</v>
      </c>
      <c r="C33" s="10">
        <v>2</v>
      </c>
      <c r="D33" s="10" t="s">
        <v>76</v>
      </c>
      <c r="E33" s="10">
        <v>39</v>
      </c>
    </row>
    <row r="34" spans="1:5" x14ac:dyDescent="0.15">
      <c r="A34" s="10">
        <v>33</v>
      </c>
      <c r="B34" s="10">
        <v>4</v>
      </c>
      <c r="C34" s="10">
        <v>3</v>
      </c>
      <c r="D34" s="10" t="s">
        <v>77</v>
      </c>
      <c r="E34" s="10">
        <v>292</v>
      </c>
    </row>
    <row r="35" spans="1:5" x14ac:dyDescent="0.15">
      <c r="A35" s="10">
        <v>34</v>
      </c>
      <c r="B35" s="10">
        <v>4</v>
      </c>
      <c r="C35" s="10">
        <v>4</v>
      </c>
      <c r="D35" s="10" t="s">
        <v>24</v>
      </c>
      <c r="E35" s="10">
        <v>58</v>
      </c>
    </row>
    <row r="36" spans="1:5" x14ac:dyDescent="0.15">
      <c r="A36" s="10">
        <v>35</v>
      </c>
      <c r="B36" s="10">
        <v>4</v>
      </c>
      <c r="C36" s="10">
        <v>5</v>
      </c>
      <c r="D36" s="10" t="s">
        <v>75</v>
      </c>
      <c r="E36" s="10">
        <v>39</v>
      </c>
    </row>
    <row r="37" spans="1:5" x14ac:dyDescent="0.15">
      <c r="A37" s="10">
        <v>36</v>
      </c>
      <c r="B37" s="10">
        <v>4</v>
      </c>
      <c r="C37" s="10">
        <v>6</v>
      </c>
      <c r="D37" s="10" t="s">
        <v>76</v>
      </c>
      <c r="E37" s="10">
        <v>39</v>
      </c>
    </row>
    <row r="38" spans="1:5" x14ac:dyDescent="0.15">
      <c r="A38" s="10">
        <v>37</v>
      </c>
      <c r="B38" s="10">
        <v>4</v>
      </c>
      <c r="C38" s="10">
        <v>7</v>
      </c>
      <c r="D38" s="10" t="s">
        <v>77</v>
      </c>
      <c r="E38" s="10">
        <v>292</v>
      </c>
    </row>
    <row r="39" spans="1:5" x14ac:dyDescent="0.15">
      <c r="A39" s="10">
        <v>38</v>
      </c>
      <c r="B39" s="10">
        <v>4</v>
      </c>
      <c r="C39" s="10">
        <v>8</v>
      </c>
      <c r="D39" s="10" t="s">
        <v>24</v>
      </c>
      <c r="E39" s="10">
        <v>58</v>
      </c>
    </row>
    <row r="40" spans="1:5" x14ac:dyDescent="0.15">
      <c r="A40" s="10">
        <v>39</v>
      </c>
      <c r="B40" s="10">
        <v>4</v>
      </c>
      <c r="C40" s="10">
        <v>9</v>
      </c>
      <c r="D40" s="10" t="s">
        <v>75</v>
      </c>
      <c r="E40" s="10">
        <v>39</v>
      </c>
    </row>
    <row r="41" spans="1:5" x14ac:dyDescent="0.15">
      <c r="A41" s="10">
        <v>40</v>
      </c>
      <c r="B41" s="10">
        <v>4</v>
      </c>
      <c r="C41" s="10">
        <v>10</v>
      </c>
      <c r="D41" s="10" t="s">
        <v>76</v>
      </c>
      <c r="E41" s="10">
        <v>39</v>
      </c>
    </row>
    <row r="42" spans="1:5" x14ac:dyDescent="0.15">
      <c r="A42" s="10">
        <v>41</v>
      </c>
      <c r="B42" s="10">
        <v>5</v>
      </c>
      <c r="C42" s="10">
        <v>1</v>
      </c>
      <c r="D42" s="10" t="s">
        <v>75</v>
      </c>
      <c r="E42" s="10">
        <v>49</v>
      </c>
    </row>
    <row r="43" spans="1:5" x14ac:dyDescent="0.15">
      <c r="A43" s="10">
        <v>42</v>
      </c>
      <c r="B43" s="10">
        <v>5</v>
      </c>
      <c r="C43" s="10">
        <v>2</v>
      </c>
      <c r="D43" s="10" t="s">
        <v>76</v>
      </c>
      <c r="E43" s="10">
        <v>49</v>
      </c>
    </row>
    <row r="44" spans="1:5" x14ac:dyDescent="0.15">
      <c r="A44" s="10">
        <v>43</v>
      </c>
      <c r="B44" s="10">
        <v>5</v>
      </c>
      <c r="C44" s="10">
        <v>3</v>
      </c>
      <c r="D44" s="10" t="s">
        <v>77</v>
      </c>
      <c r="E44" s="10">
        <v>367</v>
      </c>
    </row>
    <row r="45" spans="1:5" x14ac:dyDescent="0.15">
      <c r="A45" s="10">
        <v>44</v>
      </c>
      <c r="B45" s="10">
        <v>5</v>
      </c>
      <c r="C45" s="10">
        <v>4</v>
      </c>
      <c r="D45" s="10" t="s">
        <v>24</v>
      </c>
      <c r="E45" s="10">
        <v>73</v>
      </c>
    </row>
    <row r="46" spans="1:5" x14ac:dyDescent="0.15">
      <c r="A46" s="10">
        <v>45</v>
      </c>
      <c r="B46" s="10">
        <v>5</v>
      </c>
      <c r="C46" s="10">
        <v>5</v>
      </c>
      <c r="D46" s="10" t="s">
        <v>75</v>
      </c>
      <c r="E46" s="10">
        <v>49</v>
      </c>
    </row>
    <row r="47" spans="1:5" x14ac:dyDescent="0.15">
      <c r="A47" s="10">
        <v>46</v>
      </c>
      <c r="B47" s="10">
        <v>5</v>
      </c>
      <c r="C47" s="10">
        <v>6</v>
      </c>
      <c r="D47" s="10" t="s">
        <v>76</v>
      </c>
      <c r="E47" s="10">
        <v>49</v>
      </c>
    </row>
    <row r="48" spans="1:5" x14ac:dyDescent="0.15">
      <c r="A48" s="10">
        <v>47</v>
      </c>
      <c r="B48" s="10">
        <v>5</v>
      </c>
      <c r="C48" s="10">
        <v>7</v>
      </c>
      <c r="D48" s="10" t="s">
        <v>77</v>
      </c>
      <c r="E48" s="10">
        <v>367</v>
      </c>
    </row>
    <row r="49" spans="1:5" x14ac:dyDescent="0.15">
      <c r="A49" s="10">
        <v>48</v>
      </c>
      <c r="B49" s="10">
        <v>5</v>
      </c>
      <c r="C49" s="10">
        <v>8</v>
      </c>
      <c r="D49" s="10" t="s">
        <v>24</v>
      </c>
      <c r="E49" s="10">
        <v>73</v>
      </c>
    </row>
    <row r="50" spans="1:5" x14ac:dyDescent="0.15">
      <c r="A50" s="10">
        <v>49</v>
      </c>
      <c r="B50" s="10">
        <v>5</v>
      </c>
      <c r="C50" s="10">
        <v>9</v>
      </c>
      <c r="D50" s="10" t="s">
        <v>75</v>
      </c>
      <c r="E50" s="10">
        <v>49</v>
      </c>
    </row>
    <row r="51" spans="1:5" x14ac:dyDescent="0.15">
      <c r="A51" s="10">
        <v>50</v>
      </c>
      <c r="B51" s="10">
        <v>5</v>
      </c>
      <c r="C51" s="10">
        <v>10</v>
      </c>
      <c r="D51" s="10" t="s">
        <v>76</v>
      </c>
      <c r="E51" s="10">
        <v>49</v>
      </c>
    </row>
    <row r="52" spans="1:5" x14ac:dyDescent="0.15">
      <c r="A52" s="10">
        <v>51</v>
      </c>
      <c r="B52" s="10">
        <v>6</v>
      </c>
      <c r="C52" s="10">
        <v>1</v>
      </c>
      <c r="D52" s="10" t="s">
        <v>75</v>
      </c>
      <c r="E52" s="10">
        <v>59</v>
      </c>
    </row>
    <row r="53" spans="1:5" x14ac:dyDescent="0.15">
      <c r="A53" s="10">
        <v>52</v>
      </c>
      <c r="B53" s="10">
        <v>6</v>
      </c>
      <c r="C53" s="10">
        <v>2</v>
      </c>
      <c r="D53" s="10" t="s">
        <v>76</v>
      </c>
      <c r="E53" s="10">
        <v>59</v>
      </c>
    </row>
    <row r="54" spans="1:5" x14ac:dyDescent="0.15">
      <c r="A54" s="10">
        <v>53</v>
      </c>
      <c r="B54" s="10">
        <v>6</v>
      </c>
      <c r="C54" s="10">
        <v>3</v>
      </c>
      <c r="D54" s="10" t="s">
        <v>77</v>
      </c>
      <c r="E54" s="10">
        <v>442</v>
      </c>
    </row>
    <row r="55" spans="1:5" x14ac:dyDescent="0.15">
      <c r="A55" s="10">
        <v>54</v>
      </c>
      <c r="B55" s="10">
        <v>6</v>
      </c>
      <c r="C55" s="10">
        <v>4</v>
      </c>
      <c r="D55" s="10" t="s">
        <v>24</v>
      </c>
      <c r="E55" s="10">
        <v>88</v>
      </c>
    </row>
    <row r="56" spans="1:5" x14ac:dyDescent="0.15">
      <c r="A56" s="10">
        <v>55</v>
      </c>
      <c r="B56" s="10">
        <v>6</v>
      </c>
      <c r="C56" s="10">
        <v>5</v>
      </c>
      <c r="D56" s="10" t="s">
        <v>75</v>
      </c>
      <c r="E56" s="10">
        <v>59</v>
      </c>
    </row>
    <row r="57" spans="1:5" x14ac:dyDescent="0.15">
      <c r="A57" s="10">
        <v>56</v>
      </c>
      <c r="B57" s="10">
        <v>6</v>
      </c>
      <c r="C57" s="10">
        <v>6</v>
      </c>
      <c r="D57" s="10" t="s">
        <v>76</v>
      </c>
      <c r="E57" s="10">
        <v>59</v>
      </c>
    </row>
    <row r="58" spans="1:5" x14ac:dyDescent="0.15">
      <c r="A58" s="10">
        <v>57</v>
      </c>
      <c r="B58" s="10">
        <v>6</v>
      </c>
      <c r="C58" s="10">
        <v>7</v>
      </c>
      <c r="D58" s="10" t="s">
        <v>77</v>
      </c>
      <c r="E58" s="10">
        <v>442</v>
      </c>
    </row>
    <row r="59" spans="1:5" x14ac:dyDescent="0.15">
      <c r="A59" s="10">
        <v>58</v>
      </c>
      <c r="B59" s="10">
        <v>6</v>
      </c>
      <c r="C59" s="10">
        <v>8</v>
      </c>
      <c r="D59" s="10" t="s">
        <v>24</v>
      </c>
      <c r="E59" s="10">
        <v>88</v>
      </c>
    </row>
    <row r="60" spans="1:5" x14ac:dyDescent="0.15">
      <c r="A60" s="10">
        <v>59</v>
      </c>
      <c r="B60" s="10">
        <v>6</v>
      </c>
      <c r="C60" s="10">
        <v>9</v>
      </c>
      <c r="D60" s="10" t="s">
        <v>75</v>
      </c>
      <c r="E60" s="10">
        <v>59</v>
      </c>
    </row>
    <row r="61" spans="1:5" x14ac:dyDescent="0.15">
      <c r="A61" s="10">
        <v>60</v>
      </c>
      <c r="B61" s="10">
        <v>6</v>
      </c>
      <c r="C61" s="10">
        <v>10</v>
      </c>
      <c r="D61" s="10" t="s">
        <v>76</v>
      </c>
      <c r="E61" s="10">
        <v>59</v>
      </c>
    </row>
    <row r="62" spans="1:5" x14ac:dyDescent="0.15">
      <c r="A62" s="10">
        <v>61</v>
      </c>
      <c r="B62" s="10">
        <v>7</v>
      </c>
      <c r="C62" s="10">
        <v>1</v>
      </c>
      <c r="D62" s="10" t="s">
        <v>75</v>
      </c>
      <c r="E62" s="10">
        <v>78</v>
      </c>
    </row>
    <row r="63" spans="1:5" x14ac:dyDescent="0.15">
      <c r="A63" s="10">
        <v>62</v>
      </c>
      <c r="B63" s="10">
        <v>7</v>
      </c>
      <c r="C63" s="10">
        <v>2</v>
      </c>
      <c r="D63" s="10" t="s">
        <v>76</v>
      </c>
      <c r="E63" s="10">
        <v>78</v>
      </c>
    </row>
    <row r="64" spans="1:5" x14ac:dyDescent="0.15">
      <c r="A64" s="10">
        <v>63</v>
      </c>
      <c r="B64" s="10">
        <v>7</v>
      </c>
      <c r="C64" s="10">
        <v>3</v>
      </c>
      <c r="D64" s="10" t="s">
        <v>77</v>
      </c>
      <c r="E64" s="10">
        <v>585</v>
      </c>
    </row>
    <row r="65" spans="1:5" x14ac:dyDescent="0.15">
      <c r="A65" s="10">
        <v>64</v>
      </c>
      <c r="B65" s="10">
        <v>7</v>
      </c>
      <c r="C65" s="10">
        <v>4</v>
      </c>
      <c r="D65" s="10" t="s">
        <v>24</v>
      </c>
      <c r="E65" s="10">
        <v>117</v>
      </c>
    </row>
    <row r="66" spans="1:5" x14ac:dyDescent="0.15">
      <c r="A66" s="10">
        <v>65</v>
      </c>
      <c r="B66" s="10">
        <v>7</v>
      </c>
      <c r="C66" s="10">
        <v>5</v>
      </c>
      <c r="D66" s="10" t="s">
        <v>75</v>
      </c>
      <c r="E66" s="10">
        <v>78</v>
      </c>
    </row>
    <row r="67" spans="1:5" x14ac:dyDescent="0.15">
      <c r="A67" s="10">
        <v>66</v>
      </c>
      <c r="B67" s="10">
        <v>7</v>
      </c>
      <c r="C67" s="10">
        <v>6</v>
      </c>
      <c r="D67" s="10" t="s">
        <v>76</v>
      </c>
      <c r="E67" s="10">
        <v>78</v>
      </c>
    </row>
    <row r="68" spans="1:5" x14ac:dyDescent="0.15">
      <c r="A68" s="10">
        <v>67</v>
      </c>
      <c r="B68" s="10">
        <v>7</v>
      </c>
      <c r="C68" s="10">
        <v>7</v>
      </c>
      <c r="D68" s="10" t="s">
        <v>77</v>
      </c>
      <c r="E68" s="10">
        <v>585</v>
      </c>
    </row>
    <row r="69" spans="1:5" x14ac:dyDescent="0.15">
      <c r="A69" s="10">
        <v>68</v>
      </c>
      <c r="B69" s="10">
        <v>7</v>
      </c>
      <c r="C69" s="10">
        <v>8</v>
      </c>
      <c r="D69" s="10" t="s">
        <v>24</v>
      </c>
      <c r="E69" s="10">
        <v>117</v>
      </c>
    </row>
    <row r="70" spans="1:5" x14ac:dyDescent="0.15">
      <c r="A70" s="10">
        <v>69</v>
      </c>
      <c r="B70" s="10">
        <v>7</v>
      </c>
      <c r="C70" s="10">
        <v>9</v>
      </c>
      <c r="D70" s="10" t="s">
        <v>75</v>
      </c>
      <c r="E70" s="10">
        <v>78</v>
      </c>
    </row>
    <row r="71" spans="1:5" x14ac:dyDescent="0.15">
      <c r="A71" s="10">
        <v>70</v>
      </c>
      <c r="B71" s="10">
        <v>7</v>
      </c>
      <c r="C71" s="10">
        <v>10</v>
      </c>
      <c r="D71" s="10" t="s">
        <v>76</v>
      </c>
      <c r="E71" s="10">
        <v>78</v>
      </c>
    </row>
    <row r="72" spans="1:5" x14ac:dyDescent="0.15">
      <c r="A72" s="10">
        <v>71</v>
      </c>
      <c r="B72" s="10">
        <v>8</v>
      </c>
      <c r="C72" s="10">
        <v>1</v>
      </c>
      <c r="D72" s="10" t="s">
        <v>75</v>
      </c>
      <c r="E72" s="10">
        <v>98</v>
      </c>
    </row>
    <row r="73" spans="1:5" x14ac:dyDescent="0.15">
      <c r="A73" s="10">
        <v>72</v>
      </c>
      <c r="B73" s="10">
        <v>8</v>
      </c>
      <c r="C73" s="10">
        <v>2</v>
      </c>
      <c r="D73" s="10" t="s">
        <v>76</v>
      </c>
      <c r="E73" s="10">
        <v>98</v>
      </c>
    </row>
    <row r="74" spans="1:5" x14ac:dyDescent="0.15">
      <c r="A74" s="10">
        <v>73</v>
      </c>
      <c r="B74" s="10">
        <v>8</v>
      </c>
      <c r="C74" s="10">
        <v>3</v>
      </c>
      <c r="D74" s="10" t="s">
        <v>77</v>
      </c>
      <c r="E74" s="10">
        <v>735</v>
      </c>
    </row>
    <row r="75" spans="1:5" x14ac:dyDescent="0.15">
      <c r="A75" s="10">
        <v>74</v>
      </c>
      <c r="B75" s="10">
        <v>8</v>
      </c>
      <c r="C75" s="10">
        <v>4</v>
      </c>
      <c r="D75" s="10" t="s">
        <v>24</v>
      </c>
      <c r="E75" s="10">
        <v>147</v>
      </c>
    </row>
    <row r="76" spans="1:5" x14ac:dyDescent="0.15">
      <c r="A76" s="10">
        <v>75</v>
      </c>
      <c r="B76" s="10">
        <v>8</v>
      </c>
      <c r="C76" s="10">
        <v>5</v>
      </c>
      <c r="D76" s="10" t="s">
        <v>75</v>
      </c>
      <c r="E76" s="10">
        <v>98</v>
      </c>
    </row>
    <row r="77" spans="1:5" x14ac:dyDescent="0.15">
      <c r="A77" s="10">
        <v>76</v>
      </c>
      <c r="B77" s="10">
        <v>8</v>
      </c>
      <c r="C77" s="10">
        <v>6</v>
      </c>
      <c r="D77" s="10" t="s">
        <v>76</v>
      </c>
      <c r="E77" s="10">
        <v>98</v>
      </c>
    </row>
    <row r="78" spans="1:5" x14ac:dyDescent="0.15">
      <c r="A78" s="10">
        <v>77</v>
      </c>
      <c r="B78" s="10">
        <v>8</v>
      </c>
      <c r="C78" s="10">
        <v>7</v>
      </c>
      <c r="D78" s="10" t="s">
        <v>77</v>
      </c>
      <c r="E78" s="10">
        <v>735</v>
      </c>
    </row>
    <row r="79" spans="1:5" x14ac:dyDescent="0.15">
      <c r="A79" s="10">
        <v>78</v>
      </c>
      <c r="B79" s="10">
        <v>8</v>
      </c>
      <c r="C79" s="10">
        <v>8</v>
      </c>
      <c r="D79" s="10" t="s">
        <v>24</v>
      </c>
      <c r="E79" s="10">
        <v>147</v>
      </c>
    </row>
    <row r="80" spans="1:5" x14ac:dyDescent="0.15">
      <c r="A80" s="10">
        <v>79</v>
      </c>
      <c r="B80" s="10">
        <v>8</v>
      </c>
      <c r="C80" s="10">
        <v>9</v>
      </c>
      <c r="D80" s="10" t="s">
        <v>75</v>
      </c>
      <c r="E80" s="10">
        <v>98</v>
      </c>
    </row>
    <row r="81" spans="1:5" x14ac:dyDescent="0.15">
      <c r="A81" s="10">
        <v>80</v>
      </c>
      <c r="B81" s="10">
        <v>8</v>
      </c>
      <c r="C81" s="10">
        <v>10</v>
      </c>
      <c r="D81" s="10" t="s">
        <v>76</v>
      </c>
      <c r="E81" s="10">
        <v>98</v>
      </c>
    </row>
    <row r="82" spans="1:5" x14ac:dyDescent="0.15">
      <c r="A82" s="10">
        <v>81</v>
      </c>
      <c r="B82" s="10">
        <v>9</v>
      </c>
      <c r="C82" s="10">
        <v>1</v>
      </c>
      <c r="D82" s="10" t="s">
        <v>75</v>
      </c>
      <c r="E82" s="10">
        <v>127</v>
      </c>
    </row>
    <row r="83" spans="1:5" x14ac:dyDescent="0.15">
      <c r="A83" s="10">
        <v>82</v>
      </c>
      <c r="B83" s="10">
        <v>9</v>
      </c>
      <c r="C83" s="10">
        <v>2</v>
      </c>
      <c r="D83" s="10" t="s">
        <v>76</v>
      </c>
      <c r="E83" s="10">
        <v>127</v>
      </c>
    </row>
    <row r="84" spans="1:5" x14ac:dyDescent="0.15">
      <c r="A84" s="10">
        <v>83</v>
      </c>
      <c r="B84" s="10">
        <v>9</v>
      </c>
      <c r="C84" s="10">
        <v>3</v>
      </c>
      <c r="D84" s="10" t="s">
        <v>77</v>
      </c>
      <c r="E84" s="10">
        <v>952</v>
      </c>
    </row>
    <row r="85" spans="1:5" x14ac:dyDescent="0.15">
      <c r="A85" s="10">
        <v>84</v>
      </c>
      <c r="B85" s="10">
        <v>9</v>
      </c>
      <c r="C85" s="10">
        <v>4</v>
      </c>
      <c r="D85" s="10" t="s">
        <v>24</v>
      </c>
      <c r="E85" s="10">
        <v>190</v>
      </c>
    </row>
    <row r="86" spans="1:5" x14ac:dyDescent="0.15">
      <c r="A86" s="10">
        <v>85</v>
      </c>
      <c r="B86" s="10">
        <v>9</v>
      </c>
      <c r="C86" s="10">
        <v>5</v>
      </c>
      <c r="D86" s="10" t="s">
        <v>75</v>
      </c>
      <c r="E86" s="10">
        <v>127</v>
      </c>
    </row>
    <row r="87" spans="1:5" x14ac:dyDescent="0.15">
      <c r="A87" s="10">
        <v>86</v>
      </c>
      <c r="B87" s="10">
        <v>9</v>
      </c>
      <c r="C87" s="10">
        <v>6</v>
      </c>
      <c r="D87" s="10" t="s">
        <v>76</v>
      </c>
      <c r="E87" s="10">
        <v>127</v>
      </c>
    </row>
    <row r="88" spans="1:5" x14ac:dyDescent="0.15">
      <c r="A88" s="10">
        <v>87</v>
      </c>
      <c r="B88" s="10">
        <v>9</v>
      </c>
      <c r="C88" s="10">
        <v>7</v>
      </c>
      <c r="D88" s="10" t="s">
        <v>77</v>
      </c>
      <c r="E88" s="10">
        <v>952</v>
      </c>
    </row>
    <row r="89" spans="1:5" x14ac:dyDescent="0.15">
      <c r="A89" s="10">
        <v>88</v>
      </c>
      <c r="B89" s="10">
        <v>9</v>
      </c>
      <c r="C89" s="10">
        <v>8</v>
      </c>
      <c r="D89" s="10" t="s">
        <v>24</v>
      </c>
      <c r="E89" s="10">
        <v>190</v>
      </c>
    </row>
    <row r="90" spans="1:5" x14ac:dyDescent="0.15">
      <c r="A90" s="10">
        <v>89</v>
      </c>
      <c r="B90" s="10">
        <v>9</v>
      </c>
      <c r="C90" s="10">
        <v>9</v>
      </c>
      <c r="D90" s="10" t="s">
        <v>75</v>
      </c>
      <c r="E90" s="10">
        <v>127</v>
      </c>
    </row>
    <row r="91" spans="1:5" x14ac:dyDescent="0.15">
      <c r="A91" s="10">
        <v>90</v>
      </c>
      <c r="B91" s="10">
        <v>9</v>
      </c>
      <c r="C91" s="10">
        <v>10</v>
      </c>
      <c r="D91" s="10" t="s">
        <v>76</v>
      </c>
      <c r="E91" s="10">
        <v>127</v>
      </c>
    </row>
    <row r="92" spans="1:5" x14ac:dyDescent="0.15">
      <c r="A92" s="10">
        <v>91</v>
      </c>
      <c r="B92" s="10">
        <v>10</v>
      </c>
      <c r="C92" s="10">
        <v>1</v>
      </c>
      <c r="D92" s="10" t="s">
        <v>75</v>
      </c>
      <c r="E92" s="10">
        <v>166</v>
      </c>
    </row>
    <row r="93" spans="1:5" x14ac:dyDescent="0.15">
      <c r="A93" s="10">
        <v>92</v>
      </c>
      <c r="B93" s="10">
        <v>10</v>
      </c>
      <c r="C93" s="10">
        <v>2</v>
      </c>
      <c r="D93" s="10" t="s">
        <v>76</v>
      </c>
      <c r="E93" s="10">
        <v>166</v>
      </c>
    </row>
    <row r="94" spans="1:5" x14ac:dyDescent="0.15">
      <c r="A94" s="10">
        <v>93</v>
      </c>
      <c r="B94" s="10">
        <v>10</v>
      </c>
      <c r="C94" s="10">
        <v>3</v>
      </c>
      <c r="D94" s="10" t="s">
        <v>77</v>
      </c>
      <c r="E94" s="10">
        <v>1245</v>
      </c>
    </row>
    <row r="95" spans="1:5" x14ac:dyDescent="0.15">
      <c r="A95" s="10">
        <v>94</v>
      </c>
      <c r="B95" s="10">
        <v>10</v>
      </c>
      <c r="C95" s="10">
        <v>4</v>
      </c>
      <c r="D95" s="10" t="s">
        <v>24</v>
      </c>
      <c r="E95" s="10">
        <v>249</v>
      </c>
    </row>
    <row r="96" spans="1:5" x14ac:dyDescent="0.15">
      <c r="A96" s="10">
        <v>95</v>
      </c>
      <c r="B96" s="10">
        <v>10</v>
      </c>
      <c r="C96" s="10">
        <v>5</v>
      </c>
      <c r="D96" s="10" t="s">
        <v>75</v>
      </c>
      <c r="E96" s="10">
        <v>166</v>
      </c>
    </row>
    <row r="97" spans="1:5" x14ac:dyDescent="0.15">
      <c r="A97" s="10">
        <v>96</v>
      </c>
      <c r="B97" s="10">
        <v>10</v>
      </c>
      <c r="C97" s="10">
        <v>6</v>
      </c>
      <c r="D97" s="10" t="s">
        <v>76</v>
      </c>
      <c r="E97" s="10">
        <v>166</v>
      </c>
    </row>
    <row r="98" spans="1:5" x14ac:dyDescent="0.15">
      <c r="A98" s="10">
        <v>97</v>
      </c>
      <c r="B98" s="10">
        <v>10</v>
      </c>
      <c r="C98" s="10">
        <v>7</v>
      </c>
      <c r="D98" s="10" t="s">
        <v>77</v>
      </c>
      <c r="E98" s="10">
        <v>1245</v>
      </c>
    </row>
    <row r="99" spans="1:5" x14ac:dyDescent="0.15">
      <c r="A99" s="10">
        <v>98</v>
      </c>
      <c r="B99" s="10">
        <v>10</v>
      </c>
      <c r="C99" s="10">
        <v>8</v>
      </c>
      <c r="D99" s="10" t="s">
        <v>24</v>
      </c>
      <c r="E99" s="10">
        <v>249</v>
      </c>
    </row>
    <row r="100" spans="1:5" x14ac:dyDescent="0.15">
      <c r="A100" s="10">
        <v>99</v>
      </c>
      <c r="B100" s="10">
        <v>10</v>
      </c>
      <c r="C100" s="10">
        <v>9</v>
      </c>
      <c r="D100" s="10" t="s">
        <v>75</v>
      </c>
      <c r="E100" s="10">
        <v>166</v>
      </c>
    </row>
    <row r="101" spans="1:5" x14ac:dyDescent="0.15">
      <c r="A101" s="10">
        <v>100</v>
      </c>
      <c r="B101" s="10">
        <v>10</v>
      </c>
      <c r="C101" s="10">
        <v>10</v>
      </c>
      <c r="D101" s="10" t="s">
        <v>76</v>
      </c>
      <c r="E101" s="10">
        <v>166</v>
      </c>
    </row>
    <row r="102" spans="1:5" x14ac:dyDescent="0.15">
      <c r="A102" s="10">
        <v>101</v>
      </c>
      <c r="B102" s="10">
        <v>11</v>
      </c>
      <c r="C102" s="10">
        <v>1</v>
      </c>
      <c r="D102" s="10" t="s">
        <v>75</v>
      </c>
      <c r="E102" s="10">
        <v>215</v>
      </c>
    </row>
    <row r="103" spans="1:5" x14ac:dyDescent="0.15">
      <c r="A103" s="10">
        <v>102</v>
      </c>
      <c r="B103" s="10">
        <v>11</v>
      </c>
      <c r="C103" s="10">
        <v>2</v>
      </c>
      <c r="D103" s="10" t="s">
        <v>76</v>
      </c>
      <c r="E103" s="10">
        <v>215</v>
      </c>
    </row>
    <row r="104" spans="1:5" x14ac:dyDescent="0.15">
      <c r="A104" s="10">
        <v>103</v>
      </c>
      <c r="B104" s="10">
        <v>11</v>
      </c>
      <c r="C104" s="10">
        <v>3</v>
      </c>
      <c r="D104" s="10" t="s">
        <v>77</v>
      </c>
      <c r="E104" s="10">
        <v>1612</v>
      </c>
    </row>
    <row r="105" spans="1:5" x14ac:dyDescent="0.15">
      <c r="A105" s="10">
        <v>104</v>
      </c>
      <c r="B105" s="10">
        <v>11</v>
      </c>
      <c r="C105" s="10">
        <v>4</v>
      </c>
      <c r="D105" s="10" t="s">
        <v>24</v>
      </c>
      <c r="E105" s="10">
        <v>322</v>
      </c>
    </row>
    <row r="106" spans="1:5" x14ac:dyDescent="0.15">
      <c r="A106" s="10">
        <v>105</v>
      </c>
      <c r="B106" s="10">
        <v>11</v>
      </c>
      <c r="C106" s="10">
        <v>5</v>
      </c>
      <c r="D106" s="10" t="s">
        <v>75</v>
      </c>
      <c r="E106" s="10">
        <v>215</v>
      </c>
    </row>
    <row r="107" spans="1:5" x14ac:dyDescent="0.15">
      <c r="A107" s="10">
        <v>106</v>
      </c>
      <c r="B107" s="10">
        <v>11</v>
      </c>
      <c r="C107" s="10">
        <v>6</v>
      </c>
      <c r="D107" s="10" t="s">
        <v>76</v>
      </c>
      <c r="E107" s="10">
        <v>215</v>
      </c>
    </row>
    <row r="108" spans="1:5" x14ac:dyDescent="0.15">
      <c r="A108" s="10">
        <v>107</v>
      </c>
      <c r="B108" s="10">
        <v>11</v>
      </c>
      <c r="C108" s="10">
        <v>7</v>
      </c>
      <c r="D108" s="10" t="s">
        <v>77</v>
      </c>
      <c r="E108" s="10">
        <v>1612</v>
      </c>
    </row>
    <row r="109" spans="1:5" x14ac:dyDescent="0.15">
      <c r="A109" s="10">
        <v>108</v>
      </c>
      <c r="B109" s="10">
        <v>11</v>
      </c>
      <c r="C109" s="10">
        <v>8</v>
      </c>
      <c r="D109" s="10" t="s">
        <v>24</v>
      </c>
      <c r="E109" s="10">
        <v>322</v>
      </c>
    </row>
    <row r="110" spans="1:5" x14ac:dyDescent="0.15">
      <c r="A110" s="10">
        <v>109</v>
      </c>
      <c r="B110" s="10">
        <v>11</v>
      </c>
      <c r="C110" s="10">
        <v>9</v>
      </c>
      <c r="D110" s="10" t="s">
        <v>75</v>
      </c>
      <c r="E110" s="10">
        <v>215</v>
      </c>
    </row>
    <row r="111" spans="1:5" x14ac:dyDescent="0.15">
      <c r="A111" s="10">
        <v>110</v>
      </c>
      <c r="B111" s="10">
        <v>11</v>
      </c>
      <c r="C111" s="10">
        <v>10</v>
      </c>
      <c r="D111" s="10" t="s">
        <v>76</v>
      </c>
      <c r="E111" s="10">
        <v>215</v>
      </c>
    </row>
    <row r="112" spans="1:5" x14ac:dyDescent="0.15">
      <c r="A112" s="10">
        <v>111</v>
      </c>
      <c r="B112" s="10">
        <v>12</v>
      </c>
      <c r="C112" s="10">
        <v>1</v>
      </c>
      <c r="D112" s="10" t="s">
        <v>75</v>
      </c>
      <c r="E112" s="10">
        <v>283</v>
      </c>
    </row>
    <row r="113" spans="1:5" x14ac:dyDescent="0.15">
      <c r="A113" s="10">
        <v>112</v>
      </c>
      <c r="B113" s="10">
        <v>12</v>
      </c>
      <c r="C113" s="10">
        <v>2</v>
      </c>
      <c r="D113" s="10" t="s">
        <v>76</v>
      </c>
      <c r="E113" s="10">
        <v>283</v>
      </c>
    </row>
    <row r="114" spans="1:5" x14ac:dyDescent="0.15">
      <c r="A114" s="10">
        <v>113</v>
      </c>
      <c r="B114" s="10">
        <v>12</v>
      </c>
      <c r="C114" s="10">
        <v>3</v>
      </c>
      <c r="D114" s="10" t="s">
        <v>77</v>
      </c>
      <c r="E114" s="10">
        <v>2122</v>
      </c>
    </row>
    <row r="115" spans="1:5" x14ac:dyDescent="0.15">
      <c r="A115" s="10">
        <v>114</v>
      </c>
      <c r="B115" s="10">
        <v>12</v>
      </c>
      <c r="C115" s="10">
        <v>4</v>
      </c>
      <c r="D115" s="10" t="s">
        <v>24</v>
      </c>
      <c r="E115" s="10">
        <v>424</v>
      </c>
    </row>
    <row r="116" spans="1:5" x14ac:dyDescent="0.15">
      <c r="A116" s="10">
        <v>115</v>
      </c>
      <c r="B116" s="10">
        <v>12</v>
      </c>
      <c r="C116" s="10">
        <v>5</v>
      </c>
      <c r="D116" s="10" t="s">
        <v>75</v>
      </c>
      <c r="E116" s="10">
        <v>283</v>
      </c>
    </row>
    <row r="117" spans="1:5" x14ac:dyDescent="0.15">
      <c r="A117" s="10">
        <v>116</v>
      </c>
      <c r="B117" s="10">
        <v>12</v>
      </c>
      <c r="C117" s="10">
        <v>6</v>
      </c>
      <c r="D117" s="10" t="s">
        <v>76</v>
      </c>
      <c r="E117" s="10">
        <v>283</v>
      </c>
    </row>
    <row r="118" spans="1:5" x14ac:dyDescent="0.15">
      <c r="A118" s="10">
        <v>117</v>
      </c>
      <c r="B118" s="10">
        <v>12</v>
      </c>
      <c r="C118" s="10">
        <v>7</v>
      </c>
      <c r="D118" s="10" t="s">
        <v>77</v>
      </c>
      <c r="E118" s="10">
        <v>2122</v>
      </c>
    </row>
    <row r="119" spans="1:5" x14ac:dyDescent="0.15">
      <c r="A119" s="10">
        <v>118</v>
      </c>
      <c r="B119" s="10">
        <v>12</v>
      </c>
      <c r="C119" s="10">
        <v>8</v>
      </c>
      <c r="D119" s="10" t="s">
        <v>24</v>
      </c>
      <c r="E119" s="10">
        <v>424</v>
      </c>
    </row>
    <row r="120" spans="1:5" x14ac:dyDescent="0.15">
      <c r="A120" s="10">
        <v>119</v>
      </c>
      <c r="B120" s="10">
        <v>12</v>
      </c>
      <c r="C120" s="10">
        <v>9</v>
      </c>
      <c r="D120" s="10" t="s">
        <v>75</v>
      </c>
      <c r="E120" s="10">
        <v>283</v>
      </c>
    </row>
    <row r="121" spans="1:5" x14ac:dyDescent="0.15">
      <c r="A121" s="10">
        <v>120</v>
      </c>
      <c r="B121" s="10">
        <v>12</v>
      </c>
      <c r="C121" s="10">
        <v>10</v>
      </c>
      <c r="D121" s="10" t="s">
        <v>76</v>
      </c>
      <c r="E121" s="10">
        <v>283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2016-07-18T12:03:05Z</dcterms:modified>
</cp:coreProperties>
</file>