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90" windowWidth="27870" windowHeight="13770"/>
  </bookViews>
  <sheets>
    <sheet name="Sheet1" sheetId="1" r:id="rId1"/>
    <sheet name="Sheet2" sheetId="2" r:id="rId2"/>
    <sheet name="Sheet3" sheetId="3" r:id="rId3"/>
  </sheets>
  <calcPr calcId="144525"/>
</workbook>
</file>

<file path=xl/calcChain.xml><?xml version="1.0" encoding="utf-8"?>
<calcChain xmlns="http://schemas.openxmlformats.org/spreadsheetml/2006/main">
  <c r="B2" i="3" l="1"/>
  <c r="G1" i="3"/>
  <c r="G2" i="3" l="1"/>
  <c r="B3" i="3"/>
  <c r="L39" i="2"/>
  <c r="L1" i="2"/>
  <c r="E25" i="2"/>
  <c r="L22" i="2"/>
  <c r="K14" i="2"/>
  <c r="E26" i="2"/>
  <c r="K30" i="2"/>
  <c r="L40" i="2"/>
  <c r="K3" i="2"/>
  <c r="D24" i="2"/>
  <c r="L28" i="2"/>
  <c r="E22" i="2"/>
  <c r="K7" i="2"/>
  <c r="E24" i="2"/>
  <c r="L36" i="2"/>
  <c r="L38" i="2"/>
  <c r="L10" i="2"/>
  <c r="D7" i="2"/>
  <c r="K19" i="2"/>
  <c r="K54" i="2"/>
  <c r="K55" i="2"/>
  <c r="L35" i="2"/>
  <c r="L48" i="2"/>
  <c r="L5" i="2"/>
  <c r="K25" i="2"/>
  <c r="E10" i="2"/>
  <c r="D17" i="2"/>
  <c r="E19" i="2"/>
  <c r="L23" i="2"/>
  <c r="L50" i="2"/>
  <c r="D14" i="2"/>
  <c r="K2" i="2"/>
  <c r="D25" i="2"/>
  <c r="L53" i="2"/>
  <c r="D8" i="2"/>
  <c r="K6" i="2"/>
  <c r="E16" i="2"/>
  <c r="K32" i="2"/>
  <c r="L3" i="2"/>
  <c r="K33" i="2"/>
  <c r="K22" i="2"/>
  <c r="L2" i="2"/>
  <c r="D10" i="2"/>
  <c r="L37" i="2"/>
  <c r="L16" i="2"/>
  <c r="L52" i="2"/>
  <c r="K29" i="2"/>
  <c r="L24" i="2"/>
  <c r="K50" i="2"/>
  <c r="E8" i="2"/>
  <c r="D12" i="2"/>
  <c r="K39" i="2"/>
  <c r="K42" i="2"/>
  <c r="E21" i="2"/>
  <c r="L32" i="2"/>
  <c r="K28" i="2"/>
  <c r="L20" i="2"/>
  <c r="K21" i="2"/>
  <c r="E15" i="2"/>
  <c r="E5" i="2"/>
  <c r="L11" i="2"/>
  <c r="E9" i="2"/>
  <c r="L43" i="2"/>
  <c r="D1" i="2"/>
  <c r="E17" i="2"/>
  <c r="L18" i="2"/>
  <c r="K44" i="2"/>
  <c r="K1" i="2"/>
  <c r="K46" i="2"/>
  <c r="L44" i="2"/>
  <c r="L9" i="2"/>
  <c r="D3" i="2"/>
  <c r="D13" i="2"/>
  <c r="D26" i="2"/>
  <c r="L6" i="2"/>
  <c r="K49" i="2"/>
  <c r="L51" i="2"/>
  <c r="K9" i="2"/>
  <c r="E11" i="2"/>
  <c r="L21" i="2"/>
  <c r="L31" i="2"/>
  <c r="L47" i="2"/>
  <c r="L14" i="2"/>
  <c r="K34" i="2"/>
  <c r="L49" i="2"/>
  <c r="L4" i="2"/>
  <c r="L27" i="2"/>
  <c r="D15" i="2"/>
  <c r="E18" i="2"/>
  <c r="K35" i="2"/>
  <c r="D6" i="2"/>
  <c r="E12" i="2"/>
  <c r="K41" i="2"/>
  <c r="K4" i="2"/>
  <c r="K38" i="2"/>
  <c r="K17" i="2"/>
  <c r="L41" i="2"/>
  <c r="L29" i="2"/>
  <c r="L34" i="2"/>
  <c r="K31" i="2"/>
  <c r="K36" i="2"/>
  <c r="D22" i="2"/>
  <c r="E1" i="2"/>
  <c r="L26" i="2"/>
  <c r="D16" i="2"/>
  <c r="K48" i="2"/>
  <c r="L46" i="2"/>
  <c r="K45" i="2"/>
  <c r="D20" i="2"/>
  <c r="L33" i="2"/>
  <c r="K27" i="2"/>
  <c r="L42" i="2"/>
  <c r="E4" i="2"/>
  <c r="L54" i="2"/>
  <c r="K23" i="2"/>
  <c r="E14" i="2"/>
  <c r="K8" i="2"/>
  <c r="L17" i="2"/>
  <c r="D5" i="2"/>
  <c r="K40" i="2"/>
  <c r="K37" i="2"/>
  <c r="L8" i="2"/>
  <c r="L15" i="2"/>
  <c r="E13" i="2"/>
  <c r="L19" i="2"/>
  <c r="E6" i="2"/>
  <c r="E3" i="2"/>
  <c r="D4" i="2"/>
  <c r="K52" i="2"/>
  <c r="E20" i="2"/>
  <c r="K5" i="2"/>
  <c r="E7" i="2"/>
  <c r="D19" i="2"/>
  <c r="L30" i="2"/>
  <c r="K20" i="2"/>
  <c r="K26" i="2"/>
  <c r="K47" i="2"/>
  <c r="L12" i="2"/>
  <c r="L25" i="2"/>
  <c r="E23" i="2"/>
  <c r="D11" i="2"/>
  <c r="L55" i="2"/>
  <c r="D18" i="2"/>
  <c r="K12" i="2"/>
  <c r="K43" i="2"/>
  <c r="D9" i="2"/>
  <c r="D23" i="2"/>
  <c r="K11" i="2"/>
  <c r="K13" i="2"/>
  <c r="D2" i="2"/>
  <c r="K15" i="2"/>
  <c r="E2" i="2"/>
  <c r="K53" i="2"/>
  <c r="L7" i="2"/>
  <c r="K16" i="2"/>
  <c r="K51" i="2"/>
  <c r="L45" i="2"/>
  <c r="K18" i="2"/>
  <c r="D21" i="2"/>
  <c r="L13" i="2"/>
  <c r="K24" i="2"/>
  <c r="K10" i="2"/>
  <c r="B4" i="3" l="1"/>
  <c r="G3" i="3"/>
  <c r="B5" i="3" l="1"/>
  <c r="G4" i="3"/>
  <c r="B6" i="3" l="1"/>
  <c r="G5" i="3"/>
  <c r="B7" i="3" l="1"/>
  <c r="G6" i="3"/>
  <c r="B8" i="3" l="1"/>
  <c r="G7" i="3"/>
  <c r="B9" i="3" l="1"/>
  <c r="G8" i="3"/>
  <c r="B10" i="3" l="1"/>
  <c r="G9" i="3"/>
  <c r="B11" i="3" l="1"/>
  <c r="G10" i="3"/>
  <c r="B12" i="3" l="1"/>
  <c r="G11" i="3"/>
  <c r="B13" i="3" l="1"/>
  <c r="G12" i="3"/>
  <c r="B14" i="3" l="1"/>
  <c r="G13" i="3"/>
  <c r="B15" i="3" l="1"/>
  <c r="G14" i="3"/>
  <c r="B16" i="3" l="1"/>
  <c r="G15" i="3"/>
  <c r="B17" i="3" l="1"/>
  <c r="G16" i="3"/>
  <c r="B18" i="3" l="1"/>
  <c r="G17" i="3"/>
  <c r="B19" i="3" l="1"/>
  <c r="G18" i="3"/>
  <c r="B20" i="3" l="1"/>
  <c r="G19" i="3"/>
  <c r="B21" i="3" l="1"/>
  <c r="G20" i="3"/>
  <c r="B22" i="3" l="1"/>
  <c r="G21" i="3"/>
  <c r="B23" i="3" l="1"/>
  <c r="G22" i="3"/>
  <c r="B24" i="3" l="1"/>
  <c r="G23" i="3"/>
  <c r="B25" i="3" l="1"/>
  <c r="G24" i="3"/>
  <c r="B26" i="3" l="1"/>
  <c r="G25" i="3"/>
  <c r="B27" i="3" l="1"/>
  <c r="G26" i="3"/>
  <c r="B28" i="3" l="1"/>
  <c r="G27" i="3"/>
  <c r="B29" i="3" l="1"/>
  <c r="G28" i="3"/>
  <c r="B30" i="3" l="1"/>
  <c r="G29" i="3"/>
  <c r="B31" i="3" l="1"/>
  <c r="G30" i="3"/>
  <c r="B32" i="3" l="1"/>
  <c r="G31" i="3"/>
  <c r="G32" i="3" l="1"/>
  <c r="B33" i="3"/>
</calcChain>
</file>

<file path=xl/sharedStrings.xml><?xml version="1.0" encoding="utf-8"?>
<sst xmlns="http://schemas.openxmlformats.org/spreadsheetml/2006/main" count="540" uniqueCount="412">
  <si>
    <t>2-50</t>
  </si>
  <si>
    <t>2-75</t>
  </si>
  <si>
    <t>2-100</t>
  </si>
  <si>
    <t>2-125</t>
  </si>
  <si>
    <t>2-150</t>
  </si>
  <si>
    <t>2-200</t>
  </si>
  <si>
    <t>2-250</t>
  </si>
  <si>
    <t>战菊</t>
  </si>
  <si>
    <t>18020101</t>
  </si>
  <si>
    <t>诺大斧</t>
  </si>
  <si>
    <t>十薇九坑</t>
  </si>
  <si>
    <t>18020102</t>
  </si>
  <si>
    <t>蒙氏菜刀</t>
  </si>
  <si>
    <t>公主来几发</t>
  </si>
  <si>
    <t>18020103</t>
  </si>
  <si>
    <t>你是我的眼</t>
  </si>
  <si>
    <t>团战可以输</t>
  </si>
  <si>
    <t>18020104</t>
  </si>
  <si>
    <t>发抖的小喵喵</t>
  </si>
  <si>
    <t>好运</t>
  </si>
  <si>
    <t>18020105</t>
  </si>
  <si>
    <t>逆命</t>
  </si>
  <si>
    <t>女郎光杀炮</t>
  </si>
  <si>
    <t>18020106</t>
  </si>
  <si>
    <t>宿命的旋转</t>
  </si>
  <si>
    <t>18010207</t>
  </si>
  <si>
    <t>草在人在</t>
  </si>
  <si>
    <t>18020201</t>
  </si>
  <si>
    <t>18010208</t>
  </si>
  <si>
    <t>BIU~BIU~</t>
  </si>
  <si>
    <t>18020202</t>
  </si>
  <si>
    <t>18010301</t>
  </si>
  <si>
    <t>挺胸弹琴</t>
  </si>
  <si>
    <t>18020203</t>
  </si>
  <si>
    <t>18010302</t>
  </si>
  <si>
    <t>易剑连</t>
  </si>
  <si>
    <t>18020204</t>
  </si>
  <si>
    <t>18010303</t>
  </si>
  <si>
    <t>灯泡带闪电</t>
  </si>
  <si>
    <t>18020205</t>
  </si>
  <si>
    <t>18010304</t>
  </si>
  <si>
    <t>奶妈给你爱</t>
  </si>
  <si>
    <t>18020206</t>
  </si>
  <si>
    <t>18010305</t>
  </si>
  <si>
    <t>我心飞翔</t>
  </si>
  <si>
    <t>18020207</t>
  </si>
  <si>
    <t>18010306</t>
  </si>
  <si>
    <t>手术菜刀</t>
  </si>
  <si>
    <t>18020208</t>
  </si>
  <si>
    <t>18010307</t>
  </si>
  <si>
    <t>坚如磐石</t>
  </si>
  <si>
    <t>18020301</t>
  </si>
  <si>
    <t>18010308</t>
  </si>
  <si>
    <t>空间传送</t>
  </si>
  <si>
    <t>18020302</t>
  </si>
  <si>
    <t>18010401</t>
  </si>
  <si>
    <t>看门狗</t>
  </si>
  <si>
    <t>18020303</t>
  </si>
  <si>
    <t>18010402</t>
  </si>
  <si>
    <t>横冲直撞</t>
  </si>
  <si>
    <t>18020304</t>
  </si>
  <si>
    <t>18010403</t>
  </si>
  <si>
    <t>蛇牙</t>
  </si>
  <si>
    <t>18020305</t>
  </si>
  <si>
    <t>18010404</t>
  </si>
  <si>
    <t>瞬步</t>
  </si>
  <si>
    <t>18020306</t>
  </si>
  <si>
    <t>18010405</t>
  </si>
  <si>
    <t>带头冲锋</t>
  </si>
  <si>
    <t>18020307</t>
  </si>
  <si>
    <t>18010406</t>
  </si>
  <si>
    <t>大杀四方</t>
  </si>
  <si>
    <t>18020308</t>
  </si>
  <si>
    <t>18010407</t>
  </si>
  <si>
    <t>留蓝放无敌</t>
  </si>
  <si>
    <t>18020401</t>
  </si>
  <si>
    <t>18010408</t>
  </si>
  <si>
    <t>灵魂榨汁机</t>
  </si>
  <si>
    <t>18020402</t>
  </si>
  <si>
    <t>18010501</t>
  </si>
  <si>
    <t>摇滚和弦</t>
  </si>
  <si>
    <t>18020403</t>
  </si>
  <si>
    <t>18010502</t>
  </si>
  <si>
    <t>真银箭</t>
  </si>
  <si>
    <t>18020404</t>
  </si>
  <si>
    <t>18010503</t>
  </si>
  <si>
    <t>枪出如龙</t>
  </si>
  <si>
    <t>18020405</t>
  </si>
  <si>
    <t>18010504</t>
  </si>
  <si>
    <t>鸡蛋碰石头</t>
  </si>
  <si>
    <t>18020406</t>
  </si>
  <si>
    <t>18010505</t>
  </si>
  <si>
    <t>清算</t>
  </si>
  <si>
    <t>18020407</t>
  </si>
  <si>
    <t>18010506</t>
  </si>
  <si>
    <t>技术流</t>
  </si>
  <si>
    <t>18020408</t>
  </si>
  <si>
    <t>18010507</t>
  </si>
  <si>
    <t>焰火萝莉</t>
  </si>
  <si>
    <t>18020501</t>
  </si>
  <si>
    <t>18010508</t>
  </si>
  <si>
    <t>悲伤的绷带</t>
  </si>
  <si>
    <t>18020502</t>
  </si>
  <si>
    <t>18010601</t>
  </si>
  <si>
    <t>凝神静气</t>
  </si>
  <si>
    <t>18020503</t>
  </si>
  <si>
    <t>18010602</t>
  </si>
  <si>
    <t>星语聆听</t>
  </si>
  <si>
    <t>18020504</t>
  </si>
  <si>
    <t>18010603</t>
  </si>
  <si>
    <t>双枪小妞</t>
  </si>
  <si>
    <t>18020505</t>
  </si>
  <si>
    <t>18010604</t>
  </si>
  <si>
    <t>兄弟</t>
  </si>
  <si>
    <t>18020506</t>
  </si>
  <si>
    <t>18010605</t>
  </si>
  <si>
    <t>禁锢</t>
  </si>
  <si>
    <t>18020507</t>
  </si>
  <si>
    <t>18010606</t>
  </si>
  <si>
    <t>汪汪汪</t>
  </si>
  <si>
    <t>18020508</t>
  </si>
  <si>
    <t>18010607</t>
  </si>
  <si>
    <t>法术机关枪</t>
  </si>
  <si>
    <t>18020601</t>
  </si>
  <si>
    <t>18010608</t>
  </si>
  <si>
    <t>铁手拦江</t>
  </si>
  <si>
    <t>18020602</t>
  </si>
  <si>
    <t>18010701</t>
  </si>
  <si>
    <t>提伯斯之怒</t>
  </si>
  <si>
    <t>18020603</t>
  </si>
  <si>
    <t>18010702</t>
  </si>
  <si>
    <t>千王之王</t>
  </si>
  <si>
    <t>18020604</t>
  </si>
  <si>
    <t>18010703</t>
  </si>
  <si>
    <t>绝望之拥</t>
  </si>
  <si>
    <t>18020605</t>
  </si>
  <si>
    <t>18010704</t>
  </si>
  <si>
    <t>迷雾</t>
  </si>
  <si>
    <t>18020606</t>
  </si>
  <si>
    <t>18010705</t>
  </si>
  <si>
    <t>叆华知音</t>
  </si>
  <si>
    <t>18020607</t>
  </si>
  <si>
    <t>18010706</t>
  </si>
  <si>
    <t>双生彩虹</t>
  </si>
  <si>
    <t>18020608</t>
  </si>
  <si>
    <t>18010707</t>
  </si>
  <si>
    <t>进击的蘑菇</t>
  </si>
  <si>
    <t>18020701</t>
  </si>
  <si>
    <t>18010708</t>
  </si>
  <si>
    <t>穿云箭</t>
  </si>
  <si>
    <t>18020702</t>
  </si>
  <si>
    <t>18010801</t>
  </si>
  <si>
    <t>巨弩</t>
  </si>
  <si>
    <t>18020703</t>
  </si>
  <si>
    <t>18010802</t>
  </si>
  <si>
    <t>陷阵</t>
  </si>
  <si>
    <t>18020704</t>
  </si>
  <si>
    <t>18010803</t>
  </si>
  <si>
    <t>曲光反射</t>
  </si>
  <si>
    <t>18020705</t>
  </si>
  <si>
    <t>18010804</t>
  </si>
  <si>
    <t>焦背熊</t>
  </si>
  <si>
    <t>18020706</t>
  </si>
  <si>
    <t>18010805</t>
  </si>
  <si>
    <t>海克斯弹簧刀</t>
  </si>
  <si>
    <t>18020707</t>
  </si>
  <si>
    <t>18010806</t>
  </si>
  <si>
    <t>符文草席</t>
  </si>
  <si>
    <t>18020708</t>
  </si>
  <si>
    <t>18010807</t>
  </si>
  <si>
    <t>震颤</t>
  </si>
  <si>
    <t>18020801</t>
  </si>
  <si>
    <t>18010808</t>
  </si>
  <si>
    <t>健忘萌医</t>
  </si>
  <si>
    <t>18020802</t>
  </si>
  <si>
    <t>18010901</t>
  </si>
  <si>
    <t>汲魂</t>
  </si>
  <si>
    <t>18020803</t>
  </si>
  <si>
    <t>18010902</t>
  </si>
  <si>
    <t>戈壁暴君</t>
  </si>
  <si>
    <t>18020804</t>
  </si>
  <si>
    <t>18010903</t>
  </si>
  <si>
    <t>沙中扬帆</t>
  </si>
  <si>
    <t>18020805</t>
  </si>
  <si>
    <t>18010904</t>
  </si>
  <si>
    <t>α与β</t>
  </si>
  <si>
    <t>18020806</t>
  </si>
  <si>
    <t>18010905</t>
  </si>
  <si>
    <t>哭哭脸</t>
  </si>
  <si>
    <t>18020807</t>
  </si>
  <si>
    <t>18010906</t>
  </si>
  <si>
    <t>鹰击长空</t>
  </si>
  <si>
    <t>18020808</t>
  </si>
  <si>
    <t>18010907</t>
  </si>
  <si>
    <t>伪主角光环</t>
  </si>
  <si>
    <t>18020901</t>
  </si>
  <si>
    <t>18010908</t>
  </si>
  <si>
    <t>队长在送命</t>
  </si>
  <si>
    <t>18020902</t>
  </si>
  <si>
    <t>18011001</t>
  </si>
  <si>
    <t>蓄电池</t>
  </si>
  <si>
    <t>18020903</t>
  </si>
  <si>
    <t>18011002</t>
  </si>
  <si>
    <t>星界祝福</t>
  </si>
  <si>
    <t>18020904</t>
  </si>
  <si>
    <t>18011003</t>
  </si>
  <si>
    <t>无声胜有声</t>
  </si>
  <si>
    <t>18020905</t>
  </si>
  <si>
    <t>18011004</t>
  </si>
  <si>
    <t>蛮石</t>
  </si>
  <si>
    <t>18020906</t>
  </si>
  <si>
    <t>18011005</t>
  </si>
  <si>
    <t>堕天大斧</t>
  </si>
  <si>
    <t>18020907</t>
  </si>
  <si>
    <t>18011006</t>
  </si>
  <si>
    <t>暗黑小学生</t>
  </si>
  <si>
    <t>18020908</t>
  </si>
  <si>
    <t>18011007</t>
  </si>
  <si>
    <t>海盗狂花</t>
  </si>
  <si>
    <t>18021001</t>
  </si>
  <si>
    <t>18011008</t>
  </si>
  <si>
    <t>剑刃与意志</t>
  </si>
  <si>
    <t>18021002</t>
  </si>
  <si>
    <t>18011101</t>
  </si>
  <si>
    <t>鹰爪三连击</t>
  </si>
  <si>
    <t>18021003</t>
  </si>
  <si>
    <t>18011102</t>
  </si>
  <si>
    <t>二重唱</t>
  </si>
  <si>
    <t>18021004</t>
  </si>
  <si>
    <t>18011103</t>
  </si>
  <si>
    <t>正中眉心</t>
  </si>
  <si>
    <t>18021005</t>
  </si>
  <si>
    <t>18011104</t>
  </si>
  <si>
    <t>跃动</t>
  </si>
  <si>
    <t>18021006</t>
  </si>
  <si>
    <t>18011105</t>
  </si>
  <si>
    <t>荆棘纹身</t>
  </si>
  <si>
    <t>18021007</t>
  </si>
  <si>
    <t>18011106</t>
  </si>
  <si>
    <t>审判圣焰</t>
  </si>
  <si>
    <t>18021008</t>
  </si>
  <si>
    <t>18011107</t>
  </si>
  <si>
    <t>落星术</t>
  </si>
  <si>
    <t>18021101</t>
  </si>
  <si>
    <t>18011108</t>
  </si>
  <si>
    <t>草丛王者</t>
  </si>
  <si>
    <t>18021102</t>
  </si>
  <si>
    <t>18011201</t>
  </si>
  <si>
    <t>与熊共舞</t>
  </si>
  <si>
    <t>18021103</t>
  </si>
  <si>
    <t>18011202</t>
  </si>
  <si>
    <t>孤独诅咒</t>
  </si>
  <si>
    <t>18021104</t>
  </si>
  <si>
    <t>18011203</t>
  </si>
  <si>
    <t>浩劫</t>
  </si>
  <si>
    <t>18021105</t>
  </si>
  <si>
    <t>18011204</t>
  </si>
  <si>
    <t>灌铅骰子</t>
  </si>
  <si>
    <t>18021106</t>
  </si>
  <si>
    <t>18011205</t>
  </si>
  <si>
    <t>沙漠风暴</t>
  </si>
  <si>
    <t>18021107</t>
  </si>
  <si>
    <t>18011206</t>
  </si>
  <si>
    <t>花岗岩</t>
  </si>
  <si>
    <t>18021108</t>
  </si>
  <si>
    <t>18011207</t>
  </si>
  <si>
    <t>死战不休</t>
  </si>
  <si>
    <t>18021201</t>
  </si>
  <si>
    <t>18011208</t>
  </si>
  <si>
    <t>姐姐是杀手</t>
  </si>
  <si>
    <t>18021202</t>
  </si>
  <si>
    <t>18011301</t>
  </si>
  <si>
    <t>远程支援</t>
  </si>
  <si>
    <t>18021203</t>
  </si>
  <si>
    <t>18011302</t>
  </si>
  <si>
    <t>新月横扫</t>
  </si>
  <si>
    <t>18021204</t>
  </si>
  <si>
    <t>18011303</t>
  </si>
  <si>
    <t>翻滚的猎人</t>
  </si>
  <si>
    <t>18021205</t>
  </si>
  <si>
    <t>18011304</t>
  </si>
  <si>
    <t>咏叹</t>
  </si>
  <si>
    <t>18021206</t>
  </si>
  <si>
    <t>18011305</t>
  </si>
  <si>
    <t>人剑合一</t>
  </si>
  <si>
    <t>18021207</t>
  </si>
  <si>
    <t>18011306</t>
  </si>
  <si>
    <t>庇护</t>
  </si>
  <si>
    <t>18021208</t>
  </si>
  <si>
    <t>18011307</t>
  </si>
  <si>
    <t>北地公主</t>
  </si>
  <si>
    <t>18021301</t>
  </si>
  <si>
    <t>18011308</t>
  </si>
  <si>
    <t>矮矬穷</t>
  </si>
  <si>
    <t>18021302</t>
  </si>
  <si>
    <t>18011401</t>
  </si>
  <si>
    <t>苦痛腐蚀</t>
  </si>
  <si>
    <t>18021303</t>
  </si>
  <si>
    <t>18011402</t>
  </si>
  <si>
    <t>倾盆弹雨</t>
  </si>
  <si>
    <t>18021304</t>
  </si>
  <si>
    <t>18011403</t>
  </si>
  <si>
    <t>四把多兰剑</t>
  </si>
  <si>
    <t>18021305</t>
  </si>
  <si>
    <t>18011404</t>
  </si>
  <si>
    <t>罪与罚</t>
  </si>
  <si>
    <t>18021306</t>
  </si>
  <si>
    <t>18011405</t>
  </si>
  <si>
    <t>背水一战</t>
  </si>
  <si>
    <t>18021307</t>
  </si>
  <si>
    <t>18011406</t>
  </si>
  <si>
    <t>荒漠之咬</t>
  </si>
  <si>
    <t>18021308</t>
  </si>
  <si>
    <t>18011407</t>
  </si>
  <si>
    <t>五杀</t>
  </si>
  <si>
    <t>18021401</t>
  </si>
  <si>
    <t>18011408</t>
  </si>
  <si>
    <t>无极之道</t>
  </si>
  <si>
    <t>18021402</t>
  </si>
  <si>
    <t>18021403</t>
  </si>
  <si>
    <t>18021404</t>
  </si>
  <si>
    <t>18021405</t>
  </si>
  <si>
    <t>18021406</t>
  </si>
  <si>
    <t>18021407</t>
  </si>
  <si>
    <t>18021408</t>
  </si>
  <si>
    <t>11差值</t>
  </si>
  <si>
    <t>10差值</t>
  </si>
  <si>
    <t>2-175</t>
  </si>
  <si>
    <t>2-225</t>
  </si>
  <si>
    <t>2-275</t>
  </si>
  <si>
    <t>2-300</t>
  </si>
  <si>
    <t>2-325</t>
  </si>
  <si>
    <t>2-350</t>
  </si>
  <si>
    <t>2-375</t>
  </si>
  <si>
    <t>2-400</t>
  </si>
  <si>
    <t>2-425</t>
  </si>
  <si>
    <t>2-450</t>
  </si>
  <si>
    <t>2-475</t>
  </si>
  <si>
    <t>2-500</t>
  </si>
  <si>
    <t>2-525</t>
  </si>
  <si>
    <t>2-550</t>
  </si>
  <si>
    <t>2-575</t>
  </si>
  <si>
    <t>2-600</t>
  </si>
  <si>
    <t>2-625</t>
  </si>
  <si>
    <t>2-650</t>
  </si>
  <si>
    <t>2-675</t>
  </si>
  <si>
    <t>2-700</t>
  </si>
  <si>
    <t>2-725</t>
  </si>
  <si>
    <t>2-750</t>
  </si>
  <si>
    <t>2-775</t>
  </si>
  <si>
    <t>2-800</t>
  </si>
  <si>
    <t>2-825</t>
  </si>
  <si>
    <t>int-id</t>
    <phoneticPr fontId="11" type="noConversion"/>
  </si>
  <si>
    <t>string-name</t>
    <phoneticPr fontId="11" type="noConversion"/>
  </si>
  <si>
    <t>string-info</t>
    <phoneticPr fontId="11" type="noConversion"/>
  </si>
  <si>
    <t>string-icon</t>
    <phoneticPr fontId="11" type="noConversion"/>
  </si>
  <si>
    <t>int-level</t>
    <phoneticPr fontId="11" type="noConversion"/>
  </si>
  <si>
    <t>int-function</t>
    <phoneticPr fontId="11" type="noConversion"/>
  </si>
  <si>
    <t>int-record</t>
    <phoneticPr fontId="11" type="noConversion"/>
  </si>
  <si>
    <t>int-param</t>
    <phoneticPr fontId="11" type="noConversion"/>
  </si>
  <si>
    <t>int-count</t>
    <phoneticPr fontId="11" type="noConversion"/>
  </si>
  <si>
    <t>string-completionTimeStart</t>
    <phoneticPr fontId="11" type="noConversion"/>
  </si>
  <si>
    <t>string-completionTimeEnd</t>
    <phoneticPr fontId="11" type="noConversion"/>
  </si>
  <si>
    <t>intArr:awardItem:|:-</t>
    <phoneticPr fontId="11" type="noConversion"/>
  </si>
  <si>
    <t>intArr:awardValue:|:-</t>
    <phoneticPr fontId="11" type="noConversion"/>
  </si>
  <si>
    <t>int-nextTask</t>
    <phoneticPr fontId="11" type="noConversion"/>
  </si>
  <si>
    <t>int-linkType</t>
    <phoneticPr fontId="11" type="noConversion"/>
  </si>
  <si>
    <t>0：不需要记录
1：需要记录的</t>
    <phoneticPr fontId="11" type="noConversion"/>
  </si>
  <si>
    <t>年月日时分
每个占两位
例如
2013年2月5日0点15分
表示为13-02-05-00-15
#表示任意
每天下午1点10分
表示为#-#-#-13-10</t>
    <phoneticPr fontId="11" type="noConversion"/>
  </si>
  <si>
    <t>规则同开始时间</t>
    <phoneticPr fontId="11" type="noConversion"/>
  </si>
  <si>
    <t xml:space="preserve">格式：物品1ID-物品数量|物品2ID-物品数量|…
例子：14000001-1|15000002-8
</t>
    <phoneticPr fontId="11" type="noConversion"/>
  </si>
  <si>
    <t>0表示任意</t>
    <phoneticPr fontId="11" type="noConversion"/>
  </si>
  <si>
    <t>任务等级</t>
    <phoneticPr fontId="11" type="noConversion"/>
  </si>
  <si>
    <t>任务名称</t>
    <phoneticPr fontId="11" type="noConversion"/>
  </si>
  <si>
    <t>任务描述</t>
    <phoneticPr fontId="11" type="noConversion"/>
  </si>
  <si>
    <t>任务图标</t>
    <phoneticPr fontId="11" type="noConversion"/>
  </si>
  <si>
    <t>功能需求</t>
    <phoneticPr fontId="11" type="noConversion"/>
  </si>
  <si>
    <t>是否记录</t>
    <phoneticPr fontId="11" type="noConversion"/>
  </si>
  <si>
    <t>功能参数</t>
    <phoneticPr fontId="11" type="noConversion"/>
  </si>
  <si>
    <t>任务数量</t>
    <phoneticPr fontId="11" type="noConversion"/>
  </si>
  <si>
    <t>任务完成开始时间</t>
    <phoneticPr fontId="11" type="noConversion"/>
  </si>
  <si>
    <t>任务完成结束时间</t>
    <phoneticPr fontId="11" type="noConversion"/>
  </si>
  <si>
    <t>奖励物品列表</t>
    <phoneticPr fontId="11" type="noConversion"/>
  </si>
  <si>
    <t>数值奖励</t>
    <phoneticPr fontId="11" type="noConversion"/>
  </si>
  <si>
    <t>后续任务ID</t>
    <phoneticPr fontId="11" type="noConversion"/>
  </si>
  <si>
    <t>功能连接ID</t>
    <phoneticPr fontId="11" type="noConversion"/>
  </si>
  <si>
    <t>1-副本界面
2-抽奖界面
3-强化装备界面
4-远征界面
5-竞技场界面
6-技能强化界面
7-讨伐界面
8-天灾界面
9-点券换金币
10-精英副本
11-教程界面
12-强化宝物界面
13-精炼装备界面
14-精炼宝物界面
15-秘境挑战界面
16-闯关界面
17-百层塔界面
18-星宫
19-军团界面
20-英雄界面
21-商城界面
22-充值界面</t>
    <phoneticPr fontId="11" type="noConversion"/>
  </si>
  <si>
    <t>T21010029</t>
    <phoneticPr fontId="11" type="noConversion"/>
  </si>
  <si>
    <t>军团供奉</t>
    <phoneticPr fontId="11" type="noConversion"/>
  </si>
  <si>
    <t>使用初级供奉</t>
    <phoneticPr fontId="11" type="noConversion"/>
  </si>
  <si>
    <t>使用中级供奉</t>
    <phoneticPr fontId="11" type="noConversion"/>
  </si>
  <si>
    <t>使用高级供奉</t>
    <phoneticPr fontId="11" type="noConversion"/>
  </si>
  <si>
    <t>军团技能</t>
    <phoneticPr fontId="11" type="noConversion"/>
  </si>
  <si>
    <t>升级一次军团技能</t>
    <phoneticPr fontId="11" type="noConversion"/>
  </si>
  <si>
    <t>军团宝藏</t>
    <phoneticPr fontId="11" type="noConversion"/>
  </si>
  <si>
    <t>开启一次军团宝藏</t>
    <phoneticPr fontId="11" type="noConversion"/>
  </si>
  <si>
    <t>军团宝藏</t>
    <phoneticPr fontId="11" type="noConversion"/>
  </si>
  <si>
    <t>军团副本</t>
    <phoneticPr fontId="11" type="noConversion"/>
  </si>
  <si>
    <t>军团祈祷</t>
    <phoneticPr fontId="11" type="noConversion"/>
  </si>
  <si>
    <t>投入一次祈祷之心</t>
    <phoneticPr fontId="11" type="noConversion"/>
  </si>
  <si>
    <t>军团聊天</t>
    <phoneticPr fontId="11" type="noConversion"/>
  </si>
  <si>
    <t>在军团聊天中发言一次</t>
    <phoneticPr fontId="11" type="noConversion"/>
  </si>
  <si>
    <t>军团副本</t>
  </si>
  <si>
    <t>帮助其他军团成员开启宝藏</t>
    <phoneticPr fontId="11" type="noConversion"/>
  </si>
  <si>
    <t>发布一次求助信息</t>
    <phoneticPr fontId="11" type="noConversion"/>
  </si>
  <si>
    <t>发布新的祈祷</t>
    <phoneticPr fontId="11" type="noConversion"/>
  </si>
  <si>
    <t>int-Guildlevel</t>
    <phoneticPr fontId="39" type="noConversion"/>
  </si>
  <si>
    <t>军团等级</t>
    <phoneticPr fontId="11" type="noConversion"/>
  </si>
  <si>
    <t>0.无功能，按时间完成（每日赠送）
1.学习任意技能（参数：1.英雄技能  2魔王技能）
2.激活星宫点位（参数：1.节点ID）
3.装备强化（参数：0任意，其它指定等级）
4.法宝强化（参数：0任意，其它指定等级）
5.装备精炼（参数：0任意，其它指定等级）
6.法宝精炼（参数：0任意，其它指定等级）
7.通关任意副本 （参数：0任意，其它指定副本ID）
8.闯关副本
9.精英副本
10.远征挑战
11.远征至N波（参数：波数）
12.天灾
13.秘境
14.讨伐
15.竞技场挑战
16.购买次数（参数：1.体力 2.精力 3.金钱）
17.抽奖（参数：0.表示任意 1.青铜，2.黄金）
18.拥有某等级英雄的数量（参数：具体等级）
19.拥有某品质英雄的数量（参数：具体品质）
20.拥有某星级英雄的数量（参数：具体星级）
21.加入公会
22.月卡
23.教程任务(参数：具体英雄模板ID)
24.周卡
25.竞技场排名
26.总星数
27.军团供奉（参数：0任意，1初级，2中级，3高级）
28.军团技能（参数：0任意，其他指定等级）
29.军团宝藏（参数：0任意，1青铜，2白银，3黄金，4钻石）
30.军团副本（参数：0任意，其它指定副本ID）
31.祈祷投入
32.军团聊天
33.军团帮助
34.军团求助
35.发布祈祷</t>
    <phoneticPr fontId="11" type="noConversion"/>
  </si>
  <si>
    <t>军团宝藏</t>
    <phoneticPr fontId="11" type="noConversion"/>
  </si>
  <si>
    <t>数值奖励类型：
1-铜币（游戏币）
2-金币（充值获得）
3-竞技场币
4-精力
5-体力
6-远征币
7-帮派币
8-魔王经验
12-军团资金
格式 类型ID-数量|类型ID-数量|…
例如: 奖励游戏币100体力5点
1-1000|5-5</t>
    <phoneticPr fontId="11" type="noConversion"/>
  </si>
  <si>
    <t>1-1000|7-30|12-30000</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</si>
</sst>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0">
    <font>
      <sz val="11"/>
      <color indexed="8"/>
      <name val="宋体"/>
      <charset val="134"/>
    </font>
    <font>
      <sz val="11"/>
      <color theme="1"/>
      <name val="宋体"/>
      <family val="2"/>
      <charset val="134"/>
      <scheme val="minor"/>
    </font>
    <font>
      <sz val="11"/>
      <color theme="1"/>
      <name val="宋体"/>
      <family val="2"/>
      <charset val="134"/>
      <scheme val="minor"/>
    </font>
    <font>
      <sz val="9"/>
      <color indexed="60"/>
      <name val="宋体"/>
      <family val="3"/>
      <charset val="134"/>
    </font>
    <font>
      <sz val="9"/>
      <color indexed="8"/>
      <name val="宋体"/>
      <family val="3"/>
      <charset val="134"/>
    </font>
    <font>
      <sz val="9"/>
      <color indexed="40"/>
      <name val="宋体"/>
      <family val="3"/>
      <charset val="134"/>
    </font>
    <font>
      <sz val="9"/>
      <color indexed="17"/>
      <name val="宋体"/>
      <family val="3"/>
      <charset val="134"/>
    </font>
    <font>
      <b/>
      <sz val="9"/>
      <color indexed="9"/>
      <name val="宋体"/>
      <family val="3"/>
      <charset val="134"/>
    </font>
    <font>
      <b/>
      <sz val="9"/>
      <color indexed="62"/>
      <name val="宋体"/>
      <family val="3"/>
      <charset val="134"/>
    </font>
    <font>
      <b/>
      <sz val="9"/>
      <color indexed="56"/>
      <name val="宋体"/>
      <family val="3"/>
      <charset val="134"/>
    </font>
    <font>
      <sz val="11"/>
      <color indexed="8"/>
      <name val="宋体"/>
      <family val="3"/>
      <charset val="134"/>
    </font>
    <font>
      <sz val="9"/>
      <name val="宋体"/>
      <family val="3"/>
      <charset val="134"/>
    </font>
    <font>
      <sz val="11"/>
      <color indexed="8"/>
      <name val="宋体"/>
      <family val="3"/>
      <charset val="134"/>
    </font>
    <font>
      <sz val="11"/>
      <color theme="1"/>
      <name val="宋体"/>
      <family val="2"/>
      <scheme val="minor"/>
    </font>
    <font>
      <sz val="12"/>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17"/>
      <name val="宋体"/>
      <family val="3"/>
      <charset val="134"/>
    </font>
    <font>
      <sz val="11"/>
      <color indexed="20"/>
      <name val="宋体"/>
      <family val="3"/>
      <charset val="134"/>
    </font>
    <font>
      <sz val="11"/>
      <color indexed="60"/>
      <name val="宋体"/>
      <family val="3"/>
      <charset val="134"/>
    </font>
    <font>
      <sz val="11"/>
      <color indexed="62"/>
      <name val="宋体"/>
      <family val="3"/>
      <charset val="134"/>
    </font>
    <font>
      <b/>
      <sz val="11"/>
      <color indexed="63"/>
      <name val="宋体"/>
      <family val="3"/>
      <charset val="134"/>
    </font>
    <font>
      <b/>
      <sz val="11"/>
      <color indexed="52"/>
      <name val="宋体"/>
      <family val="3"/>
      <charset val="134"/>
    </font>
    <font>
      <sz val="11"/>
      <color indexed="52"/>
      <name val="宋体"/>
      <family val="3"/>
      <charset val="134"/>
    </font>
    <font>
      <b/>
      <sz val="11"/>
      <color indexed="9"/>
      <name val="宋体"/>
      <family val="3"/>
      <charset val="134"/>
    </font>
    <font>
      <sz val="11"/>
      <color indexed="10"/>
      <name val="宋体"/>
      <family val="3"/>
      <charset val="134"/>
    </font>
    <font>
      <i/>
      <sz val="11"/>
      <color indexed="23"/>
      <name val="宋体"/>
      <family val="3"/>
      <charset val="134"/>
    </font>
    <font>
      <b/>
      <sz val="11"/>
      <color indexed="8"/>
      <name val="宋体"/>
      <family val="3"/>
      <charset val="134"/>
    </font>
    <font>
      <sz val="11"/>
      <color indexed="9"/>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b/>
      <sz val="18"/>
      <color indexed="62"/>
      <name val="宋体"/>
      <family val="3"/>
      <charset val="134"/>
    </font>
    <font>
      <sz val="11"/>
      <color theme="1"/>
      <name val="宋体"/>
      <family val="3"/>
      <charset val="134"/>
      <scheme val="minor"/>
    </font>
    <font>
      <sz val="10"/>
      <name val="宋体"/>
      <family val="3"/>
      <charset val="134"/>
    </font>
    <font>
      <sz val="11"/>
      <name val="宋体"/>
      <family val="3"/>
      <charset val="134"/>
    </font>
    <font>
      <b/>
      <sz val="11"/>
      <color theme="2"/>
      <name val="宋体"/>
      <family val="3"/>
      <charset val="134"/>
      <scheme val="minor"/>
    </font>
    <font>
      <sz val="9"/>
      <name val="宋体"/>
      <family val="3"/>
      <charset val="134"/>
      <scheme val="minor"/>
    </font>
  </fonts>
  <fills count="53">
    <fill>
      <patternFill patternType="none"/>
    </fill>
    <fill>
      <patternFill patternType="gray125"/>
    </fill>
    <fill>
      <patternFill patternType="solid">
        <fgColor indexed="6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9"/>
      </patternFill>
    </fill>
    <fill>
      <patternFill patternType="solid">
        <fgColor indexed="26"/>
      </patternFill>
    </fill>
    <fill>
      <patternFill patternType="solid">
        <fgColor indexed="44"/>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9"/>
      </patternFill>
    </fill>
    <fill>
      <patternFill patternType="solid">
        <fgColor indexed="54"/>
      </patternFill>
    </fill>
    <fill>
      <patternFill patternType="solid">
        <fgColor rgb="FFFFFF00"/>
        <bgColor indexed="64"/>
      </patternFill>
    </fill>
    <fill>
      <patternFill patternType="solid">
        <fgColor indexed="43"/>
        <bgColor indexed="64"/>
      </patternFill>
    </fill>
    <fill>
      <patternFill patternType="solid">
        <fgColor indexed="46"/>
        <bgColor indexed="64"/>
      </patternFill>
    </fill>
    <fill>
      <patternFill patternType="solid">
        <fgColor indexed="29"/>
        <bgColor indexed="64"/>
      </patternFill>
    </fill>
    <fill>
      <patternFill patternType="solid">
        <fgColor indexed="11"/>
        <bgColor indexed="64"/>
      </patternFill>
    </fill>
    <fill>
      <patternFill patternType="solid">
        <fgColor indexed="44"/>
        <bgColor indexed="64"/>
      </patternFill>
    </fill>
    <fill>
      <patternFill patternType="solid">
        <fgColor indexed="30"/>
        <bgColor indexed="64"/>
      </patternFill>
    </fill>
    <fill>
      <patternFill patternType="solid">
        <fgColor indexed="51"/>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indexed="47"/>
        <bgColor indexed="64"/>
      </patternFill>
    </fill>
    <fill>
      <patternFill patternType="solid">
        <fgColor indexed="22"/>
        <bgColor indexed="64"/>
      </patternFill>
    </fill>
    <fill>
      <patternFill patternType="solid">
        <fgColor indexed="27"/>
        <bgColor indexed="64"/>
      </patternFill>
    </fill>
    <fill>
      <patternFill patternType="solid">
        <fgColor indexed="49"/>
        <bgColor indexed="64"/>
      </patternFill>
    </fill>
    <fill>
      <patternFill patternType="solid">
        <fgColor indexed="53"/>
        <bgColor indexed="64"/>
      </patternFill>
    </fill>
    <fill>
      <patternFill patternType="solid">
        <fgColor indexed="55"/>
        <bgColor indexed="64"/>
      </patternFill>
    </fill>
    <fill>
      <patternFill patternType="solid">
        <fgColor indexed="26"/>
        <bgColor indexed="64"/>
      </patternFill>
    </fill>
    <fill>
      <patternFill patternType="solid">
        <fgColor indexed="36"/>
        <bgColor indexed="64"/>
      </patternFill>
    </fill>
    <fill>
      <patternFill patternType="solid">
        <fgColor indexed="31"/>
        <bgColor indexed="64"/>
      </patternFill>
    </fill>
    <fill>
      <patternFill patternType="solid">
        <fgColor indexed="57"/>
        <bgColor indexed="64"/>
      </patternFill>
    </fill>
    <fill>
      <patternFill patternType="solid">
        <fgColor indexed="54"/>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theme="1"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indexed="64"/>
      </left>
      <right style="thin">
        <color indexed="64"/>
      </right>
      <top/>
      <bottom style="thin">
        <color indexed="64"/>
      </bottom>
      <diagonal/>
    </border>
  </borders>
  <cellStyleXfs count="3924">
    <xf numFmtId="0" fontId="0" fillId="0" borderId="0">
      <alignment vertical="center"/>
    </xf>
    <xf numFmtId="0" fontId="10" fillId="0" borderId="0">
      <alignment vertical="center"/>
    </xf>
    <xf numFmtId="0" fontId="13" fillId="0" borderId="0"/>
    <xf numFmtId="0" fontId="12" fillId="0" borderId="0">
      <alignment vertical="center"/>
    </xf>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5" fillId="0" borderId="0"/>
    <xf numFmtId="0" fontId="35" fillId="0" borderId="0"/>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3" fillId="0" borderId="0"/>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13" fillId="0" borderId="0"/>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0" borderId="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0"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14"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0" borderId="0">
      <alignment vertical="center"/>
    </xf>
    <xf numFmtId="0" fontId="13" fillId="0" borderId="0"/>
    <xf numFmtId="0" fontId="10" fillId="0" borderId="0">
      <alignment vertical="center"/>
    </xf>
    <xf numFmtId="0" fontId="1" fillId="0" borderId="0">
      <alignment vertical="center"/>
    </xf>
    <xf numFmtId="0" fontId="13" fillId="0" borderId="0"/>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35" fillId="0" borderId="0"/>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 fillId="0" borderId="0">
      <alignment vertical="center"/>
    </xf>
    <xf numFmtId="0" fontId="35" fillId="0" borderId="0"/>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14" fillId="0" borderId="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13" fillId="0" borderId="0"/>
    <xf numFmtId="0" fontId="35" fillId="0" borderId="0"/>
    <xf numFmtId="0" fontId="10" fillId="35" borderId="0" applyNumberFormat="0" applyBorder="0" applyAlignment="0" applyProtection="0">
      <alignment vertical="center"/>
    </xf>
    <xf numFmtId="0" fontId="10" fillId="34" borderId="0" applyNumberFormat="0" applyBorder="0" applyAlignment="0" applyProtection="0">
      <alignment vertical="center"/>
    </xf>
    <xf numFmtId="0" fontId="26" fillId="43" borderId="3" applyNumberFormat="0" applyAlignment="0" applyProtection="0">
      <alignment vertical="center"/>
    </xf>
    <xf numFmtId="0" fontId="20" fillId="37" borderId="0" applyNumberFormat="0" applyBorder="0" applyAlignment="0" applyProtection="0">
      <alignment vertical="center"/>
    </xf>
    <xf numFmtId="0" fontId="35" fillId="0" borderId="0"/>
    <xf numFmtId="0" fontId="30" fillId="41" borderId="0" applyNumberFormat="0" applyBorder="0" applyAlignment="0" applyProtection="0">
      <alignment vertical="center"/>
    </xf>
    <xf numFmtId="0" fontId="30" fillId="33" borderId="0" applyNumberFormat="0" applyBorder="0" applyAlignment="0" applyProtection="0">
      <alignment vertical="center"/>
    </xf>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4" fillId="0" borderId="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1"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3" fillId="0" borderId="0"/>
    <xf numFmtId="0" fontId="35" fillId="0" borderId="0"/>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35" fillId="0" borderId="0"/>
    <xf numFmtId="0" fontId="10" fillId="38" borderId="0" applyNumberFormat="0" applyBorder="0" applyAlignment="0" applyProtection="0">
      <alignment vertical="center"/>
    </xf>
    <xf numFmtId="0" fontId="10" fillId="29" borderId="0" applyNumberFormat="0" applyBorder="0" applyAlignment="0" applyProtection="0">
      <alignment vertical="center"/>
    </xf>
    <xf numFmtId="0" fontId="24" fillId="36" borderId="2" applyNumberFormat="0" applyAlignment="0" applyProtection="0">
      <alignment vertical="center"/>
    </xf>
    <xf numFmtId="0" fontId="22" fillId="38" borderId="2" applyNumberFormat="0" applyAlignment="0" applyProtection="0">
      <alignment vertical="center"/>
    </xf>
    <xf numFmtId="0" fontId="10" fillId="39" borderId="0" applyNumberFormat="0" applyBorder="0" applyAlignment="0" applyProtection="0">
      <alignment vertical="center"/>
    </xf>
    <xf numFmtId="0" fontId="10" fillId="37" borderId="0" applyNumberFormat="0" applyBorder="0" applyAlignment="0" applyProtection="0">
      <alignment vertical="center"/>
    </xf>
    <xf numFmtId="0" fontId="23" fillId="36" borderId="9" applyNumberFormat="0" applyAlignment="0" applyProtection="0">
      <alignment vertical="center"/>
    </xf>
    <xf numFmtId="0" fontId="10" fillId="35" borderId="0" applyNumberFormat="0" applyBorder="0" applyAlignment="0" applyProtection="0">
      <alignment vertical="center"/>
    </xf>
    <xf numFmtId="0" fontId="10" fillId="40" borderId="0" applyNumberFormat="0" applyBorder="0" applyAlignment="0" applyProtection="0">
      <alignment vertical="center"/>
    </xf>
    <xf numFmtId="0" fontId="10" fillId="38" borderId="0" applyNumberFormat="0" applyBorder="0" applyAlignment="0" applyProtection="0">
      <alignment vertical="center"/>
    </xf>
    <xf numFmtId="0" fontId="21" fillId="28" borderId="0" applyNumberFormat="0" applyBorder="0" applyAlignment="0" applyProtection="0">
      <alignment vertical="center"/>
    </xf>
    <xf numFmtId="0" fontId="10" fillId="46" borderId="0" applyNumberFormat="0" applyBorder="0" applyAlignment="0" applyProtection="0">
      <alignment vertical="center"/>
    </xf>
    <xf numFmtId="0" fontId="10" fillId="30" borderId="0" applyNumberFormat="0" applyBorder="0" applyAlignment="0" applyProtection="0">
      <alignment vertical="center"/>
    </xf>
    <xf numFmtId="0" fontId="10" fillId="44" borderId="0" applyNumberFormat="0" applyBorder="0" applyAlignment="0" applyProtection="0">
      <alignment vertical="center"/>
    </xf>
    <xf numFmtId="0" fontId="10" fillId="31" borderId="0" applyNumberFormat="0" applyBorder="0" applyAlignment="0" applyProtection="0">
      <alignment vertical="center"/>
    </xf>
    <xf numFmtId="0" fontId="10" fillId="38" borderId="0" applyNumberFormat="0" applyBorder="0" applyAlignment="0" applyProtection="0">
      <alignment vertical="center"/>
    </xf>
    <xf numFmtId="0" fontId="10" fillId="40" borderId="0" applyNumberFormat="0" applyBorder="0" applyAlignment="0" applyProtection="0">
      <alignment vertical="center"/>
    </xf>
    <xf numFmtId="0" fontId="10" fillId="44" borderId="0" applyNumberFormat="0" applyBorder="0" applyAlignment="0" applyProtection="0">
      <alignment vertical="center"/>
    </xf>
    <xf numFmtId="0" fontId="10" fillId="32" borderId="0" applyNumberFormat="0" applyBorder="0" applyAlignment="0" applyProtection="0">
      <alignment vertical="center"/>
    </xf>
    <xf numFmtId="0" fontId="10" fillId="30"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0" fillId="34" borderId="0" applyNumberFormat="0" applyBorder="0" applyAlignment="0" applyProtection="0">
      <alignment vertical="center"/>
    </xf>
    <xf numFmtId="0" fontId="10" fillId="39"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28" borderId="0" applyNumberFormat="0" applyBorder="0" applyAlignment="0" applyProtection="0">
      <alignment vertical="center"/>
    </xf>
    <xf numFmtId="0" fontId="30" fillId="33"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1" borderId="0" applyNumberFormat="0" applyBorder="0" applyAlignment="0" applyProtection="0">
      <alignment vertical="center"/>
    </xf>
    <xf numFmtId="0" fontId="30" fillId="4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28" borderId="0" applyNumberFormat="0" applyBorder="0" applyAlignment="0" applyProtection="0">
      <alignment vertical="center"/>
    </xf>
    <xf numFmtId="0" fontId="21" fillId="28" borderId="0" applyNumberFormat="0" applyBorder="0" applyAlignment="0" applyProtection="0">
      <alignment vertical="center"/>
    </xf>
    <xf numFmtId="0" fontId="30" fillId="39" borderId="0" applyNumberFormat="0" applyBorder="0" applyAlignment="0" applyProtection="0">
      <alignment vertical="center"/>
    </xf>
    <xf numFmtId="0" fontId="30" fillId="41" borderId="0" applyNumberFormat="0" applyBorder="0" applyAlignment="0" applyProtection="0">
      <alignment vertical="center"/>
    </xf>
    <xf numFmtId="0" fontId="30" fillId="30"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5"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0" fillId="37" borderId="0" applyNumberFormat="0" applyBorder="0" applyAlignment="0" applyProtection="0">
      <alignment vertical="center"/>
    </xf>
    <xf numFmtId="0" fontId="24" fillId="39" borderId="2" applyNumberFormat="0" applyAlignment="0" applyProtection="0">
      <alignment vertical="center"/>
    </xf>
    <xf numFmtId="0" fontId="26" fillId="43" borderId="3" applyNumberFormat="0" applyAlignment="0" applyProtection="0">
      <alignment vertical="center"/>
    </xf>
    <xf numFmtId="0" fontId="30" fillId="41" borderId="0" applyNumberFormat="0" applyBorder="0" applyAlignment="0" applyProtection="0">
      <alignment vertical="center"/>
    </xf>
    <xf numFmtId="0" fontId="19" fillId="35" borderId="0" applyNumberFormat="0" applyBorder="0" applyAlignment="0" applyProtection="0">
      <alignment vertical="center"/>
    </xf>
    <xf numFmtId="0" fontId="26" fillId="43" borderId="3" applyNumberFormat="0" applyAlignment="0" applyProtection="0">
      <alignment vertical="center"/>
    </xf>
    <xf numFmtId="0" fontId="10" fillId="44" borderId="8" applyNumberFormat="0" applyFont="0" applyAlignment="0" applyProtection="0">
      <alignment vertical="center"/>
    </xf>
    <xf numFmtId="0" fontId="23" fillId="39" borderId="9" applyNumberFormat="0" applyAlignment="0" applyProtection="0">
      <alignment vertical="center"/>
    </xf>
    <xf numFmtId="0" fontId="20" fillId="37" borderId="0" applyNumberFormat="0" applyBorder="0" applyAlignment="0" applyProtection="0">
      <alignment vertical="center"/>
    </xf>
    <xf numFmtId="0" fontId="19" fillId="35" borderId="0" applyNumberFormat="0" applyBorder="0" applyAlignment="0" applyProtection="0">
      <alignment vertical="center"/>
    </xf>
    <xf numFmtId="0" fontId="30" fillId="51" borderId="0" applyNumberFormat="0" applyBorder="0" applyAlignment="0" applyProtection="0">
      <alignment vertical="center"/>
    </xf>
    <xf numFmtId="0" fontId="30" fillId="47"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22" fillId="28" borderId="2" applyNumberFormat="0" applyAlignment="0" applyProtection="0">
      <alignment vertical="center"/>
    </xf>
    <xf numFmtId="0" fontId="14" fillId="44" borderId="8"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35" fillId="0" borderId="0"/>
    <xf numFmtId="0" fontId="14" fillId="0" borderId="0">
      <alignment vertical="center"/>
    </xf>
    <xf numFmtId="0" fontId="35" fillId="0" borderId="0">
      <alignment vertical="center"/>
    </xf>
    <xf numFmtId="0" fontId="13" fillId="0" borderId="0"/>
    <xf numFmtId="0" fontId="1" fillId="0" borderId="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5" fillId="0" borderId="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4" fillId="14" borderId="2" applyNumberFormat="0" applyAlignment="0" applyProtection="0">
      <alignment vertical="center"/>
    </xf>
    <xf numFmtId="0" fontId="24" fillId="14"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2" fillId="8" borderId="2" applyNumberFormat="0" applyAlignment="0" applyProtection="0">
      <alignment vertical="center"/>
    </xf>
    <xf numFmtId="0" fontId="22" fillId="8" borderId="2" applyNumberFormat="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10" fillId="10" borderId="8" applyNumberFormat="0" applyFont="0" applyAlignment="0" applyProtection="0">
      <alignment vertical="center"/>
    </xf>
    <xf numFmtId="0" fontId="10" fillId="10" borderId="8" applyNumberFormat="0" applyFont="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35" fillId="0" borderId="0"/>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4" fillId="0" borderId="0">
      <alignment vertical="center"/>
    </xf>
    <xf numFmtId="0" fontId="13" fillId="0" borderId="0"/>
    <xf numFmtId="0" fontId="1" fillId="0" borderId="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0" fillId="4" borderId="0" applyNumberFormat="0" applyBorder="0" applyAlignment="0" applyProtection="0">
      <alignment vertical="center"/>
    </xf>
    <xf numFmtId="0" fontId="26" fillId="24" borderId="3" applyNumberFormat="0" applyAlignment="0" applyProtection="0">
      <alignment vertical="center"/>
    </xf>
    <xf numFmtId="0" fontId="19" fillId="5" borderId="0" applyNumberFormat="0" applyBorder="0" applyAlignment="0" applyProtection="0">
      <alignment vertical="center"/>
    </xf>
    <xf numFmtId="0" fontId="21" fillId="15" borderId="0" applyNumberFormat="0" applyBorder="0" applyAlignment="0" applyProtection="0">
      <alignment vertical="center"/>
    </xf>
    <xf numFmtId="0" fontId="20" fillId="4" borderId="0" applyNumberFormat="0" applyBorder="0" applyAlignment="0" applyProtection="0">
      <alignment vertical="center"/>
    </xf>
    <xf numFmtId="0" fontId="19" fillId="5" borderId="0" applyNumberFormat="0" applyBorder="0" applyAlignment="0" applyProtection="0">
      <alignment vertical="center"/>
    </xf>
    <xf numFmtId="0" fontId="26" fillId="24" borderId="3" applyNumberFormat="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1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0" borderId="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4" fillId="0" borderId="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4" fillId="10" borderId="8" applyNumberFormat="0" applyFont="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15" borderId="0" applyNumberFormat="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5" applyNumberFormat="0" applyFill="0" applyAlignment="0" applyProtection="0">
      <alignment vertical="center"/>
    </xf>
    <xf numFmtId="0" fontId="32" fillId="0" borderId="5"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4" borderId="0" applyNumberFormat="0" applyBorder="0" applyAlignment="0" applyProtection="0">
      <alignment vertical="center"/>
    </xf>
    <xf numFmtId="0" fontId="14" fillId="0" borderId="0">
      <alignment vertical="center"/>
    </xf>
    <xf numFmtId="0" fontId="19" fillId="5" borderId="0" applyNumberFormat="0" applyBorder="0" applyAlignment="0" applyProtection="0">
      <alignment vertical="center"/>
    </xf>
    <xf numFmtId="0" fontId="29" fillId="0" borderId="13" applyNumberFormat="0" applyFill="0" applyAlignment="0" applyProtection="0">
      <alignment vertical="center"/>
    </xf>
    <xf numFmtId="0" fontId="24" fillId="25" borderId="2" applyNumberFormat="0" applyAlignment="0" applyProtection="0">
      <alignment vertical="center"/>
    </xf>
    <xf numFmtId="0" fontId="26" fillId="24" borderId="3"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7" applyNumberFormat="0" applyFill="0" applyAlignment="0" applyProtection="0">
      <alignment vertical="center"/>
    </xf>
    <xf numFmtId="0" fontId="25" fillId="0" borderId="7" applyNumberFormat="0" applyFill="0" applyAlignment="0" applyProtection="0">
      <alignment vertical="center"/>
    </xf>
    <xf numFmtId="0" fontId="30" fillId="18"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18" borderId="0" applyNumberFormat="0" applyBorder="0" applyAlignment="0" applyProtection="0">
      <alignment vertical="center"/>
    </xf>
    <xf numFmtId="0" fontId="30" fillId="23" borderId="0" applyNumberFormat="0" applyBorder="0" applyAlignment="0" applyProtection="0">
      <alignment vertical="center"/>
    </xf>
    <xf numFmtId="0" fontId="21" fillId="15" borderId="0" applyNumberFormat="0" applyBorder="0" applyAlignment="0" applyProtection="0">
      <alignment vertical="center"/>
    </xf>
    <xf numFmtId="0" fontId="23" fillId="25" borderId="9" applyNumberFormat="0" applyAlignment="0" applyProtection="0">
      <alignment vertical="center"/>
    </xf>
    <xf numFmtId="0" fontId="22" fillId="15" borderId="2" applyNumberFormat="0" applyAlignment="0" applyProtection="0">
      <alignment vertical="center"/>
    </xf>
    <xf numFmtId="0" fontId="14" fillId="10" borderId="8" applyNumberFormat="0" applyFont="0" applyAlignment="0" applyProtection="0">
      <alignment vertical="center"/>
    </xf>
    <xf numFmtId="0" fontId="23" fillId="36" borderId="9" applyNumberFormat="0" applyAlignment="0" applyProtection="0">
      <alignment vertical="center"/>
    </xf>
    <xf numFmtId="0" fontId="30" fillId="21" borderId="0" applyNumberFormat="0" applyBorder="0" applyAlignment="0" applyProtection="0">
      <alignment vertical="center"/>
    </xf>
    <xf numFmtId="0" fontId="10" fillId="32" borderId="0" applyNumberFormat="0" applyBorder="0" applyAlignment="0" applyProtection="0">
      <alignment vertical="center"/>
    </xf>
    <xf numFmtId="0" fontId="30" fillId="15" borderId="0" applyNumberFormat="0" applyBorder="0" applyAlignment="0" applyProtection="0">
      <alignment vertical="center"/>
    </xf>
    <xf numFmtId="0" fontId="10" fillId="8" borderId="0" applyNumberFormat="0" applyBorder="0" applyAlignment="0" applyProtection="0">
      <alignment vertical="center"/>
    </xf>
    <xf numFmtId="0" fontId="24" fillId="36" borderId="2" applyNumberFormat="0" applyAlignment="0" applyProtection="0">
      <alignment vertical="center"/>
    </xf>
    <xf numFmtId="0" fontId="26" fillId="24" borderId="3" applyNumberFormat="0" applyAlignment="0" applyProtection="0">
      <alignment vertical="center"/>
    </xf>
    <xf numFmtId="0" fontId="10" fillId="7" borderId="0" applyNumberFormat="0" applyBorder="0" applyAlignment="0" applyProtection="0">
      <alignment vertical="center"/>
    </xf>
    <xf numFmtId="0" fontId="24" fillId="25" borderId="2" applyNumberFormat="0" applyAlignment="0" applyProtection="0">
      <alignment vertical="center"/>
    </xf>
    <xf numFmtId="0" fontId="10" fillId="9" borderId="0" applyNumberFormat="0" applyBorder="0" applyAlignment="0" applyProtection="0">
      <alignment vertical="center"/>
    </xf>
    <xf numFmtId="0" fontId="20" fillId="37" borderId="0" applyNumberFormat="0" applyBorder="0" applyAlignment="0" applyProtection="0">
      <alignment vertical="center"/>
    </xf>
    <xf numFmtId="0" fontId="10" fillId="10" borderId="0" applyNumberFormat="0" applyBorder="0" applyAlignment="0" applyProtection="0">
      <alignment vertical="center"/>
    </xf>
    <xf numFmtId="0" fontId="28" fillId="0" borderId="0" applyNumberFormat="0" applyFill="0" applyBorder="0" applyAlignment="0" applyProtection="0">
      <alignment vertical="center"/>
    </xf>
    <xf numFmtId="0" fontId="10" fillId="9" borderId="0" applyNumberFormat="0" applyBorder="0" applyAlignment="0" applyProtection="0">
      <alignment vertical="center"/>
    </xf>
    <xf numFmtId="0" fontId="30" fillId="51" borderId="0" applyNumberFormat="0" applyBorder="0" applyAlignment="0" applyProtection="0">
      <alignment vertical="center"/>
    </xf>
    <xf numFmtId="0" fontId="10" fillId="38" borderId="0" applyNumberFormat="0" applyBorder="0" applyAlignment="0" applyProtection="0">
      <alignment vertical="center"/>
    </xf>
    <xf numFmtId="0" fontId="33" fillId="0" borderId="0" applyNumberFormat="0" applyFill="0" applyBorder="0" applyAlignment="0" applyProtection="0">
      <alignment vertical="center"/>
    </xf>
    <xf numFmtId="0" fontId="30" fillId="28" borderId="0" applyNumberFormat="0" applyBorder="0" applyAlignment="0" applyProtection="0">
      <alignment vertical="center"/>
    </xf>
    <xf numFmtId="0" fontId="30" fillId="42" borderId="0" applyNumberFormat="0" applyBorder="0" applyAlignment="0" applyProtection="0">
      <alignment vertical="center"/>
    </xf>
    <xf numFmtId="0" fontId="30" fillId="49" borderId="0" applyNumberFormat="0" applyBorder="0" applyAlignment="0" applyProtection="0">
      <alignment vertical="center"/>
    </xf>
    <xf numFmtId="0" fontId="10" fillId="38" borderId="0" applyNumberFormat="0" applyBorder="0" applyAlignment="0" applyProtection="0">
      <alignment vertical="center"/>
    </xf>
    <xf numFmtId="0" fontId="30" fillId="18" borderId="0" applyNumberFormat="0" applyBorder="0" applyAlignment="0" applyProtection="0">
      <alignment vertical="center"/>
    </xf>
    <xf numFmtId="0" fontId="14" fillId="0" borderId="0">
      <alignment vertical="center"/>
    </xf>
    <xf numFmtId="0" fontId="10" fillId="14" borderId="0" applyNumberFormat="0" applyBorder="0" applyAlignment="0" applyProtection="0">
      <alignment vertical="center"/>
    </xf>
    <xf numFmtId="0" fontId="30" fillId="41" borderId="0" applyNumberFormat="0" applyBorder="0" applyAlignment="0" applyProtection="0">
      <alignment vertical="center"/>
    </xf>
    <xf numFmtId="0" fontId="10" fillId="14" borderId="0" applyNumberFormat="0" applyBorder="0" applyAlignment="0" applyProtection="0">
      <alignment vertical="center"/>
    </xf>
    <xf numFmtId="0" fontId="23" fillId="25" borderId="9" applyNumberFormat="0" applyAlignment="0" applyProtection="0">
      <alignment vertical="center"/>
    </xf>
    <xf numFmtId="0" fontId="10" fillId="15" borderId="0" applyNumberFormat="0" applyBorder="0" applyAlignment="0" applyProtection="0">
      <alignment vertical="center"/>
    </xf>
    <xf numFmtId="0" fontId="10" fillId="32" borderId="0" applyNumberFormat="0" applyBorder="0" applyAlignment="0" applyProtection="0">
      <alignment vertical="center"/>
    </xf>
    <xf numFmtId="0" fontId="23" fillId="39" borderId="9" applyNumberFormat="0" applyAlignment="0" applyProtection="0">
      <alignment vertical="center"/>
    </xf>
    <xf numFmtId="0" fontId="30" fillId="30" borderId="0" applyNumberFormat="0" applyBorder="0" applyAlignment="0" applyProtection="0">
      <alignment vertical="center"/>
    </xf>
    <xf numFmtId="0" fontId="19" fillId="5" borderId="0" applyNumberFormat="0" applyBorder="0" applyAlignment="0" applyProtection="0">
      <alignment vertical="center"/>
    </xf>
    <xf numFmtId="0" fontId="30" fillId="18" borderId="0" applyNumberFormat="0" applyBorder="0" applyAlignment="0" applyProtection="0">
      <alignment vertical="center"/>
    </xf>
    <xf numFmtId="0" fontId="30" fillId="30" borderId="0" applyNumberFormat="0" applyBorder="0" applyAlignment="0" applyProtection="0">
      <alignment vertical="center"/>
    </xf>
    <xf numFmtId="0" fontId="30" fillId="18" borderId="0" applyNumberFormat="0" applyBorder="0" applyAlignment="0" applyProtection="0">
      <alignment vertical="center"/>
    </xf>
    <xf numFmtId="0" fontId="10" fillId="32" borderId="0" applyNumberFormat="0" applyBorder="0" applyAlignment="0" applyProtection="0">
      <alignment vertical="center"/>
    </xf>
    <xf numFmtId="0" fontId="10" fillId="8" borderId="0" applyNumberFormat="0" applyBorder="0" applyAlignment="0" applyProtection="0">
      <alignment vertical="center"/>
    </xf>
    <xf numFmtId="0" fontId="20" fillId="4" borderId="0" applyNumberFormat="0" applyBorder="0" applyAlignment="0" applyProtection="0">
      <alignment vertical="center"/>
    </xf>
    <xf numFmtId="0" fontId="25" fillId="0" borderId="7" applyNumberFormat="0" applyFill="0" applyAlignment="0" applyProtection="0">
      <alignment vertical="center"/>
    </xf>
    <xf numFmtId="0" fontId="10" fillId="39" borderId="0" applyNumberFormat="0" applyBorder="0" applyAlignment="0" applyProtection="0">
      <alignment vertical="center"/>
    </xf>
    <xf numFmtId="0" fontId="23" fillId="25" borderId="9" applyNumberFormat="0" applyAlignment="0" applyProtection="0">
      <alignment vertical="center"/>
    </xf>
    <xf numFmtId="0" fontId="10" fillId="40" borderId="0" applyNumberFormat="0" applyBorder="0" applyAlignment="0" applyProtection="0">
      <alignment vertical="center"/>
    </xf>
    <xf numFmtId="0" fontId="19" fillId="5" borderId="0" applyNumberFormat="0" applyBorder="0" applyAlignment="0" applyProtection="0">
      <alignment vertical="center"/>
    </xf>
    <xf numFmtId="0" fontId="30" fillId="9" borderId="0" applyNumberFormat="0" applyBorder="0" applyAlignment="0" applyProtection="0">
      <alignment vertical="center"/>
    </xf>
    <xf numFmtId="0" fontId="14" fillId="10" borderId="8" applyNumberFormat="0" applyFont="0" applyAlignment="0" applyProtection="0">
      <alignment vertical="center"/>
    </xf>
    <xf numFmtId="0" fontId="30" fillId="22" borderId="0" applyNumberFormat="0" applyBorder="0" applyAlignment="0" applyProtection="0">
      <alignment vertical="center"/>
    </xf>
    <xf numFmtId="0" fontId="30" fillId="15" borderId="0" applyNumberFormat="0" applyBorder="0" applyAlignment="0" applyProtection="0">
      <alignment vertical="center"/>
    </xf>
    <xf numFmtId="0" fontId="10" fillId="7" borderId="0" applyNumberFormat="0" applyBorder="0" applyAlignment="0" applyProtection="0">
      <alignment vertical="center"/>
    </xf>
    <xf numFmtId="0" fontId="22" fillId="15" borderId="2" applyNumberFormat="0" applyAlignment="0" applyProtection="0">
      <alignment vertical="center"/>
    </xf>
    <xf numFmtId="0" fontId="26" fillId="24" borderId="3" applyNumberFormat="0" applyAlignment="0" applyProtection="0">
      <alignment vertical="center"/>
    </xf>
    <xf numFmtId="0" fontId="20" fillId="4" borderId="0" applyNumberFormat="0" applyBorder="0" applyAlignment="0" applyProtection="0">
      <alignment vertical="center"/>
    </xf>
    <xf numFmtId="0" fontId="22" fillId="28" borderId="2" applyNumberFormat="0" applyAlignment="0" applyProtection="0">
      <alignment vertical="center"/>
    </xf>
    <xf numFmtId="0" fontId="10" fillId="44" borderId="0" applyNumberFormat="0" applyBorder="0" applyAlignment="0" applyProtection="0">
      <alignment vertical="center"/>
    </xf>
    <xf numFmtId="0" fontId="30" fillId="21" borderId="0" applyNumberFormat="0" applyBorder="0" applyAlignment="0" applyProtection="0">
      <alignment vertical="center"/>
    </xf>
    <xf numFmtId="0" fontId="10" fillId="30" borderId="0" applyNumberFormat="0" applyBorder="0" applyAlignment="0" applyProtection="0">
      <alignment vertical="center"/>
    </xf>
    <xf numFmtId="0" fontId="10" fillId="8" borderId="0" applyNumberFormat="0" applyBorder="0" applyAlignment="0" applyProtection="0">
      <alignment vertical="center"/>
    </xf>
    <xf numFmtId="0" fontId="10" fillId="28" borderId="0" applyNumberFormat="0" applyBorder="0" applyAlignment="0" applyProtection="0">
      <alignment vertical="center"/>
    </xf>
    <xf numFmtId="0" fontId="21" fillId="15" borderId="0" applyNumberFormat="0" applyBorder="0" applyAlignment="0" applyProtection="0">
      <alignment vertical="center"/>
    </xf>
    <xf numFmtId="0" fontId="34" fillId="0" borderId="0" applyNumberFormat="0" applyFill="0" applyBorder="0" applyAlignment="0" applyProtection="0">
      <alignment vertical="center"/>
    </xf>
    <xf numFmtId="0" fontId="10" fillId="44" borderId="0" applyNumberFormat="0" applyBorder="0" applyAlignment="0" applyProtection="0">
      <alignment vertical="center"/>
    </xf>
    <xf numFmtId="0" fontId="19" fillId="35" borderId="0" applyNumberFormat="0" applyBorder="0" applyAlignment="0" applyProtection="0">
      <alignment vertical="center"/>
    </xf>
    <xf numFmtId="0" fontId="30" fillId="48" borderId="0" applyNumberFormat="0" applyBorder="0" applyAlignment="0" applyProtection="0">
      <alignment vertical="center"/>
    </xf>
    <xf numFmtId="0" fontId="21" fillId="28" borderId="0" applyNumberFormat="0" applyBorder="0" applyAlignment="0" applyProtection="0">
      <alignment vertical="center"/>
    </xf>
    <xf numFmtId="0" fontId="30" fillId="45" borderId="0" applyNumberFormat="0" applyBorder="0" applyAlignment="0" applyProtection="0">
      <alignment vertical="center"/>
    </xf>
    <xf numFmtId="0" fontId="30" fillId="26" borderId="0" applyNumberFormat="0" applyBorder="0" applyAlignment="0" applyProtection="0">
      <alignment vertical="center"/>
    </xf>
    <xf numFmtId="0" fontId="10" fillId="10" borderId="0" applyNumberFormat="0" applyBorder="0" applyAlignment="0" applyProtection="0">
      <alignment vertical="center"/>
    </xf>
    <xf numFmtId="0" fontId="30" fillId="39" borderId="0" applyNumberFormat="0" applyBorder="0" applyAlignment="0" applyProtection="0">
      <alignment vertical="center"/>
    </xf>
    <xf numFmtId="0" fontId="30" fillId="18" borderId="0" applyNumberFormat="0" applyBorder="0" applyAlignment="0" applyProtection="0">
      <alignment vertical="center"/>
    </xf>
    <xf numFmtId="0" fontId="30" fillId="45" borderId="0" applyNumberFormat="0" applyBorder="0" applyAlignment="0" applyProtection="0">
      <alignment vertical="center"/>
    </xf>
    <xf numFmtId="0" fontId="10" fillId="46" borderId="0" applyNumberFormat="0" applyBorder="0" applyAlignment="0" applyProtection="0">
      <alignment vertical="center"/>
    </xf>
    <xf numFmtId="0" fontId="30" fillId="14" borderId="0" applyNumberFormat="0" applyBorder="0" applyAlignment="0" applyProtection="0">
      <alignment vertical="center"/>
    </xf>
    <xf numFmtId="0" fontId="22" fillId="15" borderId="2" applyNumberFormat="0" applyAlignment="0" applyProtection="0">
      <alignment vertical="center"/>
    </xf>
    <xf numFmtId="0" fontId="32" fillId="0" borderId="5" applyNumberFormat="0" applyFill="0" applyAlignment="0" applyProtection="0">
      <alignment vertical="center"/>
    </xf>
    <xf numFmtId="0" fontId="10" fillId="14" borderId="0" applyNumberFormat="0" applyBorder="0" applyAlignment="0" applyProtection="0">
      <alignment vertical="center"/>
    </xf>
    <xf numFmtId="0" fontId="10" fillId="10" borderId="0" applyNumberFormat="0" applyBorder="0" applyAlignment="0" applyProtection="0">
      <alignment vertical="center"/>
    </xf>
    <xf numFmtId="0" fontId="10" fillId="30" borderId="0" applyNumberFormat="0" applyBorder="0" applyAlignment="0" applyProtection="0">
      <alignment vertical="center"/>
    </xf>
    <xf numFmtId="0" fontId="10" fillId="15" borderId="0" applyNumberFormat="0" applyBorder="0" applyAlignment="0" applyProtection="0">
      <alignment vertical="center"/>
    </xf>
    <xf numFmtId="0" fontId="21" fillId="15" borderId="0" applyNumberFormat="0" applyBorder="0" applyAlignment="0" applyProtection="0">
      <alignment vertical="center"/>
    </xf>
    <xf numFmtId="0" fontId="30" fillId="23" borderId="0" applyNumberFormat="0" applyBorder="0" applyAlignment="0" applyProtection="0">
      <alignment vertical="center"/>
    </xf>
    <xf numFmtId="0" fontId="24" fillId="25" borderId="2" applyNumberFormat="0" applyAlignment="0" applyProtection="0">
      <alignment vertical="center"/>
    </xf>
    <xf numFmtId="0" fontId="10" fillId="15" borderId="0" applyNumberFormat="0" applyBorder="0" applyAlignment="0" applyProtection="0">
      <alignment vertical="center"/>
    </xf>
    <xf numFmtId="0" fontId="30" fillId="47" borderId="0" applyNumberFormat="0" applyBorder="0" applyAlignment="0" applyProtection="0">
      <alignment vertical="center"/>
    </xf>
    <xf numFmtId="0" fontId="10" fillId="29" borderId="0" applyNumberFormat="0" applyBorder="0" applyAlignment="0" applyProtection="0">
      <alignment vertical="center"/>
    </xf>
    <xf numFmtId="0" fontId="30" fillId="22" borderId="0" applyNumberFormat="0" applyBorder="0" applyAlignment="0" applyProtection="0">
      <alignment vertical="center"/>
    </xf>
    <xf numFmtId="0" fontId="29" fillId="0" borderId="13" applyNumberFormat="0" applyFill="0" applyAlignment="0" applyProtection="0">
      <alignment vertical="center"/>
    </xf>
    <xf numFmtId="0" fontId="30" fillId="41" borderId="0" applyNumberFormat="0" applyBorder="0" applyAlignment="0" applyProtection="0">
      <alignment vertical="center"/>
    </xf>
    <xf numFmtId="0" fontId="10" fillId="8" borderId="0" applyNumberFormat="0" applyBorder="0" applyAlignment="0" applyProtection="0">
      <alignment vertical="center"/>
    </xf>
    <xf numFmtId="0" fontId="30" fillId="51" borderId="0" applyNumberFormat="0" applyBorder="0" applyAlignment="0" applyProtection="0">
      <alignment vertical="center"/>
    </xf>
    <xf numFmtId="0" fontId="14" fillId="10" borderId="8" applyNumberFormat="0" applyFont="0" applyAlignment="0" applyProtection="0">
      <alignment vertical="center"/>
    </xf>
    <xf numFmtId="0" fontId="14" fillId="44" borderId="8" applyNumberFormat="0" applyFont="0" applyAlignment="0" applyProtection="0">
      <alignment vertical="center"/>
    </xf>
    <xf numFmtId="0" fontId="10" fillId="9" borderId="0" applyNumberFormat="0" applyBorder="0" applyAlignment="0" applyProtection="0">
      <alignment vertical="center"/>
    </xf>
    <xf numFmtId="0" fontId="26" fillId="43" borderId="3" applyNumberFormat="0" applyAlignment="0" applyProtection="0">
      <alignment vertical="center"/>
    </xf>
    <xf numFmtId="0" fontId="19" fillId="35" borderId="0" applyNumberFormat="0" applyBorder="0" applyAlignment="0" applyProtection="0">
      <alignment vertical="center"/>
    </xf>
    <xf numFmtId="0" fontId="30" fillId="26" borderId="0" applyNumberFormat="0" applyBorder="0" applyAlignment="0" applyProtection="0">
      <alignment vertical="center"/>
    </xf>
    <xf numFmtId="0" fontId="30" fillId="50" borderId="0" applyNumberFormat="0" applyBorder="0" applyAlignment="0" applyProtection="0">
      <alignment vertical="center"/>
    </xf>
    <xf numFmtId="0" fontId="10" fillId="28" borderId="0" applyNumberFormat="0" applyBorder="0" applyAlignment="0" applyProtection="0">
      <alignment vertical="center"/>
    </xf>
    <xf numFmtId="0" fontId="27" fillId="0" borderId="0" applyNumberFormat="0" applyFill="0" applyBorder="0" applyAlignment="0" applyProtection="0">
      <alignment vertical="center"/>
    </xf>
    <xf numFmtId="0" fontId="24" fillId="39" borderId="2" applyNumberFormat="0" applyAlignment="0" applyProtection="0">
      <alignment vertical="center"/>
    </xf>
    <xf numFmtId="0" fontId="33" fillId="0" borderId="12" applyNumberFormat="0" applyFill="0" applyAlignment="0" applyProtection="0">
      <alignment vertical="center"/>
    </xf>
    <xf numFmtId="0" fontId="30" fillId="18"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21" fillId="28" borderId="0" applyNumberFormat="0" applyBorder="0" applyAlignment="0" applyProtection="0">
      <alignment vertical="center"/>
    </xf>
    <xf numFmtId="0" fontId="30" fillId="47" borderId="0" applyNumberFormat="0" applyBorder="0" applyAlignment="0" applyProtection="0">
      <alignment vertical="center"/>
    </xf>
    <xf numFmtId="0" fontId="30" fillId="18" borderId="0" applyNumberFormat="0" applyBorder="0" applyAlignment="0" applyProtection="0">
      <alignment vertical="center"/>
    </xf>
    <xf numFmtId="0" fontId="10" fillId="15" borderId="0" applyNumberFormat="0" applyBorder="0" applyAlignment="0" applyProtection="0">
      <alignment vertical="center"/>
    </xf>
    <xf numFmtId="0" fontId="30" fillId="18"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10" fillId="39" borderId="0" applyNumberFormat="0" applyBorder="0" applyAlignment="0" applyProtection="0">
      <alignment vertical="center"/>
    </xf>
    <xf numFmtId="0" fontId="31" fillId="0" borderId="11" applyNumberFormat="0" applyFill="0" applyAlignment="0" applyProtection="0">
      <alignment vertical="center"/>
    </xf>
    <xf numFmtId="0" fontId="10" fillId="38" borderId="0" applyNumberFormat="0" applyBorder="0" applyAlignment="0" applyProtection="0">
      <alignment vertical="center"/>
    </xf>
    <xf numFmtId="0" fontId="30" fillId="9" borderId="0" applyNumberFormat="0" applyBorder="0" applyAlignment="0" applyProtection="0">
      <alignment vertical="center"/>
    </xf>
    <xf numFmtId="0" fontId="10" fillId="30" borderId="0" applyNumberFormat="0" applyBorder="0" applyAlignment="0" applyProtection="0">
      <alignment vertical="center"/>
    </xf>
    <xf numFmtId="0" fontId="30" fillId="14" borderId="0" applyNumberFormat="0" applyBorder="0" applyAlignment="0" applyProtection="0">
      <alignment vertical="center"/>
    </xf>
    <xf numFmtId="0" fontId="10" fillId="31" borderId="0" applyNumberFormat="0" applyBorder="0" applyAlignment="0" applyProtection="0">
      <alignment vertical="center"/>
    </xf>
    <xf numFmtId="0" fontId="30" fillId="18" borderId="0" applyNumberFormat="0" applyBorder="0" applyAlignment="0" applyProtection="0">
      <alignment vertical="center"/>
    </xf>
    <xf numFmtId="0" fontId="30" fillId="9" borderId="0" applyNumberFormat="0" applyBorder="0" applyAlignment="0" applyProtection="0">
      <alignment vertical="center"/>
    </xf>
    <xf numFmtId="0" fontId="30" fillId="30" borderId="0" applyNumberFormat="0" applyBorder="0" applyAlignment="0" applyProtection="0">
      <alignment vertical="center"/>
    </xf>
    <xf numFmtId="0" fontId="10" fillId="29" borderId="0" applyNumberFormat="0" applyBorder="0" applyAlignment="0" applyProtection="0">
      <alignment vertical="center"/>
    </xf>
    <xf numFmtId="0" fontId="30" fillId="9" borderId="0" applyNumberFormat="0" applyBorder="0" applyAlignment="0" applyProtection="0">
      <alignment vertical="center"/>
    </xf>
    <xf numFmtId="0" fontId="10" fillId="11" borderId="0" applyNumberFormat="0" applyBorder="0" applyAlignment="0" applyProtection="0">
      <alignment vertical="center"/>
    </xf>
    <xf numFmtId="0" fontId="10" fillId="40" borderId="0" applyNumberFormat="0" applyBorder="0" applyAlignment="0" applyProtection="0">
      <alignment vertical="center"/>
    </xf>
    <xf numFmtId="0" fontId="30" fillId="31" borderId="0" applyNumberFormat="0" applyBorder="0" applyAlignment="0" applyProtection="0">
      <alignment vertical="center"/>
    </xf>
    <xf numFmtId="0" fontId="30" fillId="23" borderId="0" applyNumberFormat="0" applyBorder="0" applyAlignment="0" applyProtection="0">
      <alignment vertical="center"/>
    </xf>
    <xf numFmtId="0" fontId="10" fillId="44" borderId="8" applyNumberFormat="0" applyFont="0" applyAlignment="0" applyProtection="0">
      <alignment vertical="center"/>
    </xf>
    <xf numFmtId="0" fontId="22" fillId="38" borderId="2" applyNumberFormat="0" applyAlignment="0" applyProtection="0">
      <alignment vertical="center"/>
    </xf>
    <xf numFmtId="0" fontId="30" fillId="41" borderId="0" applyNumberFormat="0" applyBorder="0" applyAlignment="0" applyProtection="0">
      <alignment vertical="center"/>
    </xf>
    <xf numFmtId="0" fontId="10" fillId="37" borderId="0" applyNumberFormat="0" applyBorder="0" applyAlignment="0" applyProtection="0">
      <alignment vertical="center"/>
    </xf>
    <xf numFmtId="0" fontId="30" fillId="41" borderId="0" applyNumberFormat="0" applyBorder="0" applyAlignment="0" applyProtection="0">
      <alignment vertical="center"/>
    </xf>
    <xf numFmtId="0" fontId="35" fillId="0" borderId="0"/>
    <xf numFmtId="0" fontId="35" fillId="0" borderId="0"/>
    <xf numFmtId="0" fontId="1" fillId="0" borderId="0">
      <alignment vertical="center"/>
    </xf>
    <xf numFmtId="0" fontId="35" fillId="0" borderId="0"/>
    <xf numFmtId="0" fontId="35" fillId="0" borderId="0"/>
    <xf numFmtId="0" fontId="35" fillId="0" borderId="0"/>
    <xf numFmtId="0" fontId="35" fillId="0" borderId="0"/>
    <xf numFmtId="0" fontId="35" fillId="0" borderId="0"/>
    <xf numFmtId="0" fontId="35" fillId="0" borderId="0">
      <alignment vertical="center"/>
    </xf>
    <xf numFmtId="0" fontId="1" fillId="0" borderId="0">
      <alignment vertical="center"/>
    </xf>
    <xf numFmtId="0" fontId="35" fillId="0" borderId="0">
      <alignment vertical="center"/>
    </xf>
    <xf numFmtId="0" fontId="3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4">
    <xf numFmtId="0" fontId="0" fillId="0" borderId="0" xfId="0" applyAlignment="1"/>
    <xf numFmtId="0" fontId="3" fillId="0" borderId="1" xfId="0" applyNumberFormat="1" applyFont="1" applyBorder="1" applyAlignment="1">
      <alignment horizontal="left"/>
    </xf>
    <xf numFmtId="49" fontId="4" fillId="0" borderId="1" xfId="0" applyNumberFormat="1" applyFont="1" applyBorder="1" applyAlignment="1">
      <alignment horizontal="center" vertical="center"/>
    </xf>
    <xf numFmtId="49" fontId="4" fillId="0" borderId="1" xfId="0" applyNumberFormat="1" applyFont="1" applyBorder="1" applyAlignment="1">
      <alignment horizontal="center"/>
    </xf>
    <xf numFmtId="0" fontId="4" fillId="0" borderId="0" xfId="0" applyNumberFormat="1" applyFont="1" applyBorder="1" applyAlignment="1">
      <alignment horizontal="center" vertical="center"/>
    </xf>
    <xf numFmtId="49" fontId="4" fillId="0" borderId="1" xfId="0" applyNumberFormat="1" applyFont="1" applyFill="1" applyBorder="1" applyAlignment="1">
      <alignment horizontal="center"/>
    </xf>
    <xf numFmtId="49" fontId="4" fillId="0" borderId="0" xfId="0" applyNumberFormat="1" applyFont="1" applyBorder="1" applyAlignment="1">
      <alignment horizontal="center" vertical="center"/>
    </xf>
    <xf numFmtId="49" fontId="4" fillId="0" borderId="0" xfId="0" applyNumberFormat="1" applyFont="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center"/>
    </xf>
    <xf numFmtId="0" fontId="4" fillId="0" borderId="0" xfId="0" applyNumberFormat="1" applyFont="1" applyAlignment="1">
      <alignment horizontal="left"/>
    </xf>
    <xf numFmtId="0" fontId="5" fillId="0" borderId="0" xfId="0" applyNumberFormat="1" applyFont="1" applyAlignment="1">
      <alignment horizontal="center"/>
    </xf>
    <xf numFmtId="0" fontId="6" fillId="0" borderId="0" xfId="0" applyNumberFormat="1" applyFont="1" applyAlignment="1">
      <alignment horizontal="center"/>
    </xf>
    <xf numFmtId="0" fontId="3" fillId="0" borderId="0" xfId="0" applyNumberFormat="1" applyFont="1" applyAlignment="1">
      <alignment horizontal="center"/>
    </xf>
    <xf numFmtId="0" fontId="4" fillId="0" borderId="0" xfId="0" applyNumberFormat="1" applyFont="1" applyAlignment="1">
      <alignment horizontal="center"/>
    </xf>
    <xf numFmtId="0" fontId="7" fillId="2" borderId="1" xfId="1" applyNumberFormat="1" applyFont="1" applyFill="1" applyBorder="1" applyAlignment="1">
      <alignment horizontal="center" vertical="center"/>
    </xf>
    <xf numFmtId="0" fontId="8" fillId="0" borderId="1" xfId="1" applyNumberFormat="1" applyFont="1" applyBorder="1" applyAlignment="1">
      <alignment horizontal="left" vertical="top" wrapText="1"/>
    </xf>
    <xf numFmtId="0" fontId="8" fillId="0" borderId="1" xfId="1" applyNumberFormat="1" applyFont="1" applyBorder="1" applyAlignment="1">
      <alignment horizontal="center" vertical="top" wrapText="1"/>
    </xf>
    <xf numFmtId="0" fontId="8" fillId="0" borderId="0" xfId="1" applyFont="1" applyAlignment="1">
      <alignment horizontal="left" vertical="top" wrapText="1"/>
    </xf>
    <xf numFmtId="0" fontId="9" fillId="0" borderId="1" xfId="1" applyNumberFormat="1" applyFont="1" applyBorder="1" applyAlignment="1">
      <alignment horizontal="left" vertical="top" wrapText="1"/>
    </xf>
    <xf numFmtId="0" fontId="4" fillId="0" borderId="1" xfId="0" applyNumberFormat="1" applyFont="1" applyBorder="1" applyAlignment="1">
      <alignment horizontal="center"/>
    </xf>
    <xf numFmtId="0" fontId="8" fillId="0" borderId="0" xfId="1" applyFont="1" applyAlignment="1">
      <alignment horizontal="left" vertical="top" wrapText="1"/>
    </xf>
    <xf numFmtId="0" fontId="11" fillId="0" borderId="1" xfId="0" applyNumberFormat="1" applyFont="1" applyBorder="1" applyAlignment="1">
      <alignment horizontal="center"/>
    </xf>
    <xf numFmtId="49" fontId="11" fillId="0" borderId="1" xfId="0" applyNumberFormat="1" applyFont="1" applyBorder="1" applyAlignment="1">
      <alignment horizontal="center"/>
    </xf>
    <xf numFmtId="0" fontId="36" fillId="0" borderId="1" xfId="0" applyFont="1" applyBorder="1" applyAlignment="1">
      <alignment horizontal="center" vertical="center"/>
    </xf>
    <xf numFmtId="0" fontId="36" fillId="0" borderId="14" xfId="0" applyFont="1" applyBorder="1" applyAlignment="1">
      <alignment horizontal="center" vertical="center"/>
    </xf>
    <xf numFmtId="0" fontId="11" fillId="0" borderId="1" xfId="0" applyNumberFormat="1" applyFont="1" applyFill="1" applyBorder="1" applyAlignment="1">
      <alignment horizontal="center"/>
    </xf>
    <xf numFmtId="0" fontId="37" fillId="0" borderId="1" xfId="3" applyFont="1" applyBorder="1" applyAlignment="1">
      <alignment horizontal="center"/>
    </xf>
    <xf numFmtId="0" fontId="11" fillId="0" borderId="1" xfId="3" applyNumberFormat="1" applyFont="1" applyBorder="1" applyAlignment="1">
      <alignment horizontal="center"/>
    </xf>
    <xf numFmtId="0" fontId="11" fillId="27" borderId="1" xfId="0" applyNumberFormat="1" applyFont="1" applyFill="1" applyBorder="1" applyAlignment="1">
      <alignment horizontal="center"/>
    </xf>
    <xf numFmtId="0" fontId="4" fillId="0" borderId="1" xfId="0" applyNumberFormat="1" applyFont="1" applyBorder="1" applyAlignment="1">
      <alignment horizontal="center" vertical="center"/>
    </xf>
    <xf numFmtId="0" fontId="4" fillId="0" borderId="1" xfId="0" applyNumberFormat="1" applyFont="1" applyBorder="1" applyAlignment="1">
      <alignment horizontal="left"/>
    </xf>
    <xf numFmtId="0" fontId="38" fillId="52" borderId="1" xfId="0" applyFont="1" applyFill="1" applyBorder="1" applyAlignment="1">
      <alignment horizontal="center" vertical="top"/>
    </xf>
    <xf numFmtId="0" fontId="8" fillId="0" borderId="0" xfId="1" applyFont="1" applyAlignment="1">
      <alignment horizontal="center" vertical="top" wrapText="1"/>
    </xf>
  </cellXfs>
  <cellStyles count="3924">
    <cellStyle name="20% - Accent1" xfId="5"/>
    <cellStyle name="20% - Accent1 2" xfId="91"/>
    <cellStyle name="20% - Accent1 2 2" xfId="224"/>
    <cellStyle name="20% - Accent1 2 2 2" xfId="871"/>
    <cellStyle name="20% - Accent1 2 3" xfId="225"/>
    <cellStyle name="20% - Accent1 2 3 2" xfId="872"/>
    <cellStyle name="20% - Accent1 2 4" xfId="726"/>
    <cellStyle name="20% - Accent1 2 4 2" xfId="2660"/>
    <cellStyle name="20% - Accent1 2 4 3" xfId="2459"/>
    <cellStyle name="20% - Accent1 2 5" xfId="223"/>
    <cellStyle name="20% - Accent1 2 5 2" xfId="870"/>
    <cellStyle name="20% - Accent1 2 6" xfId="2267"/>
    <cellStyle name="20% - Accent1 2 6 2" xfId="2521"/>
    <cellStyle name="20% - Accent1 2 7" xfId="2211"/>
    <cellStyle name="20% - Accent1 3" xfId="226"/>
    <cellStyle name="20% - Accent1 3 2" xfId="873"/>
    <cellStyle name="20% - Accent1 3 3" xfId="3838"/>
    <cellStyle name="20% - Accent1 4" xfId="647"/>
    <cellStyle name="20% - Accent1 5" xfId="222"/>
    <cellStyle name="20% - Accent1 5 2" xfId="869"/>
    <cellStyle name="20% - Accent1 5 3" xfId="2394"/>
    <cellStyle name="20% - Accent1 6" xfId="2266"/>
    <cellStyle name="20% - Accent1 6 2" xfId="2520"/>
    <cellStyle name="20% - Accent1 7" xfId="2137"/>
    <cellStyle name="20% - Accent2" xfId="6"/>
    <cellStyle name="20% - Accent2 2" xfId="92"/>
    <cellStyle name="20% - Accent2 2 2" xfId="229"/>
    <cellStyle name="20% - Accent2 2 2 2" xfId="876"/>
    <cellStyle name="20% - Accent2 2 3" xfId="230"/>
    <cellStyle name="20% - Accent2 2 3 2" xfId="877"/>
    <cellStyle name="20% - Accent2 2 4" xfId="727"/>
    <cellStyle name="20% - Accent2 2 4 2" xfId="2661"/>
    <cellStyle name="20% - Accent2 2 4 3" xfId="2453"/>
    <cellStyle name="20% - Accent2 2 5" xfId="228"/>
    <cellStyle name="20% - Accent2 2 5 2" xfId="875"/>
    <cellStyle name="20% - Accent2 2 6" xfId="2269"/>
    <cellStyle name="20% - Accent2 2 6 2" xfId="2523"/>
    <cellStyle name="20% - Accent2 2 7" xfId="2205"/>
    <cellStyle name="20% - Accent2 3" xfId="231"/>
    <cellStyle name="20% - Accent2 3 2" xfId="878"/>
    <cellStyle name="20% - Accent2 3 3" xfId="3899"/>
    <cellStyle name="20% - Accent2 4" xfId="648"/>
    <cellStyle name="20% - Accent2 5" xfId="227"/>
    <cellStyle name="20% - Accent2 5 2" xfId="874"/>
    <cellStyle name="20% - Accent2 5 3" xfId="2388"/>
    <cellStyle name="20% - Accent2 6" xfId="2268"/>
    <cellStyle name="20% - Accent2 6 2" xfId="2522"/>
    <cellStyle name="20% - Accent2 7" xfId="2131"/>
    <cellStyle name="20% - Accent3" xfId="7"/>
    <cellStyle name="20% - Accent3 2" xfId="93"/>
    <cellStyle name="20% - Accent3 2 2" xfId="234"/>
    <cellStyle name="20% - Accent3 2 2 2" xfId="881"/>
    <cellStyle name="20% - Accent3 2 3" xfId="235"/>
    <cellStyle name="20% - Accent3 2 3 2" xfId="882"/>
    <cellStyle name="20% - Accent3 2 4" xfId="728"/>
    <cellStyle name="20% - Accent3 2 4 2" xfId="2662"/>
    <cellStyle name="20% - Accent3 2 4 3" xfId="2455"/>
    <cellStyle name="20% - Accent3 2 5" xfId="233"/>
    <cellStyle name="20% - Accent3 2 5 2" xfId="880"/>
    <cellStyle name="20% - Accent3 2 6" xfId="2271"/>
    <cellStyle name="20% - Accent3 2 6 2" xfId="2525"/>
    <cellStyle name="20% - Accent3 2 7" xfId="2207"/>
    <cellStyle name="20% - Accent3 3" xfId="236"/>
    <cellStyle name="20% - Accent3 3 2" xfId="883"/>
    <cellStyle name="20% - Accent3 3 3" xfId="2193"/>
    <cellStyle name="20% - Accent3 4" xfId="649"/>
    <cellStyle name="20% - Accent3 5" xfId="232"/>
    <cellStyle name="20% - Accent3 5 2" xfId="879"/>
    <cellStyle name="20% - Accent3 5 3" xfId="2390"/>
    <cellStyle name="20% - Accent3 6" xfId="2270"/>
    <cellStyle name="20% - Accent3 6 2" xfId="2524"/>
    <cellStyle name="20% - Accent3 7" xfId="2133"/>
    <cellStyle name="20% - Accent4" xfId="8"/>
    <cellStyle name="20% - Accent4 2" xfId="94"/>
    <cellStyle name="20% - Accent4 2 2" xfId="239"/>
    <cellStyle name="20% - Accent4 2 2 2" xfId="886"/>
    <cellStyle name="20% - Accent4 2 3" xfId="240"/>
    <cellStyle name="20% - Accent4 2 3 2" xfId="887"/>
    <cellStyle name="20% - Accent4 2 4" xfId="729"/>
    <cellStyle name="20% - Accent4 2 4 2" xfId="2663"/>
    <cellStyle name="20% - Accent4 2 4 3" xfId="2449"/>
    <cellStyle name="20% - Accent4 2 5" xfId="238"/>
    <cellStyle name="20% - Accent4 2 5 2" xfId="885"/>
    <cellStyle name="20% - Accent4 2 6" xfId="2273"/>
    <cellStyle name="20% - Accent4 2 6 2" xfId="2527"/>
    <cellStyle name="20% - Accent4 2 7" xfId="2201"/>
    <cellStyle name="20% - Accent4 3" xfId="241"/>
    <cellStyle name="20% - Accent4 3 2" xfId="888"/>
    <cellStyle name="20% - Accent4 3 3" xfId="3890"/>
    <cellStyle name="20% - Accent4 4" xfId="650"/>
    <cellStyle name="20% - Accent4 5" xfId="237"/>
    <cellStyle name="20% - Accent4 5 2" xfId="884"/>
    <cellStyle name="20% - Accent4 5 3" xfId="2384"/>
    <cellStyle name="20% - Accent4 6" xfId="2272"/>
    <cellStyle name="20% - Accent4 6 2" xfId="2526"/>
    <cellStyle name="20% - Accent4 7" xfId="2127"/>
    <cellStyle name="20% - Accent5" xfId="9"/>
    <cellStyle name="20% - Accent5 2" xfId="95"/>
    <cellStyle name="20% - Accent5 2 2" xfId="244"/>
    <cellStyle name="20% - Accent5 2 2 2" xfId="891"/>
    <cellStyle name="20% - Accent5 2 3" xfId="245"/>
    <cellStyle name="20% - Accent5 2 3 2" xfId="892"/>
    <cellStyle name="20% - Accent5 2 4" xfId="730"/>
    <cellStyle name="20% - Accent5 2 4 2" xfId="2664"/>
    <cellStyle name="20% - Accent5 2 4 3" xfId="2456"/>
    <cellStyle name="20% - Accent5 2 5" xfId="243"/>
    <cellStyle name="20% - Accent5 2 5 2" xfId="890"/>
    <cellStyle name="20% - Accent5 2 6" xfId="2275"/>
    <cellStyle name="20% - Accent5 2 6 2" xfId="2529"/>
    <cellStyle name="20% - Accent5 2 7" xfId="2208"/>
    <cellStyle name="20% - Accent5 3" xfId="246"/>
    <cellStyle name="20% - Accent5 3 2" xfId="893"/>
    <cellStyle name="20% - Accent5 3 3" xfId="3810"/>
    <cellStyle name="20% - Accent5 4" xfId="651"/>
    <cellStyle name="20% - Accent5 5" xfId="242"/>
    <cellStyle name="20% - Accent5 5 2" xfId="889"/>
    <cellStyle name="20% - Accent5 5 3" xfId="2391"/>
    <cellStyle name="20% - Accent5 6" xfId="2274"/>
    <cellStyle name="20% - Accent5 6 2" xfId="2528"/>
    <cellStyle name="20% - Accent5 7" xfId="2134"/>
    <cellStyle name="20% - Accent6" xfId="10"/>
    <cellStyle name="20% - Accent6 2" xfId="96"/>
    <cellStyle name="20% - Accent6 2 2" xfId="249"/>
    <cellStyle name="20% - Accent6 2 2 2" xfId="896"/>
    <cellStyle name="20% - Accent6 2 3" xfId="250"/>
    <cellStyle name="20% - Accent6 2 3 2" xfId="897"/>
    <cellStyle name="20% - Accent6 2 4" xfId="731"/>
    <cellStyle name="20% - Accent6 2 4 2" xfId="2665"/>
    <cellStyle name="20% - Accent6 2 4 3" xfId="2457"/>
    <cellStyle name="20% - Accent6 2 5" xfId="248"/>
    <cellStyle name="20% - Accent6 2 5 2" xfId="895"/>
    <cellStyle name="20% - Accent6 2 6" xfId="2277"/>
    <cellStyle name="20% - Accent6 2 6 2" xfId="2531"/>
    <cellStyle name="20% - Accent6 2 7" xfId="2209"/>
    <cellStyle name="20% - Accent6 3" xfId="251"/>
    <cellStyle name="20% - Accent6 3 2" xfId="898"/>
    <cellStyle name="20% - Accent6 3 3" xfId="3789"/>
    <cellStyle name="20% - Accent6 4" xfId="652"/>
    <cellStyle name="20% - Accent6 5" xfId="247"/>
    <cellStyle name="20% - Accent6 5 2" xfId="894"/>
    <cellStyle name="20% - Accent6 5 3" xfId="2392"/>
    <cellStyle name="20% - Accent6 6" xfId="2276"/>
    <cellStyle name="20% - Accent6 6 2" xfId="2530"/>
    <cellStyle name="20% - Accent6 7" xfId="2135"/>
    <cellStyle name="20% - 强调文字颜色 1 2" xfId="11"/>
    <cellStyle name="20% - 强调文字颜色 1 2 2" xfId="97"/>
    <cellStyle name="20% - 强调文字颜色 1 2 2 2" xfId="254"/>
    <cellStyle name="20% - 强调文字颜色 1 2 2 2 2" xfId="901"/>
    <cellStyle name="20% - 强调文字颜色 1 2 2 2 2 2" xfId="3106"/>
    <cellStyle name="20% - 强调文字颜色 1 2 2 2 3" xfId="2721"/>
    <cellStyle name="20% - 强调文字颜色 1 2 2 2 3 2" xfId="2722"/>
    <cellStyle name="20% - 强调文字颜色 1 2 2 2 3 2 2" xfId="3108"/>
    <cellStyle name="20% - 强调文字颜色 1 2 2 2 3 3" xfId="3107"/>
    <cellStyle name="20% - 强调文字颜色 1 2 2 2 4" xfId="2723"/>
    <cellStyle name="20% - 强调文字颜色 1 2 2 2 4 2" xfId="3109"/>
    <cellStyle name="20% - 强调文字颜色 1 2 2 2 5" xfId="2724"/>
    <cellStyle name="20% - 强调文字颜色 1 2 2 2 5 2" xfId="3110"/>
    <cellStyle name="20% - 强调文字颜色 1 2 2 2 6" xfId="3105"/>
    <cellStyle name="20% - 强调文字颜色 1 2 2 3" xfId="255"/>
    <cellStyle name="20% - 强调文字颜色 1 2 2 3 2" xfId="902"/>
    <cellStyle name="20% - 强调文字颜色 1 2 2 3 2 2" xfId="3112"/>
    <cellStyle name="20% - 强调文字颜色 1 2 2 3 3" xfId="3111"/>
    <cellStyle name="20% - 强调文字颜色 1 2 2 4" xfId="732"/>
    <cellStyle name="20% - 强调文字颜色 1 2 2 4 2" xfId="2666"/>
    <cellStyle name="20% - 强调文字颜色 1 2 2 4 3" xfId="2448"/>
    <cellStyle name="20% - 强调文字颜色 1 2 2 5" xfId="253"/>
    <cellStyle name="20% - 强调文字颜色 1 2 2 5 2" xfId="900"/>
    <cellStyle name="20% - 强调文字颜色 1 2 2 6" xfId="2279"/>
    <cellStyle name="20% - 强调文字颜色 1 2 2 6 2" xfId="2533"/>
    <cellStyle name="20% - 强调文字颜色 1 2 2 7" xfId="2200"/>
    <cellStyle name="20% - 强调文字颜色 1 2 3" xfId="256"/>
    <cellStyle name="20% - 强调文字颜色 1 2 3 2" xfId="903"/>
    <cellStyle name="20% - 强调文字颜色 1 2 3 2 2" xfId="3114"/>
    <cellStyle name="20% - 强调文字颜色 1 2 3 3" xfId="2725"/>
    <cellStyle name="20% - 强调文字颜色 1 2 3 3 2" xfId="2726"/>
    <cellStyle name="20% - 强调文字颜色 1 2 3 3 2 2" xfId="3116"/>
    <cellStyle name="20% - 强调文字颜色 1 2 3 3 3" xfId="3115"/>
    <cellStyle name="20% - 强调文字颜色 1 2 3 4" xfId="2727"/>
    <cellStyle name="20% - 强调文字颜色 1 2 3 4 2" xfId="3117"/>
    <cellStyle name="20% - 强调文字颜色 1 2 3 5" xfId="2728"/>
    <cellStyle name="20% - 强调文字颜色 1 2 3 5 2" xfId="3118"/>
    <cellStyle name="20% - 强调文字颜色 1 2 3 6" xfId="3113"/>
    <cellStyle name="20% - 强调文字颜色 1 2 3 6 2" xfId="3719"/>
    <cellStyle name="20% - 强调文字颜色 1 2 3 7" xfId="3056"/>
    <cellStyle name="20% - 强调文字颜色 1 2 3 8" xfId="3773"/>
    <cellStyle name="20% - 强调文字颜色 1 2 3 9" xfId="3784"/>
    <cellStyle name="20% - 强调文字颜色 1 2 4" xfId="653"/>
    <cellStyle name="20% - 强调文字颜色 1 2 4 2" xfId="2729"/>
    <cellStyle name="20% - 强调文字颜色 1 2 4 2 2" xfId="3120"/>
    <cellStyle name="20% - 强调文字颜色 1 2 4 3" xfId="3119"/>
    <cellStyle name="20% - 强调文字颜色 1 2 5" xfId="252"/>
    <cellStyle name="20% - 强调文字颜色 1 2 5 2" xfId="899"/>
    <cellStyle name="20% - 强调文字颜色 1 2 5 3" xfId="2383"/>
    <cellStyle name="20% - 强调文字颜色 1 2 6" xfId="2278"/>
    <cellStyle name="20% - 强调文字颜色 1 2 6 2" xfId="2532"/>
    <cellStyle name="20% - 强调文字颜色 1 2 7" xfId="3805"/>
    <cellStyle name="20% - 强调文字颜色 1 2 8" xfId="2126"/>
    <cellStyle name="20% - 强调文字颜色 2 2" xfId="12"/>
    <cellStyle name="20% - 强调文字颜色 2 2 2" xfId="98"/>
    <cellStyle name="20% - 强调文字颜色 2 2 2 2" xfId="259"/>
    <cellStyle name="20% - 强调文字颜色 2 2 2 2 2" xfId="906"/>
    <cellStyle name="20% - 强调文字颜色 2 2 2 2 2 2" xfId="3122"/>
    <cellStyle name="20% - 强调文字颜色 2 2 2 2 3" xfId="2730"/>
    <cellStyle name="20% - 强调文字颜色 2 2 2 2 3 2" xfId="2731"/>
    <cellStyle name="20% - 强调文字颜色 2 2 2 2 3 2 2" xfId="3124"/>
    <cellStyle name="20% - 强调文字颜色 2 2 2 2 3 3" xfId="3123"/>
    <cellStyle name="20% - 强调文字颜色 2 2 2 2 4" xfId="2732"/>
    <cellStyle name="20% - 强调文字颜色 2 2 2 2 4 2" xfId="3125"/>
    <cellStyle name="20% - 强调文字颜色 2 2 2 2 5" xfId="2733"/>
    <cellStyle name="20% - 强调文字颜色 2 2 2 2 5 2" xfId="3126"/>
    <cellStyle name="20% - 强调文字颜色 2 2 2 2 6" xfId="3121"/>
    <cellStyle name="20% - 强调文字颜色 2 2 2 3" xfId="260"/>
    <cellStyle name="20% - 强调文字颜色 2 2 2 3 2" xfId="907"/>
    <cellStyle name="20% - 强调文字颜色 2 2 2 3 2 2" xfId="3128"/>
    <cellStyle name="20% - 强调文字颜色 2 2 2 3 3" xfId="3127"/>
    <cellStyle name="20% - 强调文字颜色 2 2 2 4" xfId="733"/>
    <cellStyle name="20% - 强调文字颜色 2 2 2 4 2" xfId="2667"/>
    <cellStyle name="20% - 强调文字颜色 2 2 2 4 3" xfId="2460"/>
    <cellStyle name="20% - 强调文字颜色 2 2 2 5" xfId="258"/>
    <cellStyle name="20% - 强调文字颜色 2 2 2 5 2" xfId="905"/>
    <cellStyle name="20% - 强调文字颜色 2 2 2 6" xfId="2281"/>
    <cellStyle name="20% - 强调文字颜色 2 2 2 6 2" xfId="2535"/>
    <cellStyle name="20% - 强调文字颜色 2 2 2 7" xfId="2212"/>
    <cellStyle name="20% - 强调文字颜色 2 2 3" xfId="261"/>
    <cellStyle name="20% - 强调文字颜色 2 2 3 2" xfId="908"/>
    <cellStyle name="20% - 强调文字颜色 2 2 3 2 2" xfId="3130"/>
    <cellStyle name="20% - 强调文字颜色 2 2 3 3" xfId="2734"/>
    <cellStyle name="20% - 强调文字颜色 2 2 3 3 2" xfId="2735"/>
    <cellStyle name="20% - 强调文字颜色 2 2 3 3 2 2" xfId="3132"/>
    <cellStyle name="20% - 强调文字颜色 2 2 3 3 3" xfId="3131"/>
    <cellStyle name="20% - 强调文字颜色 2 2 3 4" xfId="2736"/>
    <cellStyle name="20% - 强调文字颜色 2 2 3 4 2" xfId="3133"/>
    <cellStyle name="20% - 强调文字颜色 2 2 3 5" xfId="2737"/>
    <cellStyle name="20% - 强调文字颜色 2 2 3 5 2" xfId="3134"/>
    <cellStyle name="20% - 强调文字颜色 2 2 3 6" xfId="3129"/>
    <cellStyle name="20% - 强调文字颜色 2 2 3 6 2" xfId="3720"/>
    <cellStyle name="20% - 强调文字颜色 2 2 3 7" xfId="3057"/>
    <cellStyle name="20% - 强调文字颜色 2 2 3 8" xfId="3871"/>
    <cellStyle name="20% - 强调文字颜色 2 2 3 9" xfId="3884"/>
    <cellStyle name="20% - 强调文字颜色 2 2 4" xfId="654"/>
    <cellStyle name="20% - 强调文字颜色 2 2 4 2" xfId="2738"/>
    <cellStyle name="20% - 强调文字颜色 2 2 4 2 2" xfId="3136"/>
    <cellStyle name="20% - 强调文字颜色 2 2 4 3" xfId="3135"/>
    <cellStyle name="20% - 强调文字颜色 2 2 5" xfId="257"/>
    <cellStyle name="20% - 强调文字颜色 2 2 5 2" xfId="904"/>
    <cellStyle name="20% - 强调文字颜色 2 2 5 3" xfId="2395"/>
    <cellStyle name="20% - 强调文字颜色 2 2 6" xfId="2280"/>
    <cellStyle name="20% - 强调文字颜色 2 2 6 2" xfId="2534"/>
    <cellStyle name="20% - 强调文字颜色 2 2 7" xfId="3778"/>
    <cellStyle name="20% - 强调文字颜色 2 2 8" xfId="2138"/>
    <cellStyle name="20% - 强调文字颜色 3 2" xfId="13"/>
    <cellStyle name="20% - 强调文字颜色 3 2 2" xfId="99"/>
    <cellStyle name="20% - 强调文字颜色 3 2 2 2" xfId="264"/>
    <cellStyle name="20% - 强调文字颜色 3 2 2 2 2" xfId="911"/>
    <cellStyle name="20% - 强调文字颜色 3 2 2 2 2 2" xfId="3138"/>
    <cellStyle name="20% - 强调文字颜色 3 2 2 2 3" xfId="2739"/>
    <cellStyle name="20% - 强调文字颜色 3 2 2 2 3 2" xfId="2740"/>
    <cellStyle name="20% - 强调文字颜色 3 2 2 2 3 2 2" xfId="3140"/>
    <cellStyle name="20% - 强调文字颜色 3 2 2 2 3 3" xfId="3139"/>
    <cellStyle name="20% - 强调文字颜色 3 2 2 2 4" xfId="2741"/>
    <cellStyle name="20% - 强调文字颜色 3 2 2 2 4 2" xfId="3141"/>
    <cellStyle name="20% - 强调文字颜色 3 2 2 2 5" xfId="2742"/>
    <cellStyle name="20% - 强调文字颜色 3 2 2 2 5 2" xfId="3142"/>
    <cellStyle name="20% - 强调文字颜色 3 2 2 2 6" xfId="3137"/>
    <cellStyle name="20% - 强调文字颜色 3 2 2 3" xfId="265"/>
    <cellStyle name="20% - 强调文字颜色 3 2 2 3 2" xfId="912"/>
    <cellStyle name="20% - 强调文字颜色 3 2 2 3 2 2" xfId="3144"/>
    <cellStyle name="20% - 强调文字颜色 3 2 2 3 3" xfId="3143"/>
    <cellStyle name="20% - 强调文字颜色 3 2 2 4" xfId="734"/>
    <cellStyle name="20% - 强调文字颜色 3 2 2 4 2" xfId="2668"/>
    <cellStyle name="20% - 强调文字颜色 3 2 2 4 3" xfId="2461"/>
    <cellStyle name="20% - 强调文字颜色 3 2 2 5" xfId="263"/>
    <cellStyle name="20% - 强调文字颜色 3 2 2 5 2" xfId="910"/>
    <cellStyle name="20% - 强调文字颜色 3 2 2 6" xfId="2283"/>
    <cellStyle name="20% - 强调文字颜色 3 2 2 6 2" xfId="2537"/>
    <cellStyle name="20% - 强调文字颜色 3 2 2 7" xfId="2213"/>
    <cellStyle name="20% - 强调文字颜色 3 2 3" xfId="266"/>
    <cellStyle name="20% - 强调文字颜色 3 2 3 2" xfId="913"/>
    <cellStyle name="20% - 强调文字颜色 3 2 3 2 2" xfId="3146"/>
    <cellStyle name="20% - 强调文字颜色 3 2 3 3" xfId="2743"/>
    <cellStyle name="20% - 强调文字颜色 3 2 3 3 2" xfId="2744"/>
    <cellStyle name="20% - 强调文字颜色 3 2 3 3 2 2" xfId="3148"/>
    <cellStyle name="20% - 强调文字颜色 3 2 3 3 3" xfId="3147"/>
    <cellStyle name="20% - 强调文字颜色 3 2 3 4" xfId="2745"/>
    <cellStyle name="20% - 强调文字颜色 3 2 3 4 2" xfId="3149"/>
    <cellStyle name="20% - 强调文字颜色 3 2 3 5" xfId="2746"/>
    <cellStyle name="20% - 强调文字颜色 3 2 3 5 2" xfId="3150"/>
    <cellStyle name="20% - 强调文字颜色 3 2 3 6" xfId="3145"/>
    <cellStyle name="20% - 强调文字颜色 3 2 3 6 2" xfId="3721"/>
    <cellStyle name="20% - 强调文字颜色 3 2 3 7" xfId="3058"/>
    <cellStyle name="20% - 强调文字颜色 3 2 3 8" xfId="3843"/>
    <cellStyle name="20% - 强调文字颜色 3 2 3 9" xfId="3828"/>
    <cellStyle name="20% - 强调文字颜色 3 2 4" xfId="655"/>
    <cellStyle name="20% - 强调文字颜色 3 2 4 2" xfId="2747"/>
    <cellStyle name="20% - 强调文字颜色 3 2 4 2 2" xfId="3152"/>
    <cellStyle name="20% - 强调文字颜色 3 2 4 3" xfId="3151"/>
    <cellStyle name="20% - 强调文字颜色 3 2 5" xfId="262"/>
    <cellStyle name="20% - 强调文字颜色 3 2 5 2" xfId="909"/>
    <cellStyle name="20% - 强调文字颜色 3 2 5 3" xfId="2396"/>
    <cellStyle name="20% - 强调文字颜色 3 2 6" xfId="2282"/>
    <cellStyle name="20% - 强调文字颜色 3 2 6 2" xfId="2536"/>
    <cellStyle name="20% - 强调文字颜色 3 2 7" xfId="3872"/>
    <cellStyle name="20% - 强调文字颜色 3 2 8" xfId="2139"/>
    <cellStyle name="20% - 强调文字颜色 4 2" xfId="14"/>
    <cellStyle name="20% - 强调文字颜色 4 2 2" xfId="100"/>
    <cellStyle name="20% - 强调文字颜色 4 2 2 2" xfId="269"/>
    <cellStyle name="20% - 强调文字颜色 4 2 2 2 2" xfId="916"/>
    <cellStyle name="20% - 强调文字颜色 4 2 2 2 2 2" xfId="3154"/>
    <cellStyle name="20% - 强调文字颜色 4 2 2 2 3" xfId="2748"/>
    <cellStyle name="20% - 强调文字颜色 4 2 2 2 3 2" xfId="2749"/>
    <cellStyle name="20% - 强调文字颜色 4 2 2 2 3 2 2" xfId="3156"/>
    <cellStyle name="20% - 强调文字颜色 4 2 2 2 3 3" xfId="3155"/>
    <cellStyle name="20% - 强调文字颜色 4 2 2 2 4" xfId="2750"/>
    <cellStyle name="20% - 强调文字颜色 4 2 2 2 4 2" xfId="3157"/>
    <cellStyle name="20% - 强调文字颜色 4 2 2 2 5" xfId="2751"/>
    <cellStyle name="20% - 强调文字颜色 4 2 2 2 5 2" xfId="3158"/>
    <cellStyle name="20% - 强调文字颜色 4 2 2 2 6" xfId="3153"/>
    <cellStyle name="20% - 强调文字颜色 4 2 2 3" xfId="270"/>
    <cellStyle name="20% - 强调文字颜色 4 2 2 3 2" xfId="917"/>
    <cellStyle name="20% - 强调文字颜色 4 2 2 3 2 2" xfId="3160"/>
    <cellStyle name="20% - 强调文字颜色 4 2 2 3 3" xfId="3159"/>
    <cellStyle name="20% - 强调文字颜色 4 2 2 4" xfId="735"/>
    <cellStyle name="20% - 强调文字颜色 4 2 2 4 2" xfId="2669"/>
    <cellStyle name="20% - 强调文字颜色 4 2 2 4 3" xfId="2463"/>
    <cellStyle name="20% - 强调文字颜色 4 2 2 5" xfId="268"/>
    <cellStyle name="20% - 强调文字颜色 4 2 2 5 2" xfId="915"/>
    <cellStyle name="20% - 强调文字颜色 4 2 2 6" xfId="2285"/>
    <cellStyle name="20% - 强调文字颜色 4 2 2 6 2" xfId="2539"/>
    <cellStyle name="20% - 强调文字颜色 4 2 2 7" xfId="2216"/>
    <cellStyle name="20% - 强调文字颜色 4 2 3" xfId="271"/>
    <cellStyle name="20% - 强调文字颜色 4 2 3 2" xfId="918"/>
    <cellStyle name="20% - 强调文字颜色 4 2 3 2 2" xfId="3162"/>
    <cellStyle name="20% - 强调文字颜色 4 2 3 3" xfId="2752"/>
    <cellStyle name="20% - 强调文字颜色 4 2 3 3 2" xfId="2753"/>
    <cellStyle name="20% - 强调文字颜色 4 2 3 3 2 2" xfId="3164"/>
    <cellStyle name="20% - 强调文字颜色 4 2 3 3 3" xfId="3163"/>
    <cellStyle name="20% - 强调文字颜色 4 2 3 4" xfId="2754"/>
    <cellStyle name="20% - 强调文字颜色 4 2 3 4 2" xfId="3165"/>
    <cellStyle name="20% - 强调文字颜色 4 2 3 5" xfId="2755"/>
    <cellStyle name="20% - 强调文字颜色 4 2 3 5 2" xfId="3166"/>
    <cellStyle name="20% - 强调文字颜色 4 2 3 6" xfId="3161"/>
    <cellStyle name="20% - 强调文字颜色 4 2 3 6 2" xfId="3722"/>
    <cellStyle name="20% - 强调文字颜色 4 2 3 7" xfId="3059"/>
    <cellStyle name="20% - 强调文字颜色 4 2 3 8" xfId="3824"/>
    <cellStyle name="20% - 强调文字颜色 4 2 3 9" xfId="3882"/>
    <cellStyle name="20% - 强调文字颜色 4 2 4" xfId="656"/>
    <cellStyle name="20% - 强调文字颜色 4 2 4 2" xfId="2756"/>
    <cellStyle name="20% - 强调文字颜色 4 2 4 2 2" xfId="3168"/>
    <cellStyle name="20% - 强调文字颜色 4 2 4 3" xfId="3167"/>
    <cellStyle name="20% - 强调文字颜色 4 2 5" xfId="267"/>
    <cellStyle name="20% - 强调文字颜色 4 2 5 2" xfId="914"/>
    <cellStyle name="20% - 强调文字颜色 4 2 5 3" xfId="2398"/>
    <cellStyle name="20% - 强调文字颜色 4 2 6" xfId="2284"/>
    <cellStyle name="20% - 强调文字颜色 4 2 6 2" xfId="2538"/>
    <cellStyle name="20% - 强调文字颜色 4 2 7" xfId="3855"/>
    <cellStyle name="20% - 强调文字颜色 4 2 8" xfId="2141"/>
    <cellStyle name="20% - 强调文字颜色 5 2" xfId="15"/>
    <cellStyle name="20% - 强调文字颜色 5 2 2" xfId="101"/>
    <cellStyle name="20% - 强调文字颜色 5 2 2 2" xfId="274"/>
    <cellStyle name="20% - 强调文字颜色 5 2 2 2 2" xfId="921"/>
    <cellStyle name="20% - 强调文字颜色 5 2 2 2 2 2" xfId="3170"/>
    <cellStyle name="20% - 强调文字颜色 5 2 2 2 3" xfId="2757"/>
    <cellStyle name="20% - 强调文字颜色 5 2 2 2 3 2" xfId="2758"/>
    <cellStyle name="20% - 强调文字颜色 5 2 2 2 3 2 2" xfId="3172"/>
    <cellStyle name="20% - 强调文字颜色 5 2 2 2 3 3" xfId="3171"/>
    <cellStyle name="20% - 强调文字颜色 5 2 2 2 4" xfId="2759"/>
    <cellStyle name="20% - 强调文字颜色 5 2 2 2 4 2" xfId="3173"/>
    <cellStyle name="20% - 强调文字颜色 5 2 2 2 5" xfId="2760"/>
    <cellStyle name="20% - 强调文字颜色 5 2 2 2 5 2" xfId="3174"/>
    <cellStyle name="20% - 强调文字颜色 5 2 2 2 6" xfId="3169"/>
    <cellStyle name="20% - 强调文字颜色 5 2 2 3" xfId="275"/>
    <cellStyle name="20% - 强调文字颜色 5 2 2 3 2" xfId="922"/>
    <cellStyle name="20% - 强调文字颜色 5 2 2 3 2 2" xfId="3176"/>
    <cellStyle name="20% - 强调文字颜色 5 2 2 3 3" xfId="3175"/>
    <cellStyle name="20% - 强调文字颜色 5 2 2 4" xfId="736"/>
    <cellStyle name="20% - 强调文字颜色 5 2 2 4 2" xfId="2670"/>
    <cellStyle name="20% - 强调文字颜色 5 2 2 4 3" xfId="2464"/>
    <cellStyle name="20% - 强调文字颜色 5 2 2 5" xfId="273"/>
    <cellStyle name="20% - 强调文字颜色 5 2 2 5 2" xfId="920"/>
    <cellStyle name="20% - 强调文字颜色 5 2 2 6" xfId="2287"/>
    <cellStyle name="20% - 强调文字颜色 5 2 2 6 2" xfId="2541"/>
    <cellStyle name="20% - 强调文字颜色 5 2 2 7" xfId="2217"/>
    <cellStyle name="20% - 强调文字颜色 5 2 3" xfId="276"/>
    <cellStyle name="20% - 强调文字颜色 5 2 3 2" xfId="923"/>
    <cellStyle name="20% - 强调文字颜色 5 2 3 2 2" xfId="3178"/>
    <cellStyle name="20% - 强调文字颜色 5 2 3 3" xfId="2761"/>
    <cellStyle name="20% - 强调文字颜色 5 2 3 3 2" xfId="2762"/>
    <cellStyle name="20% - 强调文字颜色 5 2 3 3 2 2" xfId="3180"/>
    <cellStyle name="20% - 强调文字颜色 5 2 3 3 3" xfId="3179"/>
    <cellStyle name="20% - 强调文字颜色 5 2 3 4" xfId="2763"/>
    <cellStyle name="20% - 强调文字颜色 5 2 3 4 2" xfId="3181"/>
    <cellStyle name="20% - 强调文字颜色 5 2 3 5" xfId="2764"/>
    <cellStyle name="20% - 强调文字颜色 5 2 3 5 2" xfId="3182"/>
    <cellStyle name="20% - 强调文字颜色 5 2 3 6" xfId="3177"/>
    <cellStyle name="20% - 强调文字颜色 5 2 3 6 2" xfId="3723"/>
    <cellStyle name="20% - 强调文字颜色 5 2 3 7" xfId="3060"/>
    <cellStyle name="20% - 强调文字颜色 5 2 3 8" xfId="3776"/>
    <cellStyle name="20% - 强调文字颜色 5 2 3 9" xfId="3893"/>
    <cellStyle name="20% - 强调文字颜色 5 2 4" xfId="657"/>
    <cellStyle name="20% - 强调文字颜色 5 2 4 2" xfId="2765"/>
    <cellStyle name="20% - 强调文字颜色 5 2 4 2 2" xfId="3184"/>
    <cellStyle name="20% - 强调文字颜色 5 2 4 3" xfId="3183"/>
    <cellStyle name="20% - 强调文字颜色 5 2 5" xfId="272"/>
    <cellStyle name="20% - 强调文字颜色 5 2 5 2" xfId="919"/>
    <cellStyle name="20% - 强调文字颜色 5 2 5 3" xfId="2399"/>
    <cellStyle name="20% - 强调文字颜色 5 2 6" xfId="2286"/>
    <cellStyle name="20% - 强调文字颜色 5 2 6 2" xfId="2540"/>
    <cellStyle name="20% - 强调文字颜色 5 2 7" xfId="3816"/>
    <cellStyle name="20% - 强调文字颜色 5 2 8" xfId="2142"/>
    <cellStyle name="20% - 强调文字颜色 6 2" xfId="16"/>
    <cellStyle name="20% - 强调文字颜色 6 2 2" xfId="102"/>
    <cellStyle name="20% - 强调文字颜色 6 2 2 2" xfId="279"/>
    <cellStyle name="20% - 强调文字颜色 6 2 2 2 2" xfId="926"/>
    <cellStyle name="20% - 强调文字颜色 6 2 2 2 2 2" xfId="3186"/>
    <cellStyle name="20% - 强调文字颜色 6 2 2 2 3" xfId="2766"/>
    <cellStyle name="20% - 强调文字颜色 6 2 2 2 3 2" xfId="2767"/>
    <cellStyle name="20% - 强调文字颜色 6 2 2 2 3 2 2" xfId="3188"/>
    <cellStyle name="20% - 强调文字颜色 6 2 2 2 3 3" xfId="3187"/>
    <cellStyle name="20% - 强调文字颜色 6 2 2 2 4" xfId="2768"/>
    <cellStyle name="20% - 强调文字颜色 6 2 2 2 4 2" xfId="3189"/>
    <cellStyle name="20% - 强调文字颜色 6 2 2 2 5" xfId="2769"/>
    <cellStyle name="20% - 强调文字颜色 6 2 2 2 5 2" xfId="3190"/>
    <cellStyle name="20% - 强调文字颜色 6 2 2 2 6" xfId="3185"/>
    <cellStyle name="20% - 强调文字颜色 6 2 2 3" xfId="280"/>
    <cellStyle name="20% - 强调文字颜色 6 2 2 3 2" xfId="927"/>
    <cellStyle name="20% - 强调文字颜色 6 2 2 3 2 2" xfId="3192"/>
    <cellStyle name="20% - 强调文字颜色 6 2 2 3 3" xfId="3191"/>
    <cellStyle name="20% - 强调文字颜色 6 2 2 4" xfId="737"/>
    <cellStyle name="20% - 强调文字颜色 6 2 2 4 2" xfId="2671"/>
    <cellStyle name="20% - 强调文字颜色 6 2 2 4 3" xfId="2465"/>
    <cellStyle name="20% - 强调文字颜色 6 2 2 5" xfId="278"/>
    <cellStyle name="20% - 强调文字颜色 6 2 2 5 2" xfId="925"/>
    <cellStyle name="20% - 强调文字颜色 6 2 2 6" xfId="2289"/>
    <cellStyle name="20% - 强调文字颜色 6 2 2 6 2" xfId="2543"/>
    <cellStyle name="20% - 强调文字颜色 6 2 2 7" xfId="2218"/>
    <cellStyle name="20% - 强调文字颜色 6 2 3" xfId="281"/>
    <cellStyle name="20% - 强调文字颜色 6 2 3 2" xfId="928"/>
    <cellStyle name="20% - 强调文字颜色 6 2 3 2 2" xfId="3194"/>
    <cellStyle name="20% - 强调文字颜色 6 2 3 3" xfId="2770"/>
    <cellStyle name="20% - 强调文字颜色 6 2 3 3 2" xfId="2771"/>
    <cellStyle name="20% - 强调文字颜色 6 2 3 3 2 2" xfId="3196"/>
    <cellStyle name="20% - 强调文字颜色 6 2 3 3 3" xfId="3195"/>
    <cellStyle name="20% - 强调文字颜色 6 2 3 4" xfId="2772"/>
    <cellStyle name="20% - 强调文字颜色 6 2 3 4 2" xfId="3197"/>
    <cellStyle name="20% - 强调文字颜色 6 2 3 5" xfId="2773"/>
    <cellStyle name="20% - 强调文字颜色 6 2 3 5 2" xfId="3198"/>
    <cellStyle name="20% - 强调文字颜色 6 2 3 6" xfId="3193"/>
    <cellStyle name="20% - 强调文字颜色 6 2 3 6 2" xfId="3724"/>
    <cellStyle name="20% - 强调文字颜色 6 2 3 7" xfId="3061"/>
    <cellStyle name="20% - 强调文字颜色 6 2 3 8" xfId="3780"/>
    <cellStyle name="20% - 强调文字颜色 6 2 3 9" xfId="3821"/>
    <cellStyle name="20% - 强调文字颜色 6 2 4" xfId="658"/>
    <cellStyle name="20% - 强调文字颜色 6 2 4 2" xfId="2774"/>
    <cellStyle name="20% - 强调文字颜色 6 2 4 2 2" xfId="3200"/>
    <cellStyle name="20% - 强调文字颜色 6 2 4 3" xfId="3199"/>
    <cellStyle name="20% - 强调文字颜色 6 2 5" xfId="277"/>
    <cellStyle name="20% - 强调文字颜色 6 2 5 2" xfId="924"/>
    <cellStyle name="20% - 强调文字颜色 6 2 5 3" xfId="2400"/>
    <cellStyle name="20% - 强调文字颜色 6 2 6" xfId="2288"/>
    <cellStyle name="20% - 强调文字颜色 6 2 6 2" xfId="2542"/>
    <cellStyle name="20% - 强调文字颜色 6 2 7" xfId="3834"/>
    <cellStyle name="20% - 强调文字颜色 6 2 8" xfId="2143"/>
    <cellStyle name="40% - Accent1" xfId="17"/>
    <cellStyle name="40% - Accent1 2" xfId="103"/>
    <cellStyle name="40% - Accent1 2 2" xfId="284"/>
    <cellStyle name="40% - Accent1 2 2 2" xfId="931"/>
    <cellStyle name="40% - Accent1 2 3" xfId="285"/>
    <cellStyle name="40% - Accent1 2 3 2" xfId="932"/>
    <cellStyle name="40% - Accent1 2 4" xfId="738"/>
    <cellStyle name="40% - Accent1 2 4 2" xfId="2672"/>
    <cellStyle name="40% - Accent1 2 4 3" xfId="2466"/>
    <cellStyle name="40% - Accent1 2 5" xfId="283"/>
    <cellStyle name="40% - Accent1 2 5 2" xfId="930"/>
    <cellStyle name="40% - Accent1 2 6" xfId="2291"/>
    <cellStyle name="40% - Accent1 2 6 2" xfId="2545"/>
    <cellStyle name="40% - Accent1 2 7" xfId="2219"/>
    <cellStyle name="40% - Accent1 3" xfId="286"/>
    <cellStyle name="40% - Accent1 3 2" xfId="933"/>
    <cellStyle name="40% - Accent1 3 3" xfId="3804"/>
    <cellStyle name="40% - Accent1 4" xfId="659"/>
    <cellStyle name="40% - Accent1 5" xfId="282"/>
    <cellStyle name="40% - Accent1 5 2" xfId="929"/>
    <cellStyle name="40% - Accent1 5 3" xfId="2401"/>
    <cellStyle name="40% - Accent1 6" xfId="2290"/>
    <cellStyle name="40% - Accent1 6 2" xfId="2544"/>
    <cellStyle name="40% - Accent1 7" xfId="2144"/>
    <cellStyle name="40% - Accent2" xfId="18"/>
    <cellStyle name="40% - Accent2 2" xfId="104"/>
    <cellStyle name="40% - Accent2 2 2" xfId="289"/>
    <cellStyle name="40% - Accent2 2 2 2" xfId="936"/>
    <cellStyle name="40% - Accent2 2 3" xfId="290"/>
    <cellStyle name="40% - Accent2 2 3 2" xfId="937"/>
    <cellStyle name="40% - Accent2 2 4" xfId="739"/>
    <cellStyle name="40% - Accent2 2 4 2" xfId="2673"/>
    <cellStyle name="40% - Accent2 2 4 3" xfId="2467"/>
    <cellStyle name="40% - Accent2 2 5" xfId="288"/>
    <cellStyle name="40% - Accent2 2 5 2" xfId="935"/>
    <cellStyle name="40% - Accent2 2 6" xfId="2293"/>
    <cellStyle name="40% - Accent2 2 6 2" xfId="2547"/>
    <cellStyle name="40% - Accent2 2 7" xfId="2220"/>
    <cellStyle name="40% - Accent2 3" xfId="291"/>
    <cellStyle name="40% - Accent2 3 2" xfId="938"/>
    <cellStyle name="40% - Accent2 3 3" xfId="3844"/>
    <cellStyle name="40% - Accent2 4" xfId="660"/>
    <cellStyle name="40% - Accent2 5" xfId="287"/>
    <cellStyle name="40% - Accent2 5 2" xfId="934"/>
    <cellStyle name="40% - Accent2 5 3" xfId="2402"/>
    <cellStyle name="40% - Accent2 6" xfId="2292"/>
    <cellStyle name="40% - Accent2 6 2" xfId="2546"/>
    <cellStyle name="40% - Accent2 7" xfId="2145"/>
    <cellStyle name="40% - Accent3" xfId="19"/>
    <cellStyle name="40% - Accent3 2" xfId="105"/>
    <cellStyle name="40% - Accent3 2 2" xfId="294"/>
    <cellStyle name="40% - Accent3 2 2 2" xfId="941"/>
    <cellStyle name="40% - Accent3 2 3" xfId="295"/>
    <cellStyle name="40% - Accent3 2 3 2" xfId="942"/>
    <cellStyle name="40% - Accent3 2 4" xfId="740"/>
    <cellStyle name="40% - Accent3 2 4 2" xfId="2674"/>
    <cellStyle name="40% - Accent3 2 4 3" xfId="2462"/>
    <cellStyle name="40% - Accent3 2 5" xfId="293"/>
    <cellStyle name="40% - Accent3 2 5 2" xfId="940"/>
    <cellStyle name="40% - Accent3 2 6" xfId="2295"/>
    <cellStyle name="40% - Accent3 2 6 2" xfId="2549"/>
    <cellStyle name="40% - Accent3 2 7" xfId="2214"/>
    <cellStyle name="40% - Accent3 3" xfId="296"/>
    <cellStyle name="40% - Accent3 3 2" xfId="943"/>
    <cellStyle name="40% - Accent3 3 3" xfId="3886"/>
    <cellStyle name="40% - Accent3 4" xfId="661"/>
    <cellStyle name="40% - Accent3 5" xfId="292"/>
    <cellStyle name="40% - Accent3 5 2" xfId="939"/>
    <cellStyle name="40% - Accent3 5 3" xfId="2397"/>
    <cellStyle name="40% - Accent3 6" xfId="2294"/>
    <cellStyle name="40% - Accent3 6 2" xfId="2548"/>
    <cellStyle name="40% - Accent3 7" xfId="2140"/>
    <cellStyle name="40% - Accent4" xfId="20"/>
    <cellStyle name="40% - Accent4 2" xfId="106"/>
    <cellStyle name="40% - Accent4 2 2" xfId="299"/>
    <cellStyle name="40% - Accent4 2 2 2" xfId="946"/>
    <cellStyle name="40% - Accent4 2 3" xfId="300"/>
    <cellStyle name="40% - Accent4 2 3 2" xfId="947"/>
    <cellStyle name="40% - Accent4 2 4" xfId="741"/>
    <cellStyle name="40% - Accent4 2 4 2" xfId="2675"/>
    <cellStyle name="40% - Accent4 2 4 3" xfId="2468"/>
    <cellStyle name="40% - Accent4 2 5" xfId="298"/>
    <cellStyle name="40% - Accent4 2 5 2" xfId="945"/>
    <cellStyle name="40% - Accent4 2 6" xfId="2297"/>
    <cellStyle name="40% - Accent4 2 6 2" xfId="2551"/>
    <cellStyle name="40% - Accent4 2 7" xfId="2221"/>
    <cellStyle name="40% - Accent4 3" xfId="301"/>
    <cellStyle name="40% - Accent4 3 2" xfId="948"/>
    <cellStyle name="40% - Accent4 3 3" xfId="3851"/>
    <cellStyle name="40% - Accent4 4" xfId="662"/>
    <cellStyle name="40% - Accent4 5" xfId="297"/>
    <cellStyle name="40% - Accent4 5 2" xfId="944"/>
    <cellStyle name="40% - Accent4 5 3" xfId="2403"/>
    <cellStyle name="40% - Accent4 6" xfId="2296"/>
    <cellStyle name="40% - Accent4 6 2" xfId="2550"/>
    <cellStyle name="40% - Accent4 7" xfId="2146"/>
    <cellStyle name="40% - Accent5" xfId="21"/>
    <cellStyle name="40% - Accent5 2" xfId="107"/>
    <cellStyle name="40% - Accent5 2 2" xfId="304"/>
    <cellStyle name="40% - Accent5 2 2 2" xfId="951"/>
    <cellStyle name="40% - Accent5 2 3" xfId="305"/>
    <cellStyle name="40% - Accent5 2 3 2" xfId="952"/>
    <cellStyle name="40% - Accent5 2 4" xfId="742"/>
    <cellStyle name="40% - Accent5 2 4 2" xfId="2676"/>
    <cellStyle name="40% - Accent5 2 4 3" xfId="2469"/>
    <cellStyle name="40% - Accent5 2 5" xfId="303"/>
    <cellStyle name="40% - Accent5 2 5 2" xfId="950"/>
    <cellStyle name="40% - Accent5 2 6" xfId="2299"/>
    <cellStyle name="40% - Accent5 2 6 2" xfId="2553"/>
    <cellStyle name="40% - Accent5 2 7" xfId="2222"/>
    <cellStyle name="40% - Accent5 3" xfId="306"/>
    <cellStyle name="40% - Accent5 3 2" xfId="953"/>
    <cellStyle name="40% - Accent5 3 3" xfId="3797"/>
    <cellStyle name="40% - Accent5 4" xfId="663"/>
    <cellStyle name="40% - Accent5 5" xfId="302"/>
    <cellStyle name="40% - Accent5 5 2" xfId="949"/>
    <cellStyle name="40% - Accent5 5 3" xfId="2404"/>
    <cellStyle name="40% - Accent5 6" xfId="2298"/>
    <cellStyle name="40% - Accent5 6 2" xfId="2552"/>
    <cellStyle name="40% - Accent5 7" xfId="2147"/>
    <cellStyle name="40% - Accent6" xfId="22"/>
    <cellStyle name="40% - Accent6 2" xfId="108"/>
    <cellStyle name="40% - Accent6 2 2" xfId="309"/>
    <cellStyle name="40% - Accent6 2 2 2" xfId="956"/>
    <cellStyle name="40% - Accent6 2 3" xfId="310"/>
    <cellStyle name="40% - Accent6 2 3 2" xfId="957"/>
    <cellStyle name="40% - Accent6 2 4" xfId="743"/>
    <cellStyle name="40% - Accent6 2 4 2" xfId="2677"/>
    <cellStyle name="40% - Accent6 2 4 3" xfId="2470"/>
    <cellStyle name="40% - Accent6 2 5" xfId="308"/>
    <cellStyle name="40% - Accent6 2 5 2" xfId="955"/>
    <cellStyle name="40% - Accent6 2 6" xfId="2301"/>
    <cellStyle name="40% - Accent6 2 6 2" xfId="2555"/>
    <cellStyle name="40% - Accent6 2 7" xfId="2223"/>
    <cellStyle name="40% - Accent6 3" xfId="311"/>
    <cellStyle name="40% - Accent6 3 2" xfId="958"/>
    <cellStyle name="40% - Accent6 3 3" xfId="2194"/>
    <cellStyle name="40% - Accent6 4" xfId="664"/>
    <cellStyle name="40% - Accent6 5" xfId="307"/>
    <cellStyle name="40% - Accent6 5 2" xfId="954"/>
    <cellStyle name="40% - Accent6 5 3" xfId="2405"/>
    <cellStyle name="40% - Accent6 6" xfId="2300"/>
    <cellStyle name="40% - Accent6 6 2" xfId="2554"/>
    <cellStyle name="40% - Accent6 7" xfId="2148"/>
    <cellStyle name="40% - 强调文字颜色 1 2" xfId="23"/>
    <cellStyle name="40% - 强调文字颜色 1 2 2" xfId="109"/>
    <cellStyle name="40% - 强调文字颜色 1 2 2 2" xfId="314"/>
    <cellStyle name="40% - 强调文字颜色 1 2 2 2 2" xfId="961"/>
    <cellStyle name="40% - 强调文字颜色 1 2 2 2 2 2" xfId="3202"/>
    <cellStyle name="40% - 强调文字颜色 1 2 2 2 3" xfId="2775"/>
    <cellStyle name="40% - 强调文字颜色 1 2 2 2 3 2" xfId="2776"/>
    <cellStyle name="40% - 强调文字颜色 1 2 2 2 3 2 2" xfId="3204"/>
    <cellStyle name="40% - 强调文字颜色 1 2 2 2 3 3" xfId="3203"/>
    <cellStyle name="40% - 强调文字颜色 1 2 2 2 4" xfId="2777"/>
    <cellStyle name="40% - 强调文字颜色 1 2 2 2 4 2" xfId="3205"/>
    <cellStyle name="40% - 强调文字颜色 1 2 2 2 5" xfId="2778"/>
    <cellStyle name="40% - 强调文字颜色 1 2 2 2 5 2" xfId="3206"/>
    <cellStyle name="40% - 强调文字颜色 1 2 2 2 6" xfId="3201"/>
    <cellStyle name="40% - 强调文字颜色 1 2 2 3" xfId="315"/>
    <cellStyle name="40% - 强调文字颜色 1 2 2 3 2" xfId="962"/>
    <cellStyle name="40% - 强调文字颜色 1 2 2 3 2 2" xfId="3208"/>
    <cellStyle name="40% - 强调文字颜色 1 2 2 3 3" xfId="3207"/>
    <cellStyle name="40% - 强调文字颜色 1 2 2 4" xfId="744"/>
    <cellStyle name="40% - 强调文字颜色 1 2 2 4 2" xfId="2678"/>
    <cellStyle name="40% - 强调文字颜色 1 2 2 4 3" xfId="2471"/>
    <cellStyle name="40% - 强调文字颜色 1 2 2 5" xfId="313"/>
    <cellStyle name="40% - 强调文字颜色 1 2 2 5 2" xfId="960"/>
    <cellStyle name="40% - 强调文字颜色 1 2 2 6" xfId="2303"/>
    <cellStyle name="40% - 强调文字颜色 1 2 2 6 2" xfId="2557"/>
    <cellStyle name="40% - 强调文字颜色 1 2 2 7" xfId="2224"/>
    <cellStyle name="40% - 强调文字颜色 1 2 3" xfId="316"/>
    <cellStyle name="40% - 强调文字颜色 1 2 3 2" xfId="963"/>
    <cellStyle name="40% - 强调文字颜色 1 2 3 2 2" xfId="3210"/>
    <cellStyle name="40% - 强调文字颜色 1 2 3 3" xfId="2779"/>
    <cellStyle name="40% - 强调文字颜色 1 2 3 3 2" xfId="2780"/>
    <cellStyle name="40% - 强调文字颜色 1 2 3 3 2 2" xfId="3212"/>
    <cellStyle name="40% - 强调文字颜色 1 2 3 3 3" xfId="3211"/>
    <cellStyle name="40% - 强调文字颜色 1 2 3 4" xfId="2781"/>
    <cellStyle name="40% - 强调文字颜色 1 2 3 4 2" xfId="3213"/>
    <cellStyle name="40% - 强调文字颜色 1 2 3 5" xfId="2782"/>
    <cellStyle name="40% - 强调文字颜色 1 2 3 5 2" xfId="3214"/>
    <cellStyle name="40% - 强调文字颜色 1 2 3 6" xfId="3209"/>
    <cellStyle name="40% - 强调文字颜色 1 2 3 6 2" xfId="3725"/>
    <cellStyle name="40% - 强调文字颜色 1 2 3 7" xfId="3062"/>
    <cellStyle name="40% - 强调文字颜色 1 2 3 8" xfId="3870"/>
    <cellStyle name="40% - 强调文字颜色 1 2 3 9" xfId="3808"/>
    <cellStyle name="40% - 强调文字颜色 1 2 4" xfId="665"/>
    <cellStyle name="40% - 强调文字颜色 1 2 4 2" xfId="2783"/>
    <cellStyle name="40% - 强调文字颜色 1 2 4 2 2" xfId="3216"/>
    <cellStyle name="40% - 强调文字颜色 1 2 4 3" xfId="3215"/>
    <cellStyle name="40% - 强调文字颜色 1 2 5" xfId="312"/>
    <cellStyle name="40% - 强调文字颜色 1 2 5 2" xfId="959"/>
    <cellStyle name="40% - 强调文字颜色 1 2 5 3" xfId="2406"/>
    <cellStyle name="40% - 强调文字颜色 1 2 6" xfId="2302"/>
    <cellStyle name="40% - 强调文字颜色 1 2 6 2" xfId="2556"/>
    <cellStyle name="40% - 强调文字颜色 1 2 7" xfId="3794"/>
    <cellStyle name="40% - 强调文字颜色 1 2 8" xfId="2149"/>
    <cellStyle name="40% - 强调文字颜色 2 2" xfId="24"/>
    <cellStyle name="40% - 强调文字颜色 2 2 2" xfId="110"/>
    <cellStyle name="40% - 强调文字颜色 2 2 2 2" xfId="319"/>
    <cellStyle name="40% - 强调文字颜色 2 2 2 2 2" xfId="966"/>
    <cellStyle name="40% - 强调文字颜色 2 2 2 2 2 2" xfId="3218"/>
    <cellStyle name="40% - 强调文字颜色 2 2 2 2 3" xfId="2784"/>
    <cellStyle name="40% - 强调文字颜色 2 2 2 2 3 2" xfId="2785"/>
    <cellStyle name="40% - 强调文字颜色 2 2 2 2 3 2 2" xfId="3220"/>
    <cellStyle name="40% - 强调文字颜色 2 2 2 2 3 3" xfId="3219"/>
    <cellStyle name="40% - 强调文字颜色 2 2 2 2 4" xfId="2786"/>
    <cellStyle name="40% - 强调文字颜色 2 2 2 2 4 2" xfId="3221"/>
    <cellStyle name="40% - 强调文字颜色 2 2 2 2 5" xfId="2787"/>
    <cellStyle name="40% - 强调文字颜色 2 2 2 2 5 2" xfId="3222"/>
    <cellStyle name="40% - 强调文字颜色 2 2 2 2 6" xfId="3217"/>
    <cellStyle name="40% - 强调文字颜色 2 2 2 3" xfId="320"/>
    <cellStyle name="40% - 强调文字颜色 2 2 2 3 2" xfId="967"/>
    <cellStyle name="40% - 强调文字颜色 2 2 2 3 2 2" xfId="3224"/>
    <cellStyle name="40% - 强调文字颜色 2 2 2 3 3" xfId="3223"/>
    <cellStyle name="40% - 强调文字颜色 2 2 2 4" xfId="745"/>
    <cellStyle name="40% - 强调文字颜色 2 2 2 4 2" xfId="2679"/>
    <cellStyle name="40% - 强调文字颜色 2 2 2 4 3" xfId="2472"/>
    <cellStyle name="40% - 强调文字颜色 2 2 2 5" xfId="318"/>
    <cellStyle name="40% - 强调文字颜色 2 2 2 5 2" xfId="965"/>
    <cellStyle name="40% - 强调文字颜色 2 2 2 6" xfId="2305"/>
    <cellStyle name="40% - 强调文字颜色 2 2 2 6 2" xfId="2559"/>
    <cellStyle name="40% - 强调文字颜色 2 2 2 7" xfId="2225"/>
    <cellStyle name="40% - 强调文字颜色 2 2 3" xfId="321"/>
    <cellStyle name="40% - 强调文字颜色 2 2 3 2" xfId="968"/>
    <cellStyle name="40% - 强调文字颜色 2 2 3 2 2" xfId="3226"/>
    <cellStyle name="40% - 强调文字颜色 2 2 3 3" xfId="2788"/>
    <cellStyle name="40% - 强调文字颜色 2 2 3 3 2" xfId="2789"/>
    <cellStyle name="40% - 强调文字颜色 2 2 3 3 2 2" xfId="3228"/>
    <cellStyle name="40% - 强调文字颜色 2 2 3 3 3" xfId="3227"/>
    <cellStyle name="40% - 强调文字颜色 2 2 3 4" xfId="2790"/>
    <cellStyle name="40% - 强调文字颜色 2 2 3 4 2" xfId="3229"/>
    <cellStyle name="40% - 强调文字颜色 2 2 3 5" xfId="2791"/>
    <cellStyle name="40% - 强调文字颜色 2 2 3 5 2" xfId="3230"/>
    <cellStyle name="40% - 强调文字颜色 2 2 3 6" xfId="3225"/>
    <cellStyle name="40% - 强调文字颜色 2 2 3 6 2" xfId="3726"/>
    <cellStyle name="40% - 强调文字颜色 2 2 3 7" xfId="3063"/>
    <cellStyle name="40% - 强调文字颜色 2 2 3 8" xfId="3859"/>
    <cellStyle name="40% - 强调文字颜色 2 2 3 9" xfId="3823"/>
    <cellStyle name="40% - 强调文字颜色 2 2 4" xfId="666"/>
    <cellStyle name="40% - 强调文字颜色 2 2 4 2" xfId="2792"/>
    <cellStyle name="40% - 强调文字颜色 2 2 4 2 2" xfId="3232"/>
    <cellStyle name="40% - 强调文字颜色 2 2 4 3" xfId="3231"/>
    <cellStyle name="40% - 强调文字颜色 2 2 5" xfId="317"/>
    <cellStyle name="40% - 强调文字颜色 2 2 5 2" xfId="964"/>
    <cellStyle name="40% - 强调文字颜色 2 2 5 3" xfId="2407"/>
    <cellStyle name="40% - 强调文字颜色 2 2 6" xfId="2304"/>
    <cellStyle name="40% - 强调文字颜色 2 2 6 2" xfId="2558"/>
    <cellStyle name="40% - 强调文字颜色 2 2 7" xfId="3782"/>
    <cellStyle name="40% - 强调文字颜色 2 2 8" xfId="2150"/>
    <cellStyle name="40% - 强调文字颜色 3 2" xfId="25"/>
    <cellStyle name="40% - 强调文字颜色 3 2 2" xfId="111"/>
    <cellStyle name="40% - 强调文字颜色 3 2 2 2" xfId="324"/>
    <cellStyle name="40% - 强调文字颜色 3 2 2 2 2" xfId="971"/>
    <cellStyle name="40% - 强调文字颜色 3 2 2 2 2 2" xfId="3234"/>
    <cellStyle name="40% - 强调文字颜色 3 2 2 2 3" xfId="2793"/>
    <cellStyle name="40% - 强调文字颜色 3 2 2 2 3 2" xfId="2794"/>
    <cellStyle name="40% - 强调文字颜色 3 2 2 2 3 2 2" xfId="3236"/>
    <cellStyle name="40% - 强调文字颜色 3 2 2 2 3 3" xfId="3235"/>
    <cellStyle name="40% - 强调文字颜色 3 2 2 2 4" xfId="2795"/>
    <cellStyle name="40% - 强调文字颜色 3 2 2 2 4 2" xfId="3237"/>
    <cellStyle name="40% - 强调文字颜色 3 2 2 2 5" xfId="2796"/>
    <cellStyle name="40% - 强调文字颜色 3 2 2 2 5 2" xfId="3238"/>
    <cellStyle name="40% - 强调文字颜色 3 2 2 2 6" xfId="3233"/>
    <cellStyle name="40% - 强调文字颜色 3 2 2 3" xfId="325"/>
    <cellStyle name="40% - 强调文字颜色 3 2 2 3 2" xfId="972"/>
    <cellStyle name="40% - 强调文字颜色 3 2 2 3 2 2" xfId="3240"/>
    <cellStyle name="40% - 强调文字颜色 3 2 2 3 3" xfId="3239"/>
    <cellStyle name="40% - 强调文字颜色 3 2 2 4" xfId="746"/>
    <cellStyle name="40% - 强调文字颜色 3 2 2 4 2" xfId="2680"/>
    <cellStyle name="40% - 强调文字颜色 3 2 2 4 3" xfId="2473"/>
    <cellStyle name="40% - 强调文字颜色 3 2 2 5" xfId="323"/>
    <cellStyle name="40% - 强调文字颜色 3 2 2 5 2" xfId="970"/>
    <cellStyle name="40% - 强调文字颜色 3 2 2 6" xfId="2307"/>
    <cellStyle name="40% - 强调文字颜色 3 2 2 6 2" xfId="2561"/>
    <cellStyle name="40% - 强调文字颜色 3 2 2 7" xfId="2226"/>
    <cellStyle name="40% - 强调文字颜色 3 2 3" xfId="326"/>
    <cellStyle name="40% - 强调文字颜色 3 2 3 2" xfId="973"/>
    <cellStyle name="40% - 强调文字颜色 3 2 3 2 2" xfId="3242"/>
    <cellStyle name="40% - 强调文字颜色 3 2 3 3" xfId="2797"/>
    <cellStyle name="40% - 强调文字颜色 3 2 3 3 2" xfId="2798"/>
    <cellStyle name="40% - 强调文字颜色 3 2 3 3 2 2" xfId="3244"/>
    <cellStyle name="40% - 强调文字颜色 3 2 3 3 3" xfId="3243"/>
    <cellStyle name="40% - 强调文字颜色 3 2 3 4" xfId="2799"/>
    <cellStyle name="40% - 强调文字颜色 3 2 3 4 2" xfId="3245"/>
    <cellStyle name="40% - 强调文字颜色 3 2 3 5" xfId="2800"/>
    <cellStyle name="40% - 强调文字颜色 3 2 3 5 2" xfId="3246"/>
    <cellStyle name="40% - 强调文字颜色 3 2 3 6" xfId="3241"/>
    <cellStyle name="40% - 强调文字颜色 3 2 3 6 2" xfId="3727"/>
    <cellStyle name="40% - 强调文字颜色 3 2 3 7" xfId="3064"/>
    <cellStyle name="40% - 强调文字颜色 3 2 3 8" xfId="3876"/>
    <cellStyle name="40% - 强调文字颜色 3 2 3 9" xfId="3825"/>
    <cellStyle name="40% - 强调文字颜色 3 2 4" xfId="667"/>
    <cellStyle name="40% - 强调文字颜色 3 2 4 2" xfId="2801"/>
    <cellStyle name="40% - 强调文字颜色 3 2 4 2 2" xfId="3248"/>
    <cellStyle name="40% - 强调文字颜色 3 2 4 3" xfId="3247"/>
    <cellStyle name="40% - 强调文字颜色 3 2 5" xfId="322"/>
    <cellStyle name="40% - 强调文字颜色 3 2 5 2" xfId="969"/>
    <cellStyle name="40% - 强调文字颜色 3 2 5 3" xfId="2408"/>
    <cellStyle name="40% - 强调文字颜色 3 2 6" xfId="2306"/>
    <cellStyle name="40% - 强调文字颜色 3 2 6 2" xfId="2560"/>
    <cellStyle name="40% - 强调文字颜色 3 2 7" xfId="3796"/>
    <cellStyle name="40% - 强调文字颜色 3 2 8" xfId="2151"/>
    <cellStyle name="40% - 强调文字颜色 4 2" xfId="26"/>
    <cellStyle name="40% - 强调文字颜色 4 2 2" xfId="112"/>
    <cellStyle name="40% - 强调文字颜色 4 2 2 2" xfId="329"/>
    <cellStyle name="40% - 强调文字颜色 4 2 2 2 2" xfId="976"/>
    <cellStyle name="40% - 强调文字颜色 4 2 2 2 2 2" xfId="3250"/>
    <cellStyle name="40% - 强调文字颜色 4 2 2 2 3" xfId="2802"/>
    <cellStyle name="40% - 强调文字颜色 4 2 2 2 3 2" xfId="2803"/>
    <cellStyle name="40% - 强调文字颜色 4 2 2 2 3 2 2" xfId="3252"/>
    <cellStyle name="40% - 强调文字颜色 4 2 2 2 3 3" xfId="3251"/>
    <cellStyle name="40% - 强调文字颜色 4 2 2 2 4" xfId="2804"/>
    <cellStyle name="40% - 强调文字颜色 4 2 2 2 4 2" xfId="3253"/>
    <cellStyle name="40% - 强调文字颜色 4 2 2 2 5" xfId="2805"/>
    <cellStyle name="40% - 强调文字颜色 4 2 2 2 5 2" xfId="3254"/>
    <cellStyle name="40% - 强调文字颜色 4 2 2 2 6" xfId="3249"/>
    <cellStyle name="40% - 强调文字颜色 4 2 2 3" xfId="330"/>
    <cellStyle name="40% - 强调文字颜色 4 2 2 3 2" xfId="977"/>
    <cellStyle name="40% - 强调文字颜色 4 2 2 3 2 2" xfId="3256"/>
    <cellStyle name="40% - 强调文字颜色 4 2 2 3 3" xfId="3255"/>
    <cellStyle name="40% - 强调文字颜色 4 2 2 4" xfId="747"/>
    <cellStyle name="40% - 强调文字颜色 4 2 2 4 2" xfId="2681"/>
    <cellStyle name="40% - 强调文字颜色 4 2 2 4 3" xfId="2452"/>
    <cellStyle name="40% - 强调文字颜色 4 2 2 5" xfId="328"/>
    <cellStyle name="40% - 强调文字颜色 4 2 2 5 2" xfId="975"/>
    <cellStyle name="40% - 强调文字颜色 4 2 2 6" xfId="2309"/>
    <cellStyle name="40% - 强调文字颜色 4 2 2 6 2" xfId="2563"/>
    <cellStyle name="40% - 强调文字颜色 4 2 2 7" xfId="2204"/>
    <cellStyle name="40% - 强调文字颜色 4 2 3" xfId="331"/>
    <cellStyle name="40% - 强调文字颜色 4 2 3 2" xfId="978"/>
    <cellStyle name="40% - 强调文字颜色 4 2 3 2 2" xfId="3258"/>
    <cellStyle name="40% - 强调文字颜色 4 2 3 3" xfId="2806"/>
    <cellStyle name="40% - 强调文字颜色 4 2 3 3 2" xfId="2807"/>
    <cellStyle name="40% - 强调文字颜色 4 2 3 3 2 2" xfId="3260"/>
    <cellStyle name="40% - 强调文字颜色 4 2 3 3 3" xfId="3259"/>
    <cellStyle name="40% - 强调文字颜色 4 2 3 4" xfId="2808"/>
    <cellStyle name="40% - 强调文字颜色 4 2 3 4 2" xfId="3261"/>
    <cellStyle name="40% - 强调文字颜色 4 2 3 5" xfId="2809"/>
    <cellStyle name="40% - 强调文字颜色 4 2 3 5 2" xfId="3262"/>
    <cellStyle name="40% - 强调文字颜色 4 2 3 6" xfId="3257"/>
    <cellStyle name="40% - 强调文字颜色 4 2 3 6 2" xfId="3728"/>
    <cellStyle name="40% - 强调文字颜色 4 2 3 7" xfId="3065"/>
    <cellStyle name="40% - 强调文字颜色 4 2 3 8" xfId="3842"/>
    <cellStyle name="40% - 强调文字颜色 4 2 3 9" xfId="3880"/>
    <cellStyle name="40% - 强调文字颜色 4 2 4" xfId="668"/>
    <cellStyle name="40% - 强调文字颜色 4 2 4 2" xfId="2810"/>
    <cellStyle name="40% - 强调文字颜色 4 2 4 2 2" xfId="3264"/>
    <cellStyle name="40% - 强调文字颜色 4 2 4 3" xfId="3263"/>
    <cellStyle name="40% - 强调文字颜色 4 2 5" xfId="327"/>
    <cellStyle name="40% - 强调文字颜色 4 2 5 2" xfId="974"/>
    <cellStyle name="40% - 强调文字颜色 4 2 5 3" xfId="2387"/>
    <cellStyle name="40% - 强调文字颜色 4 2 6" xfId="2308"/>
    <cellStyle name="40% - 强调文字颜色 4 2 6 2" xfId="2562"/>
    <cellStyle name="40% - 强调文字颜色 4 2 7" xfId="3792"/>
    <cellStyle name="40% - 强调文字颜色 4 2 8" xfId="2130"/>
    <cellStyle name="40% - 强调文字颜色 5 2" xfId="27"/>
    <cellStyle name="40% - 强调文字颜色 5 2 2" xfId="113"/>
    <cellStyle name="40% - 强调文字颜色 5 2 2 2" xfId="334"/>
    <cellStyle name="40% - 强调文字颜色 5 2 2 2 2" xfId="981"/>
    <cellStyle name="40% - 强调文字颜色 5 2 2 2 2 2" xfId="3266"/>
    <cellStyle name="40% - 强调文字颜色 5 2 2 2 3" xfId="2811"/>
    <cellStyle name="40% - 强调文字颜色 5 2 2 2 3 2" xfId="2812"/>
    <cellStyle name="40% - 强调文字颜色 5 2 2 2 3 2 2" xfId="3268"/>
    <cellStyle name="40% - 强调文字颜色 5 2 2 2 3 3" xfId="3267"/>
    <cellStyle name="40% - 强调文字颜色 5 2 2 2 4" xfId="2813"/>
    <cellStyle name="40% - 强调文字颜色 5 2 2 2 4 2" xfId="3269"/>
    <cellStyle name="40% - 强调文字颜色 5 2 2 2 5" xfId="2814"/>
    <cellStyle name="40% - 强调文字颜色 5 2 2 2 5 2" xfId="3270"/>
    <cellStyle name="40% - 强调文字颜色 5 2 2 2 6" xfId="3265"/>
    <cellStyle name="40% - 强调文字颜色 5 2 2 3" xfId="335"/>
    <cellStyle name="40% - 强调文字颜色 5 2 2 3 2" xfId="982"/>
    <cellStyle name="40% - 强调文字颜色 5 2 2 3 2 2" xfId="3272"/>
    <cellStyle name="40% - 强调文字颜色 5 2 2 3 3" xfId="3271"/>
    <cellStyle name="40% - 强调文字颜色 5 2 2 4" xfId="748"/>
    <cellStyle name="40% - 强调文字颜色 5 2 2 4 2" xfId="2682"/>
    <cellStyle name="40% - 强调文字颜色 5 2 2 4 3" xfId="2474"/>
    <cellStyle name="40% - 强调文字颜色 5 2 2 5" xfId="333"/>
    <cellStyle name="40% - 强调文字颜色 5 2 2 5 2" xfId="980"/>
    <cellStyle name="40% - 强调文字颜色 5 2 2 6" xfId="2311"/>
    <cellStyle name="40% - 强调文字颜色 5 2 2 6 2" xfId="2565"/>
    <cellStyle name="40% - 强调文字颜色 5 2 2 7" xfId="2227"/>
    <cellStyle name="40% - 强调文字颜色 5 2 3" xfId="336"/>
    <cellStyle name="40% - 强调文字颜色 5 2 3 2" xfId="983"/>
    <cellStyle name="40% - 强调文字颜色 5 2 3 2 2" xfId="3274"/>
    <cellStyle name="40% - 强调文字颜色 5 2 3 3" xfId="2815"/>
    <cellStyle name="40% - 强调文字颜色 5 2 3 3 2" xfId="2816"/>
    <cellStyle name="40% - 强调文字颜色 5 2 3 3 2 2" xfId="3276"/>
    <cellStyle name="40% - 强调文字颜色 5 2 3 3 3" xfId="3275"/>
    <cellStyle name="40% - 强调文字颜色 5 2 3 4" xfId="2817"/>
    <cellStyle name="40% - 强调文字颜色 5 2 3 4 2" xfId="3277"/>
    <cellStyle name="40% - 强调文字颜色 5 2 3 5" xfId="2818"/>
    <cellStyle name="40% - 强调文字颜色 5 2 3 5 2" xfId="3278"/>
    <cellStyle name="40% - 强调文字颜色 5 2 3 6" xfId="3273"/>
    <cellStyle name="40% - 强调文字颜色 5 2 3 6 2" xfId="3729"/>
    <cellStyle name="40% - 强调文字颜色 5 2 3 7" xfId="3066"/>
    <cellStyle name="40% - 强调文字颜色 5 2 3 8" xfId="3892"/>
    <cellStyle name="40% - 强调文字颜色 5 2 3 9" xfId="3771"/>
    <cellStyle name="40% - 强调文字颜色 5 2 4" xfId="669"/>
    <cellStyle name="40% - 强调文字颜色 5 2 4 2" xfId="2819"/>
    <cellStyle name="40% - 强调文字颜色 5 2 4 2 2" xfId="3280"/>
    <cellStyle name="40% - 强调文字颜色 5 2 4 3" xfId="3279"/>
    <cellStyle name="40% - 强调文字颜色 5 2 5" xfId="332"/>
    <cellStyle name="40% - 强调文字颜色 5 2 5 2" xfId="979"/>
    <cellStyle name="40% - 强调文字颜色 5 2 5 3" xfId="2409"/>
    <cellStyle name="40% - 强调文字颜色 5 2 6" xfId="2310"/>
    <cellStyle name="40% - 强调文字颜色 5 2 6 2" xfId="2564"/>
    <cellStyle name="40% - 强调文字颜色 5 2 7" xfId="3869"/>
    <cellStyle name="40% - 强调文字颜色 5 2 8" xfId="2152"/>
    <cellStyle name="40% - 强调文字颜色 6 2" xfId="28"/>
    <cellStyle name="40% - 强调文字颜色 6 2 2" xfId="114"/>
    <cellStyle name="40% - 强调文字颜色 6 2 2 2" xfId="339"/>
    <cellStyle name="40% - 强调文字颜色 6 2 2 2 2" xfId="986"/>
    <cellStyle name="40% - 强调文字颜色 6 2 2 2 2 2" xfId="3282"/>
    <cellStyle name="40% - 强调文字颜色 6 2 2 2 3" xfId="2820"/>
    <cellStyle name="40% - 强调文字颜色 6 2 2 2 3 2" xfId="2821"/>
    <cellStyle name="40% - 强调文字颜色 6 2 2 2 3 2 2" xfId="3284"/>
    <cellStyle name="40% - 强调文字颜色 6 2 2 2 3 3" xfId="3283"/>
    <cellStyle name="40% - 强调文字颜色 6 2 2 2 4" xfId="2822"/>
    <cellStyle name="40% - 强调文字颜色 6 2 2 2 4 2" xfId="3285"/>
    <cellStyle name="40% - 强调文字颜色 6 2 2 2 5" xfId="2823"/>
    <cellStyle name="40% - 强调文字颜色 6 2 2 2 5 2" xfId="3286"/>
    <cellStyle name="40% - 强调文字颜色 6 2 2 2 6" xfId="3281"/>
    <cellStyle name="40% - 强调文字颜色 6 2 2 3" xfId="340"/>
    <cellStyle name="40% - 强调文字颜色 6 2 2 3 2" xfId="987"/>
    <cellStyle name="40% - 强调文字颜色 6 2 2 3 2 2" xfId="3288"/>
    <cellStyle name="40% - 强调文字颜色 6 2 2 3 3" xfId="3287"/>
    <cellStyle name="40% - 强调文字颜色 6 2 2 4" xfId="749"/>
    <cellStyle name="40% - 强调文字颜色 6 2 2 4 2" xfId="2683"/>
    <cellStyle name="40% - 强调文字颜色 6 2 2 4 3" xfId="2475"/>
    <cellStyle name="40% - 强调文字颜色 6 2 2 5" xfId="338"/>
    <cellStyle name="40% - 强调文字颜色 6 2 2 5 2" xfId="985"/>
    <cellStyle name="40% - 强调文字颜色 6 2 2 6" xfId="2313"/>
    <cellStyle name="40% - 强调文字颜色 6 2 2 6 2" xfId="2567"/>
    <cellStyle name="40% - 强调文字颜色 6 2 2 7" xfId="2228"/>
    <cellStyle name="40% - 强调文字颜色 6 2 3" xfId="341"/>
    <cellStyle name="40% - 强调文字颜色 6 2 3 2" xfId="988"/>
    <cellStyle name="40% - 强调文字颜色 6 2 3 2 2" xfId="3290"/>
    <cellStyle name="40% - 强调文字颜色 6 2 3 3" xfId="2824"/>
    <cellStyle name="40% - 强调文字颜色 6 2 3 3 2" xfId="2825"/>
    <cellStyle name="40% - 强调文字颜色 6 2 3 3 2 2" xfId="3292"/>
    <cellStyle name="40% - 强调文字颜色 6 2 3 3 3" xfId="3291"/>
    <cellStyle name="40% - 强调文字颜色 6 2 3 4" xfId="2826"/>
    <cellStyle name="40% - 强调文字颜色 6 2 3 4 2" xfId="3293"/>
    <cellStyle name="40% - 强调文字颜色 6 2 3 5" xfId="2827"/>
    <cellStyle name="40% - 强调文字颜色 6 2 3 5 2" xfId="3294"/>
    <cellStyle name="40% - 强调文字颜色 6 2 3 6" xfId="3289"/>
    <cellStyle name="40% - 强调文字颜色 6 2 3 6 2" xfId="3730"/>
    <cellStyle name="40% - 强调文字颜色 6 2 3 7" xfId="3067"/>
    <cellStyle name="40% - 强调文字颜色 6 2 3 8" xfId="3845"/>
    <cellStyle name="40% - 强调文字颜色 6 2 3 9" xfId="3864"/>
    <cellStyle name="40% - 强调文字颜色 6 2 4" xfId="670"/>
    <cellStyle name="40% - 强调文字颜色 6 2 4 2" xfId="2828"/>
    <cellStyle name="40% - 强调文字颜色 6 2 4 2 2" xfId="3296"/>
    <cellStyle name="40% - 强调文字颜色 6 2 4 3" xfId="3295"/>
    <cellStyle name="40% - 强调文字颜色 6 2 5" xfId="337"/>
    <cellStyle name="40% - 强调文字颜色 6 2 5 2" xfId="984"/>
    <cellStyle name="40% - 强调文字颜色 6 2 5 3" xfId="2410"/>
    <cellStyle name="40% - 强调文字颜色 6 2 6" xfId="2312"/>
    <cellStyle name="40% - 强调文字颜色 6 2 6 2" xfId="2566"/>
    <cellStyle name="40% - 强调文字颜色 6 2 7" xfId="3849"/>
    <cellStyle name="40% - 强调文字颜色 6 2 8" xfId="2153"/>
    <cellStyle name="60% - Accent1" xfId="29"/>
    <cellStyle name="60% - Accent1 2" xfId="115"/>
    <cellStyle name="60% - Accent1 2 2" xfId="344"/>
    <cellStyle name="60% - Accent1 2 2 2" xfId="991"/>
    <cellStyle name="60% - Accent1 2 3" xfId="345"/>
    <cellStyle name="60% - Accent1 2 3 2" xfId="992"/>
    <cellStyle name="60% - Accent1 2 4" xfId="750"/>
    <cellStyle name="60% - Accent1 2 4 2" xfId="2684"/>
    <cellStyle name="60% - Accent1 2 4 3" xfId="2476"/>
    <cellStyle name="60% - Accent1 2 5" xfId="343"/>
    <cellStyle name="60% - Accent1 2 5 2" xfId="990"/>
    <cellStyle name="60% - Accent1 2 6" xfId="2315"/>
    <cellStyle name="60% - Accent1 2 6 2" xfId="2569"/>
    <cellStyle name="60% - Accent1 2 7" xfId="2229"/>
    <cellStyle name="60% - Accent1 3" xfId="346"/>
    <cellStyle name="60% - Accent1 3 2" xfId="993"/>
    <cellStyle name="60% - Accent1 3 3" xfId="2199"/>
    <cellStyle name="60% - Accent1 4" xfId="671"/>
    <cellStyle name="60% - Accent1 5" xfId="342"/>
    <cellStyle name="60% - Accent1 5 2" xfId="989"/>
    <cellStyle name="60% - Accent1 5 3" xfId="2411"/>
    <cellStyle name="60% - Accent1 6" xfId="2314"/>
    <cellStyle name="60% - Accent1 6 2" xfId="2568"/>
    <cellStyle name="60% - Accent1 7" xfId="2154"/>
    <cellStyle name="60% - Accent2" xfId="30"/>
    <cellStyle name="60% - Accent2 2" xfId="116"/>
    <cellStyle name="60% - Accent2 2 2" xfId="349"/>
    <cellStyle name="60% - Accent2 2 2 2" xfId="996"/>
    <cellStyle name="60% - Accent2 2 3" xfId="350"/>
    <cellStyle name="60% - Accent2 2 3 2" xfId="997"/>
    <cellStyle name="60% - Accent2 2 4" xfId="751"/>
    <cellStyle name="60% - Accent2 2 4 2" xfId="2685"/>
    <cellStyle name="60% - Accent2 2 4 3" xfId="2477"/>
    <cellStyle name="60% - Accent2 2 5" xfId="348"/>
    <cellStyle name="60% - Accent2 2 5 2" xfId="995"/>
    <cellStyle name="60% - Accent2 2 6" xfId="2317"/>
    <cellStyle name="60% - Accent2 2 6 2" xfId="2571"/>
    <cellStyle name="60% - Accent2 2 7" xfId="2230"/>
    <cellStyle name="60% - Accent2 3" xfId="351"/>
    <cellStyle name="60% - Accent2 3 2" xfId="998"/>
    <cellStyle name="60% - Accent2 3 3" xfId="3799"/>
    <cellStyle name="60% - Accent2 4" xfId="672"/>
    <cellStyle name="60% - Accent2 5" xfId="347"/>
    <cellStyle name="60% - Accent2 5 2" xfId="994"/>
    <cellStyle name="60% - Accent2 5 3" xfId="2412"/>
    <cellStyle name="60% - Accent2 6" xfId="2316"/>
    <cellStyle name="60% - Accent2 6 2" xfId="2570"/>
    <cellStyle name="60% - Accent2 7" xfId="2155"/>
    <cellStyle name="60% - Accent3" xfId="31"/>
    <cellStyle name="60% - Accent3 2" xfId="117"/>
    <cellStyle name="60% - Accent3 2 2" xfId="354"/>
    <cellStyle name="60% - Accent3 2 2 2" xfId="1001"/>
    <cellStyle name="60% - Accent3 2 3" xfId="355"/>
    <cellStyle name="60% - Accent3 2 3 2" xfId="1002"/>
    <cellStyle name="60% - Accent3 2 4" xfId="752"/>
    <cellStyle name="60% - Accent3 2 4 2" xfId="2686"/>
    <cellStyle name="60% - Accent3 2 4 3" xfId="2478"/>
    <cellStyle name="60% - Accent3 2 5" xfId="353"/>
    <cellStyle name="60% - Accent3 2 5 2" xfId="1000"/>
    <cellStyle name="60% - Accent3 2 6" xfId="2319"/>
    <cellStyle name="60% - Accent3 2 6 2" xfId="2573"/>
    <cellStyle name="60% - Accent3 2 7" xfId="2231"/>
    <cellStyle name="60% - Accent3 3" xfId="356"/>
    <cellStyle name="60% - Accent3 3 2" xfId="1003"/>
    <cellStyle name="60% - Accent3 3 3" xfId="3894"/>
    <cellStyle name="60% - Accent3 4" xfId="673"/>
    <cellStyle name="60% - Accent3 5" xfId="352"/>
    <cellStyle name="60% - Accent3 5 2" xfId="999"/>
    <cellStyle name="60% - Accent3 5 3" xfId="2413"/>
    <cellStyle name="60% - Accent3 6" xfId="2318"/>
    <cellStyle name="60% - Accent3 6 2" xfId="2572"/>
    <cellStyle name="60% - Accent3 7" xfId="2156"/>
    <cellStyle name="60% - Accent4" xfId="32"/>
    <cellStyle name="60% - Accent4 2" xfId="118"/>
    <cellStyle name="60% - Accent4 2 2" xfId="359"/>
    <cellStyle name="60% - Accent4 2 2 2" xfId="1006"/>
    <cellStyle name="60% - Accent4 2 3" xfId="360"/>
    <cellStyle name="60% - Accent4 2 3 2" xfId="1007"/>
    <cellStyle name="60% - Accent4 2 4" xfId="753"/>
    <cellStyle name="60% - Accent4 2 4 2" xfId="2687"/>
    <cellStyle name="60% - Accent4 2 4 3" xfId="2479"/>
    <cellStyle name="60% - Accent4 2 5" xfId="358"/>
    <cellStyle name="60% - Accent4 2 5 2" xfId="1005"/>
    <cellStyle name="60% - Accent4 2 6" xfId="2321"/>
    <cellStyle name="60% - Accent4 2 6 2" xfId="2575"/>
    <cellStyle name="60% - Accent4 2 7" xfId="2232"/>
    <cellStyle name="60% - Accent4 3" xfId="361"/>
    <cellStyle name="60% - Accent4 3 2" xfId="1008"/>
    <cellStyle name="60% - Accent4 3 3" xfId="3837"/>
    <cellStyle name="60% - Accent4 4" xfId="674"/>
    <cellStyle name="60% - Accent4 5" xfId="357"/>
    <cellStyle name="60% - Accent4 5 2" xfId="1004"/>
    <cellStyle name="60% - Accent4 5 3" xfId="2414"/>
    <cellStyle name="60% - Accent4 6" xfId="2320"/>
    <cellStyle name="60% - Accent4 6 2" xfId="2574"/>
    <cellStyle name="60% - Accent4 7" xfId="2157"/>
    <cellStyle name="60% - Accent5" xfId="33"/>
    <cellStyle name="60% - Accent5 2" xfId="119"/>
    <cellStyle name="60% - Accent5 2 2" xfId="364"/>
    <cellStyle name="60% - Accent5 2 2 2" xfId="1011"/>
    <cellStyle name="60% - Accent5 2 3" xfId="365"/>
    <cellStyle name="60% - Accent5 2 3 2" xfId="1012"/>
    <cellStyle name="60% - Accent5 2 4" xfId="754"/>
    <cellStyle name="60% - Accent5 2 4 2" xfId="2688"/>
    <cellStyle name="60% - Accent5 2 4 3" xfId="2481"/>
    <cellStyle name="60% - Accent5 2 5" xfId="363"/>
    <cellStyle name="60% - Accent5 2 5 2" xfId="1010"/>
    <cellStyle name="60% - Accent5 2 6" xfId="2323"/>
    <cellStyle name="60% - Accent5 2 6 2" xfId="2577"/>
    <cellStyle name="60% - Accent5 2 7" xfId="2234"/>
    <cellStyle name="60% - Accent5 3" xfId="366"/>
    <cellStyle name="60% - Accent5 3 2" xfId="1013"/>
    <cellStyle name="60% - Accent5 3 3" xfId="3854"/>
    <cellStyle name="60% - Accent5 4" xfId="675"/>
    <cellStyle name="60% - Accent5 5" xfId="362"/>
    <cellStyle name="60% - Accent5 5 2" xfId="1009"/>
    <cellStyle name="60% - Accent5 5 3" xfId="2416"/>
    <cellStyle name="60% - Accent5 6" xfId="2322"/>
    <cellStyle name="60% - Accent5 6 2" xfId="2576"/>
    <cellStyle name="60% - Accent5 7" xfId="2159"/>
    <cellStyle name="60% - Accent6" xfId="34"/>
    <cellStyle name="60% - Accent6 2" xfId="120"/>
    <cellStyle name="60% - Accent6 2 2" xfId="369"/>
    <cellStyle name="60% - Accent6 2 2 2" xfId="1016"/>
    <cellStyle name="60% - Accent6 2 3" xfId="370"/>
    <cellStyle name="60% - Accent6 2 3 2" xfId="1017"/>
    <cellStyle name="60% - Accent6 2 4" xfId="755"/>
    <cellStyle name="60% - Accent6 2 4 2" xfId="2689"/>
    <cellStyle name="60% - Accent6 2 4 3" xfId="2482"/>
    <cellStyle name="60% - Accent6 2 5" xfId="368"/>
    <cellStyle name="60% - Accent6 2 5 2" xfId="1015"/>
    <cellStyle name="60% - Accent6 2 6" xfId="2325"/>
    <cellStyle name="60% - Accent6 2 6 2" xfId="2579"/>
    <cellStyle name="60% - Accent6 2 7" xfId="2235"/>
    <cellStyle name="60% - Accent6 3" xfId="371"/>
    <cellStyle name="60% - Accent6 3 2" xfId="1018"/>
    <cellStyle name="60% - Accent6 3 3" xfId="3788"/>
    <cellStyle name="60% - Accent6 4" xfId="676"/>
    <cellStyle name="60% - Accent6 5" xfId="367"/>
    <cellStyle name="60% - Accent6 5 2" xfId="1014"/>
    <cellStyle name="60% - Accent6 5 3" xfId="2417"/>
    <cellStyle name="60% - Accent6 6" xfId="2324"/>
    <cellStyle name="60% - Accent6 6 2" xfId="2578"/>
    <cellStyle name="60% - Accent6 7" xfId="2160"/>
    <cellStyle name="60% - 强调文字颜色 1 2" xfId="35"/>
    <cellStyle name="60% - 强调文字颜色 1 2 2" xfId="121"/>
    <cellStyle name="60% - 强调文字颜色 1 2 2 2" xfId="374"/>
    <cellStyle name="60% - 强调文字颜色 1 2 2 2 2" xfId="1021"/>
    <cellStyle name="60% - 强调文字颜色 1 2 2 2 2 2" xfId="3298"/>
    <cellStyle name="60% - 强调文字颜色 1 2 2 2 3" xfId="2829"/>
    <cellStyle name="60% - 强调文字颜色 1 2 2 2 3 2" xfId="2830"/>
    <cellStyle name="60% - 强调文字颜色 1 2 2 2 3 2 2" xfId="3300"/>
    <cellStyle name="60% - 强调文字颜色 1 2 2 2 3 3" xfId="3299"/>
    <cellStyle name="60% - 强调文字颜色 1 2 2 2 4" xfId="2831"/>
    <cellStyle name="60% - 强调文字颜色 1 2 2 2 4 2" xfId="3301"/>
    <cellStyle name="60% - 强调文字颜色 1 2 2 2 5" xfId="2832"/>
    <cellStyle name="60% - 强调文字颜色 1 2 2 2 5 2" xfId="3302"/>
    <cellStyle name="60% - 强调文字颜色 1 2 2 2 6" xfId="3297"/>
    <cellStyle name="60% - 强调文字颜色 1 2 2 3" xfId="375"/>
    <cellStyle name="60% - 强调文字颜色 1 2 2 3 2" xfId="1022"/>
    <cellStyle name="60% - 强调文字颜色 1 2 2 3 2 2" xfId="3304"/>
    <cellStyle name="60% - 强调文字颜色 1 2 2 3 3" xfId="3303"/>
    <cellStyle name="60% - 强调文字颜色 1 2 2 4" xfId="756"/>
    <cellStyle name="60% - 强调文字颜色 1 2 2 4 2" xfId="2690"/>
    <cellStyle name="60% - 强调文字颜色 1 2 2 4 3" xfId="2483"/>
    <cellStyle name="60% - 强调文字颜色 1 2 2 5" xfId="373"/>
    <cellStyle name="60% - 强调文字颜色 1 2 2 5 2" xfId="1020"/>
    <cellStyle name="60% - 强调文字颜色 1 2 2 6" xfId="2327"/>
    <cellStyle name="60% - 强调文字颜色 1 2 2 6 2" xfId="2581"/>
    <cellStyle name="60% - 强调文字颜色 1 2 2 7" xfId="2236"/>
    <cellStyle name="60% - 强调文字颜色 1 2 3" xfId="376"/>
    <cellStyle name="60% - 强调文字颜色 1 2 3 2" xfId="1023"/>
    <cellStyle name="60% - 强调文字颜色 1 2 3 2 2" xfId="3306"/>
    <cellStyle name="60% - 强调文字颜色 1 2 3 3" xfId="2833"/>
    <cellStyle name="60% - 强调文字颜色 1 2 3 3 2" xfId="2834"/>
    <cellStyle name="60% - 强调文字颜色 1 2 3 3 2 2" xfId="3308"/>
    <cellStyle name="60% - 强调文字颜色 1 2 3 3 3" xfId="3307"/>
    <cellStyle name="60% - 强调文字颜色 1 2 3 4" xfId="2835"/>
    <cellStyle name="60% - 强调文字颜色 1 2 3 4 2" xfId="3309"/>
    <cellStyle name="60% - 强调文字颜色 1 2 3 5" xfId="2836"/>
    <cellStyle name="60% - 强调文字颜色 1 2 3 5 2" xfId="3310"/>
    <cellStyle name="60% - 强调文字颜色 1 2 3 6" xfId="3305"/>
    <cellStyle name="60% - 强调文字颜色 1 2 3 6 2" xfId="3731"/>
    <cellStyle name="60% - 强调文字颜色 1 2 3 7" xfId="3068"/>
    <cellStyle name="60% - 强调文字颜色 1 2 3 8" xfId="3868"/>
    <cellStyle name="60% - 强调文字颜色 1 2 3 9" xfId="3900"/>
    <cellStyle name="60% - 强调文字颜色 1 2 4" xfId="677"/>
    <cellStyle name="60% - 强调文字颜色 1 2 4 2" xfId="2837"/>
    <cellStyle name="60% - 强调文字颜色 1 2 4 2 2" xfId="3312"/>
    <cellStyle name="60% - 强调文字颜色 1 2 4 3" xfId="3311"/>
    <cellStyle name="60% - 强调文字颜色 1 2 5" xfId="372"/>
    <cellStyle name="60% - 强调文字颜色 1 2 5 2" xfId="1019"/>
    <cellStyle name="60% - 强调文字颜色 1 2 5 3" xfId="2418"/>
    <cellStyle name="60% - 强调文字颜色 1 2 6" xfId="2326"/>
    <cellStyle name="60% - 强调文字颜色 1 2 6 2" xfId="2580"/>
    <cellStyle name="60% - 强调文字颜色 1 2 7" xfId="3803"/>
    <cellStyle name="60% - 强调文字颜色 1 2 8" xfId="2161"/>
    <cellStyle name="60% - 强调文字颜色 2 2" xfId="36"/>
    <cellStyle name="60% - 强调文字颜色 2 2 2" xfId="122"/>
    <cellStyle name="60% - 强调文字颜色 2 2 2 2" xfId="379"/>
    <cellStyle name="60% - 强调文字颜色 2 2 2 2 2" xfId="1026"/>
    <cellStyle name="60% - 强调文字颜色 2 2 2 2 2 2" xfId="3314"/>
    <cellStyle name="60% - 强调文字颜色 2 2 2 2 3" xfId="2838"/>
    <cellStyle name="60% - 强调文字颜色 2 2 2 2 3 2" xfId="2839"/>
    <cellStyle name="60% - 强调文字颜色 2 2 2 2 3 2 2" xfId="3316"/>
    <cellStyle name="60% - 强调文字颜色 2 2 2 2 3 3" xfId="3315"/>
    <cellStyle name="60% - 强调文字颜色 2 2 2 2 4" xfId="2840"/>
    <cellStyle name="60% - 强调文字颜色 2 2 2 2 4 2" xfId="3317"/>
    <cellStyle name="60% - 强调文字颜色 2 2 2 2 5" xfId="2841"/>
    <cellStyle name="60% - 强调文字颜色 2 2 2 2 5 2" xfId="3318"/>
    <cellStyle name="60% - 强调文字颜色 2 2 2 2 6" xfId="3313"/>
    <cellStyle name="60% - 强调文字颜色 2 2 2 3" xfId="380"/>
    <cellStyle name="60% - 强调文字颜色 2 2 2 3 2" xfId="1027"/>
    <cellStyle name="60% - 强调文字颜色 2 2 2 3 2 2" xfId="3320"/>
    <cellStyle name="60% - 强调文字颜色 2 2 2 3 3" xfId="3319"/>
    <cellStyle name="60% - 强调文字颜色 2 2 2 4" xfId="757"/>
    <cellStyle name="60% - 强调文字颜色 2 2 2 4 2" xfId="2691"/>
    <cellStyle name="60% - 强调文字颜色 2 2 2 4 3" xfId="2484"/>
    <cellStyle name="60% - 强调文字颜色 2 2 2 5" xfId="378"/>
    <cellStyle name="60% - 强调文字颜色 2 2 2 5 2" xfId="1025"/>
    <cellStyle name="60% - 强调文字颜色 2 2 2 6" xfId="2329"/>
    <cellStyle name="60% - 强调文字颜色 2 2 2 6 2" xfId="2583"/>
    <cellStyle name="60% - 强调文字颜色 2 2 2 7" xfId="2237"/>
    <cellStyle name="60% - 强调文字颜色 2 2 3" xfId="381"/>
    <cellStyle name="60% - 强调文字颜色 2 2 3 2" xfId="1028"/>
    <cellStyle name="60% - 强调文字颜色 2 2 3 2 2" xfId="3322"/>
    <cellStyle name="60% - 强调文字颜色 2 2 3 3" xfId="2842"/>
    <cellStyle name="60% - 强调文字颜色 2 2 3 3 2" xfId="2843"/>
    <cellStyle name="60% - 强调文字颜色 2 2 3 3 2 2" xfId="3324"/>
    <cellStyle name="60% - 强调文字颜色 2 2 3 3 3" xfId="3323"/>
    <cellStyle name="60% - 强调文字颜色 2 2 3 4" xfId="2844"/>
    <cellStyle name="60% - 强调文字颜色 2 2 3 4 2" xfId="3325"/>
    <cellStyle name="60% - 强调文字颜色 2 2 3 5" xfId="2845"/>
    <cellStyle name="60% - 强调文字颜色 2 2 3 5 2" xfId="3326"/>
    <cellStyle name="60% - 强调文字颜色 2 2 3 6" xfId="3321"/>
    <cellStyle name="60% - 强调文字颜色 2 2 3 6 2" xfId="3732"/>
    <cellStyle name="60% - 强调文字颜色 2 2 3 7" xfId="3069"/>
    <cellStyle name="60% - 强调文字颜色 2 2 3 8" xfId="3888"/>
    <cellStyle name="60% - 强调文字颜色 2 2 3 9" xfId="3889"/>
    <cellStyle name="60% - 强调文字颜色 2 2 4" xfId="678"/>
    <cellStyle name="60% - 强调文字颜色 2 2 4 2" xfId="2846"/>
    <cellStyle name="60% - 强调文字颜色 2 2 4 2 2" xfId="3328"/>
    <cellStyle name="60% - 强调文字颜色 2 2 4 3" xfId="3327"/>
    <cellStyle name="60% - 强调文字颜色 2 2 5" xfId="377"/>
    <cellStyle name="60% - 强调文字颜色 2 2 5 2" xfId="1024"/>
    <cellStyle name="60% - 强调文字颜色 2 2 5 3" xfId="2419"/>
    <cellStyle name="60% - 强调文字颜色 2 2 6" xfId="2328"/>
    <cellStyle name="60% - 强调文字颜色 2 2 6 2" xfId="2582"/>
    <cellStyle name="60% - 强调文字颜色 2 2 7" xfId="3891"/>
    <cellStyle name="60% - 强调文字颜色 2 2 8" xfId="2162"/>
    <cellStyle name="60% - 强调文字颜色 3 2" xfId="37"/>
    <cellStyle name="60% - 强调文字颜色 3 2 2" xfId="123"/>
    <cellStyle name="60% - 强调文字颜色 3 2 2 2" xfId="384"/>
    <cellStyle name="60% - 强调文字颜色 3 2 2 2 2" xfId="1031"/>
    <cellStyle name="60% - 强调文字颜色 3 2 2 2 2 2" xfId="3330"/>
    <cellStyle name="60% - 强调文字颜色 3 2 2 2 3" xfId="2847"/>
    <cellStyle name="60% - 强调文字颜色 3 2 2 2 3 2" xfId="2848"/>
    <cellStyle name="60% - 强调文字颜色 3 2 2 2 3 2 2" xfId="3332"/>
    <cellStyle name="60% - 强调文字颜色 3 2 2 2 3 3" xfId="3331"/>
    <cellStyle name="60% - 强调文字颜色 3 2 2 2 4" xfId="2849"/>
    <cellStyle name="60% - 强调文字颜色 3 2 2 2 4 2" xfId="3333"/>
    <cellStyle name="60% - 强调文字颜色 3 2 2 2 5" xfId="2850"/>
    <cellStyle name="60% - 强调文字颜色 3 2 2 2 5 2" xfId="3334"/>
    <cellStyle name="60% - 强调文字颜色 3 2 2 2 6" xfId="3329"/>
    <cellStyle name="60% - 强调文字颜色 3 2 2 3" xfId="385"/>
    <cellStyle name="60% - 强调文字颜色 3 2 2 3 2" xfId="1032"/>
    <cellStyle name="60% - 强调文字颜色 3 2 2 3 2 2" xfId="3336"/>
    <cellStyle name="60% - 强调文字颜色 3 2 2 3 3" xfId="3335"/>
    <cellStyle name="60% - 强调文字颜色 3 2 2 4" xfId="758"/>
    <cellStyle name="60% - 强调文字颜色 3 2 2 4 2" xfId="2692"/>
    <cellStyle name="60% - 强调文字颜色 3 2 2 4 3" xfId="2485"/>
    <cellStyle name="60% - 强调文字颜色 3 2 2 5" xfId="383"/>
    <cellStyle name="60% - 强调文字颜色 3 2 2 5 2" xfId="1030"/>
    <cellStyle name="60% - 强调文字颜色 3 2 2 6" xfId="2331"/>
    <cellStyle name="60% - 强调文字颜色 3 2 2 6 2" xfId="2585"/>
    <cellStyle name="60% - 强调文字颜色 3 2 2 7" xfId="2238"/>
    <cellStyle name="60% - 强调文字颜色 3 2 3" xfId="386"/>
    <cellStyle name="60% - 强调文字颜色 3 2 3 2" xfId="1033"/>
    <cellStyle name="60% - 强调文字颜色 3 2 3 2 2" xfId="3338"/>
    <cellStyle name="60% - 强调文字颜色 3 2 3 3" xfId="2851"/>
    <cellStyle name="60% - 强调文字颜色 3 2 3 3 2" xfId="2852"/>
    <cellStyle name="60% - 强调文字颜色 3 2 3 3 2 2" xfId="3340"/>
    <cellStyle name="60% - 强调文字颜色 3 2 3 3 3" xfId="3339"/>
    <cellStyle name="60% - 强调文字颜色 3 2 3 4" xfId="2853"/>
    <cellStyle name="60% - 强调文字颜色 3 2 3 4 2" xfId="3341"/>
    <cellStyle name="60% - 强调文字颜色 3 2 3 5" xfId="2854"/>
    <cellStyle name="60% - 强调文字颜色 3 2 3 5 2" xfId="3342"/>
    <cellStyle name="60% - 强调文字颜色 3 2 3 6" xfId="3337"/>
    <cellStyle name="60% - 强调文字颜色 3 2 3 6 2" xfId="3733"/>
    <cellStyle name="60% - 强调文字颜色 3 2 3 7" xfId="3070"/>
    <cellStyle name="60% - 强调文字颜色 3 2 3 8" xfId="3772"/>
    <cellStyle name="60% - 强调文字颜色 3 2 3 9" xfId="3786"/>
    <cellStyle name="60% - 强调文字颜色 3 2 4" xfId="679"/>
    <cellStyle name="60% - 强调文字颜色 3 2 4 2" xfId="2855"/>
    <cellStyle name="60% - 强调文字颜色 3 2 4 2 2" xfId="3344"/>
    <cellStyle name="60% - 强调文字颜色 3 2 4 3" xfId="3343"/>
    <cellStyle name="60% - 强调文字颜色 3 2 5" xfId="382"/>
    <cellStyle name="60% - 强调文字颜色 3 2 5 2" xfId="1029"/>
    <cellStyle name="60% - 强调文字颜色 3 2 5 3" xfId="2420"/>
    <cellStyle name="60% - 强调文字颜色 3 2 6" xfId="2330"/>
    <cellStyle name="60% - 强调文字颜色 3 2 6 2" xfId="2584"/>
    <cellStyle name="60% - 强调文字颜色 3 2 7" xfId="3815"/>
    <cellStyle name="60% - 强调文字颜色 3 2 8" xfId="2163"/>
    <cellStyle name="60% - 强调文字颜色 4 2" xfId="38"/>
    <cellStyle name="60% - 强调文字颜色 4 2 2" xfId="124"/>
    <cellStyle name="60% - 强调文字颜色 4 2 2 2" xfId="389"/>
    <cellStyle name="60% - 强调文字颜色 4 2 2 2 2" xfId="1036"/>
    <cellStyle name="60% - 强调文字颜色 4 2 2 2 2 2" xfId="3346"/>
    <cellStyle name="60% - 强调文字颜色 4 2 2 2 3" xfId="2856"/>
    <cellStyle name="60% - 强调文字颜色 4 2 2 2 3 2" xfId="2857"/>
    <cellStyle name="60% - 强调文字颜色 4 2 2 2 3 2 2" xfId="3348"/>
    <cellStyle name="60% - 强调文字颜色 4 2 2 2 3 3" xfId="3347"/>
    <cellStyle name="60% - 强调文字颜色 4 2 2 2 4" xfId="2858"/>
    <cellStyle name="60% - 强调文字颜色 4 2 2 2 4 2" xfId="3349"/>
    <cellStyle name="60% - 强调文字颜色 4 2 2 2 5" xfId="2859"/>
    <cellStyle name="60% - 强调文字颜色 4 2 2 2 5 2" xfId="3350"/>
    <cellStyle name="60% - 强调文字颜色 4 2 2 2 6" xfId="3345"/>
    <cellStyle name="60% - 强调文字颜色 4 2 2 3" xfId="390"/>
    <cellStyle name="60% - 强调文字颜色 4 2 2 3 2" xfId="1037"/>
    <cellStyle name="60% - 强调文字颜色 4 2 2 3 2 2" xfId="3352"/>
    <cellStyle name="60% - 强调文字颜色 4 2 2 3 3" xfId="3351"/>
    <cellStyle name="60% - 强调文字颜色 4 2 2 4" xfId="759"/>
    <cellStyle name="60% - 强调文字颜色 4 2 2 4 2" xfId="2693"/>
    <cellStyle name="60% - 强调文字颜色 4 2 2 4 3" xfId="2487"/>
    <cellStyle name="60% - 强调文字颜色 4 2 2 5" xfId="388"/>
    <cellStyle name="60% - 强调文字颜色 4 2 2 5 2" xfId="1035"/>
    <cellStyle name="60% - 强调文字颜色 4 2 2 6" xfId="2333"/>
    <cellStyle name="60% - 强调文字颜色 4 2 2 6 2" xfId="2587"/>
    <cellStyle name="60% - 强调文字颜色 4 2 2 7" xfId="2240"/>
    <cellStyle name="60% - 强调文字颜色 4 2 3" xfId="391"/>
    <cellStyle name="60% - 强调文字颜色 4 2 3 2" xfId="1038"/>
    <cellStyle name="60% - 强调文字颜色 4 2 3 2 2" xfId="3354"/>
    <cellStyle name="60% - 强调文字颜色 4 2 3 3" xfId="2860"/>
    <cellStyle name="60% - 强调文字颜色 4 2 3 3 2" xfId="2861"/>
    <cellStyle name="60% - 强调文字颜色 4 2 3 3 2 2" xfId="3356"/>
    <cellStyle name="60% - 强调文字颜色 4 2 3 3 3" xfId="3355"/>
    <cellStyle name="60% - 强调文字颜色 4 2 3 4" xfId="2862"/>
    <cellStyle name="60% - 强调文字颜色 4 2 3 4 2" xfId="3357"/>
    <cellStyle name="60% - 强调文字颜色 4 2 3 5" xfId="2863"/>
    <cellStyle name="60% - 强调文字颜色 4 2 3 5 2" xfId="3358"/>
    <cellStyle name="60% - 强调文字颜色 4 2 3 6" xfId="3353"/>
    <cellStyle name="60% - 强调文字颜色 4 2 3 6 2" xfId="3734"/>
    <cellStyle name="60% - 强调文字颜色 4 2 3 7" xfId="3071"/>
    <cellStyle name="60% - 强调文字颜色 4 2 3 8" xfId="3885"/>
    <cellStyle name="60% - 强调文字颜色 4 2 3 9" xfId="3835"/>
    <cellStyle name="60% - 强调文字颜色 4 2 4" xfId="680"/>
    <cellStyle name="60% - 强调文字颜色 4 2 4 2" xfId="2864"/>
    <cellStyle name="60% - 强调文字颜色 4 2 4 2 2" xfId="3360"/>
    <cellStyle name="60% - 强调文字颜色 4 2 4 3" xfId="3359"/>
    <cellStyle name="60% - 强调文字颜色 4 2 5" xfId="387"/>
    <cellStyle name="60% - 强调文字颜色 4 2 5 2" xfId="1034"/>
    <cellStyle name="60% - 强调文字颜色 4 2 5 3" xfId="2422"/>
    <cellStyle name="60% - 强调文字颜色 4 2 6" xfId="2332"/>
    <cellStyle name="60% - 强调文字颜色 4 2 6 2" xfId="2586"/>
    <cellStyle name="60% - 强调文字颜色 4 2 7" xfId="3839"/>
    <cellStyle name="60% - 强调文字颜色 4 2 8" xfId="2165"/>
    <cellStyle name="60% - 强调文字颜色 5 2" xfId="39"/>
    <cellStyle name="60% - 强调文字颜色 5 2 2" xfId="125"/>
    <cellStyle name="60% - 强调文字颜色 5 2 2 2" xfId="394"/>
    <cellStyle name="60% - 强调文字颜色 5 2 2 2 2" xfId="1041"/>
    <cellStyle name="60% - 强调文字颜色 5 2 2 2 2 2" xfId="3362"/>
    <cellStyle name="60% - 强调文字颜色 5 2 2 2 3" xfId="2865"/>
    <cellStyle name="60% - 强调文字颜色 5 2 2 2 3 2" xfId="2866"/>
    <cellStyle name="60% - 强调文字颜色 5 2 2 2 3 2 2" xfId="3364"/>
    <cellStyle name="60% - 强调文字颜色 5 2 2 2 3 3" xfId="3363"/>
    <cellStyle name="60% - 强调文字颜色 5 2 2 2 4" xfId="2867"/>
    <cellStyle name="60% - 强调文字颜色 5 2 2 2 4 2" xfId="3365"/>
    <cellStyle name="60% - 强调文字颜色 5 2 2 2 5" xfId="2868"/>
    <cellStyle name="60% - 强调文字颜色 5 2 2 2 5 2" xfId="3366"/>
    <cellStyle name="60% - 强调文字颜色 5 2 2 2 6" xfId="3361"/>
    <cellStyle name="60% - 强调文字颜色 5 2 2 3" xfId="395"/>
    <cellStyle name="60% - 强调文字颜色 5 2 2 3 2" xfId="1042"/>
    <cellStyle name="60% - 强调文字颜色 5 2 2 3 2 2" xfId="3368"/>
    <cellStyle name="60% - 强调文字颜色 5 2 2 3 3" xfId="3367"/>
    <cellStyle name="60% - 强调文字颜色 5 2 2 4" xfId="760"/>
    <cellStyle name="60% - 强调文字颜色 5 2 2 4 2" xfId="2694"/>
    <cellStyle name="60% - 强调文字颜色 5 2 2 4 3" xfId="2488"/>
    <cellStyle name="60% - 强调文字颜色 5 2 2 5" xfId="393"/>
    <cellStyle name="60% - 强调文字颜色 5 2 2 5 2" xfId="1040"/>
    <cellStyle name="60% - 强调文字颜色 5 2 2 6" xfId="2335"/>
    <cellStyle name="60% - 强调文字颜色 5 2 2 6 2" xfId="2589"/>
    <cellStyle name="60% - 强调文字颜色 5 2 2 7" xfId="2241"/>
    <cellStyle name="60% - 强调文字颜色 5 2 3" xfId="396"/>
    <cellStyle name="60% - 强调文字颜色 5 2 3 2" xfId="1043"/>
    <cellStyle name="60% - 强调文字颜色 5 2 3 2 2" xfId="3370"/>
    <cellStyle name="60% - 强调文字颜色 5 2 3 3" xfId="2869"/>
    <cellStyle name="60% - 强调文字颜色 5 2 3 3 2" xfId="2870"/>
    <cellStyle name="60% - 强调文字颜色 5 2 3 3 2 2" xfId="3372"/>
    <cellStyle name="60% - 强调文字颜色 5 2 3 3 3" xfId="3371"/>
    <cellStyle name="60% - 强调文字颜色 5 2 3 4" xfId="2871"/>
    <cellStyle name="60% - 强调文字颜色 5 2 3 4 2" xfId="3373"/>
    <cellStyle name="60% - 强调文字颜色 5 2 3 5" xfId="2872"/>
    <cellStyle name="60% - 强调文字颜色 5 2 3 5 2" xfId="3374"/>
    <cellStyle name="60% - 强调文字颜色 5 2 3 6" xfId="3369"/>
    <cellStyle name="60% - 强调文字颜色 5 2 3 6 2" xfId="3735"/>
    <cellStyle name="60% - 强调文字颜色 5 2 3 7" xfId="3072"/>
    <cellStyle name="60% - 强调文字颜色 5 2 3 8" xfId="3801"/>
    <cellStyle name="60% - 强调文字颜色 5 2 3 9" xfId="2198"/>
    <cellStyle name="60% - 强调文字颜色 5 2 4" xfId="681"/>
    <cellStyle name="60% - 强调文字颜色 5 2 4 2" xfId="2873"/>
    <cellStyle name="60% - 强调文字颜色 5 2 4 2 2" xfId="3376"/>
    <cellStyle name="60% - 强调文字颜色 5 2 4 3" xfId="3375"/>
    <cellStyle name="60% - 强调文字颜色 5 2 5" xfId="392"/>
    <cellStyle name="60% - 强调文字颜色 5 2 5 2" xfId="1039"/>
    <cellStyle name="60% - 强调文字颜色 5 2 5 3" xfId="2423"/>
    <cellStyle name="60% - 强调文字颜色 5 2 6" xfId="2334"/>
    <cellStyle name="60% - 强调文字颜色 5 2 6 2" xfId="2588"/>
    <cellStyle name="60% - 强调文字颜色 5 2 7" xfId="3877"/>
    <cellStyle name="60% - 强调文字颜色 5 2 8" xfId="2166"/>
    <cellStyle name="60% - 强调文字颜色 6 2" xfId="40"/>
    <cellStyle name="60% - 强调文字颜色 6 2 2" xfId="126"/>
    <cellStyle name="60% - 强调文字颜色 6 2 2 2" xfId="399"/>
    <cellStyle name="60% - 强调文字颜色 6 2 2 2 2" xfId="1046"/>
    <cellStyle name="60% - 强调文字颜色 6 2 2 2 2 2" xfId="3378"/>
    <cellStyle name="60% - 强调文字颜色 6 2 2 2 3" xfId="2874"/>
    <cellStyle name="60% - 强调文字颜色 6 2 2 2 3 2" xfId="2875"/>
    <cellStyle name="60% - 强调文字颜色 6 2 2 2 3 2 2" xfId="3380"/>
    <cellStyle name="60% - 强调文字颜色 6 2 2 2 3 3" xfId="3379"/>
    <cellStyle name="60% - 强调文字颜色 6 2 2 2 4" xfId="2876"/>
    <cellStyle name="60% - 强调文字颜色 6 2 2 2 4 2" xfId="3381"/>
    <cellStyle name="60% - 强调文字颜色 6 2 2 2 5" xfId="2877"/>
    <cellStyle name="60% - 强调文字颜色 6 2 2 2 5 2" xfId="3382"/>
    <cellStyle name="60% - 强调文字颜色 6 2 2 2 6" xfId="3377"/>
    <cellStyle name="60% - 强调文字颜色 6 2 2 3" xfId="400"/>
    <cellStyle name="60% - 强调文字颜色 6 2 2 3 2" xfId="1047"/>
    <cellStyle name="60% - 强调文字颜色 6 2 2 3 2 2" xfId="3384"/>
    <cellStyle name="60% - 强调文字颜色 6 2 2 3 3" xfId="3383"/>
    <cellStyle name="60% - 强调文字颜色 6 2 2 4" xfId="761"/>
    <cellStyle name="60% - 强调文字颜色 6 2 2 4 2" xfId="2695"/>
    <cellStyle name="60% - 强调文字颜色 6 2 2 4 3" xfId="2489"/>
    <cellStyle name="60% - 强调文字颜色 6 2 2 5" xfId="398"/>
    <cellStyle name="60% - 强调文字颜色 6 2 2 5 2" xfId="1045"/>
    <cellStyle name="60% - 强调文字颜色 6 2 2 6" xfId="2337"/>
    <cellStyle name="60% - 强调文字颜色 6 2 2 6 2" xfId="2591"/>
    <cellStyle name="60% - 强调文字颜色 6 2 2 7" xfId="2242"/>
    <cellStyle name="60% - 强调文字颜色 6 2 3" xfId="401"/>
    <cellStyle name="60% - 强调文字颜色 6 2 3 2" xfId="1048"/>
    <cellStyle name="60% - 强调文字颜色 6 2 3 2 2" xfId="3386"/>
    <cellStyle name="60% - 强调文字颜色 6 2 3 3" xfId="2878"/>
    <cellStyle name="60% - 强调文字颜色 6 2 3 3 2" xfId="2879"/>
    <cellStyle name="60% - 强调文字颜色 6 2 3 3 2 2" xfId="3388"/>
    <cellStyle name="60% - 强调文字颜色 6 2 3 3 3" xfId="3387"/>
    <cellStyle name="60% - 强调文字颜色 6 2 3 4" xfId="2880"/>
    <cellStyle name="60% - 强调文字颜色 6 2 3 4 2" xfId="3389"/>
    <cellStyle name="60% - 强调文字颜色 6 2 3 5" xfId="2881"/>
    <cellStyle name="60% - 强调文字颜色 6 2 3 5 2" xfId="3390"/>
    <cellStyle name="60% - 强调文字颜色 6 2 3 6" xfId="3385"/>
    <cellStyle name="60% - 强调文字颜色 6 2 3 6 2" xfId="3736"/>
    <cellStyle name="60% - 强调文字颜色 6 2 3 7" xfId="3073"/>
    <cellStyle name="60% - 强调文字颜色 6 2 3 8" xfId="3812"/>
    <cellStyle name="60% - 强调文字颜色 6 2 3 9" xfId="3802"/>
    <cellStyle name="60% - 强调文字颜色 6 2 4" xfId="682"/>
    <cellStyle name="60% - 强调文字颜色 6 2 4 2" xfId="2882"/>
    <cellStyle name="60% - 强调文字颜色 6 2 4 2 2" xfId="3392"/>
    <cellStyle name="60% - 强调文字颜色 6 2 4 3" xfId="3391"/>
    <cellStyle name="60% - 强调文字颜色 6 2 5" xfId="397"/>
    <cellStyle name="60% - 强调文字颜色 6 2 5 2" xfId="1044"/>
    <cellStyle name="60% - 强调文字颜色 6 2 5 3" xfId="2424"/>
    <cellStyle name="60% - 强调文字颜色 6 2 6" xfId="2336"/>
    <cellStyle name="60% - 强调文字颜色 6 2 6 2" xfId="2590"/>
    <cellStyle name="60% - 强调文字颜色 6 2 7" xfId="3883"/>
    <cellStyle name="60% - 强调文字颜色 6 2 8" xfId="2167"/>
    <cellStyle name="Accent1" xfId="41"/>
    <cellStyle name="Accent1 2" xfId="127"/>
    <cellStyle name="Accent1 2 2" xfId="404"/>
    <cellStyle name="Accent1 2 2 2" xfId="1051"/>
    <cellStyle name="Accent1 2 3" xfId="405"/>
    <cellStyle name="Accent1 2 3 2" xfId="1052"/>
    <cellStyle name="Accent1 2 4" xfId="762"/>
    <cellStyle name="Accent1 2 4 2" xfId="2696"/>
    <cellStyle name="Accent1 2 4 3" xfId="2490"/>
    <cellStyle name="Accent1 2 5" xfId="403"/>
    <cellStyle name="Accent1 2 5 2" xfId="1050"/>
    <cellStyle name="Accent1 2 6" xfId="2339"/>
    <cellStyle name="Accent1 2 6 2" xfId="2594"/>
    <cellStyle name="Accent1 2 7" xfId="2243"/>
    <cellStyle name="Accent1 3" xfId="406"/>
    <cellStyle name="Accent1 3 2" xfId="1053"/>
    <cellStyle name="Accent1 3 3" xfId="3863"/>
    <cellStyle name="Accent1 4" xfId="683"/>
    <cellStyle name="Accent1 5" xfId="402"/>
    <cellStyle name="Accent1 5 2" xfId="1049"/>
    <cellStyle name="Accent1 5 3" xfId="2425"/>
    <cellStyle name="Accent1 6" xfId="2338"/>
    <cellStyle name="Accent1 6 2" xfId="2593"/>
    <cellStyle name="Accent1 7" xfId="2168"/>
    <cellStyle name="Accent2" xfId="42"/>
    <cellStyle name="Accent2 2" xfId="128"/>
    <cellStyle name="Accent2 2 2" xfId="409"/>
    <cellStyle name="Accent2 2 2 2" xfId="1056"/>
    <cellStyle name="Accent2 2 3" xfId="410"/>
    <cellStyle name="Accent2 2 3 2" xfId="1057"/>
    <cellStyle name="Accent2 2 4" xfId="763"/>
    <cellStyle name="Accent2 2 4 2" xfId="2697"/>
    <cellStyle name="Accent2 2 4 3" xfId="2491"/>
    <cellStyle name="Accent2 2 5" xfId="408"/>
    <cellStyle name="Accent2 2 5 2" xfId="1055"/>
    <cellStyle name="Accent2 2 6" xfId="2341"/>
    <cellStyle name="Accent2 2 6 2" xfId="2596"/>
    <cellStyle name="Accent2 2 7" xfId="2244"/>
    <cellStyle name="Accent2 3" xfId="411"/>
    <cellStyle name="Accent2 3 2" xfId="1058"/>
    <cellStyle name="Accent2 3 3" xfId="3856"/>
    <cellStyle name="Accent2 4" xfId="684"/>
    <cellStyle name="Accent2 5" xfId="407"/>
    <cellStyle name="Accent2 5 2" xfId="1054"/>
    <cellStyle name="Accent2 5 3" xfId="2426"/>
    <cellStyle name="Accent2 6" xfId="2340"/>
    <cellStyle name="Accent2 6 2" xfId="2595"/>
    <cellStyle name="Accent2 7" xfId="2169"/>
    <cellStyle name="Accent3" xfId="43"/>
    <cellStyle name="Accent3 2" xfId="129"/>
    <cellStyle name="Accent3 2 2" xfId="414"/>
    <cellStyle name="Accent3 2 2 2" xfId="1061"/>
    <cellStyle name="Accent3 2 3" xfId="415"/>
    <cellStyle name="Accent3 2 3 2" xfId="1062"/>
    <cellStyle name="Accent3 2 4" xfId="764"/>
    <cellStyle name="Accent3 2 4 2" xfId="2698"/>
    <cellStyle name="Accent3 2 4 3" xfId="2492"/>
    <cellStyle name="Accent3 2 5" xfId="413"/>
    <cellStyle name="Accent3 2 5 2" xfId="1060"/>
    <cellStyle name="Accent3 2 6" xfId="2343"/>
    <cellStyle name="Accent3 2 6 2" xfId="2598"/>
    <cellStyle name="Accent3 2 7" xfId="2245"/>
    <cellStyle name="Accent3 3" xfId="416"/>
    <cellStyle name="Accent3 3 2" xfId="1063"/>
    <cellStyle name="Accent3 3 3" xfId="3874"/>
    <cellStyle name="Accent3 4" xfId="685"/>
    <cellStyle name="Accent3 5" xfId="412"/>
    <cellStyle name="Accent3 5 2" xfId="1059"/>
    <cellStyle name="Accent3 5 3" xfId="2427"/>
    <cellStyle name="Accent3 6" xfId="2342"/>
    <cellStyle name="Accent3 6 2" xfId="2597"/>
    <cellStyle name="Accent3 7" xfId="2170"/>
    <cellStyle name="Accent4" xfId="44"/>
    <cellStyle name="Accent4 2" xfId="130"/>
    <cellStyle name="Accent4 2 2" xfId="419"/>
    <cellStyle name="Accent4 2 2 2" xfId="1066"/>
    <cellStyle name="Accent4 2 3" xfId="420"/>
    <cellStyle name="Accent4 2 3 2" xfId="1067"/>
    <cellStyle name="Accent4 2 4" xfId="765"/>
    <cellStyle name="Accent4 2 4 2" xfId="2699"/>
    <cellStyle name="Accent4 2 4 3" xfId="2493"/>
    <cellStyle name="Accent4 2 5" xfId="418"/>
    <cellStyle name="Accent4 2 5 2" xfId="1065"/>
    <cellStyle name="Accent4 2 6" xfId="2345"/>
    <cellStyle name="Accent4 2 6 2" xfId="2600"/>
    <cellStyle name="Accent4 2 7" xfId="2246"/>
    <cellStyle name="Accent4 3" xfId="421"/>
    <cellStyle name="Accent4 3 2" xfId="1068"/>
    <cellStyle name="Accent4 3 3" xfId="3832"/>
    <cellStyle name="Accent4 4" xfId="686"/>
    <cellStyle name="Accent4 5" xfId="417"/>
    <cellStyle name="Accent4 5 2" xfId="1064"/>
    <cellStyle name="Accent4 5 3" xfId="2428"/>
    <cellStyle name="Accent4 6" xfId="2344"/>
    <cellStyle name="Accent4 6 2" xfId="2599"/>
    <cellStyle name="Accent4 7" xfId="2171"/>
    <cellStyle name="Accent5" xfId="45"/>
    <cellStyle name="Accent5 2" xfId="131"/>
    <cellStyle name="Accent5 2 2" xfId="424"/>
    <cellStyle name="Accent5 2 2 2" xfId="1071"/>
    <cellStyle name="Accent5 2 3" xfId="425"/>
    <cellStyle name="Accent5 2 3 2" xfId="1072"/>
    <cellStyle name="Accent5 2 4" xfId="766"/>
    <cellStyle name="Accent5 2 4 2" xfId="2700"/>
    <cellStyle name="Accent5 2 4 3" xfId="2494"/>
    <cellStyle name="Accent5 2 5" xfId="423"/>
    <cellStyle name="Accent5 2 5 2" xfId="1070"/>
    <cellStyle name="Accent5 2 6" xfId="2347"/>
    <cellStyle name="Accent5 2 6 2" xfId="2602"/>
    <cellStyle name="Accent5 2 7" xfId="2247"/>
    <cellStyle name="Accent5 3" xfId="426"/>
    <cellStyle name="Accent5 3 2" xfId="1073"/>
    <cellStyle name="Accent5 3 3" xfId="3793"/>
    <cellStyle name="Accent5 4" xfId="687"/>
    <cellStyle name="Accent5 5" xfId="422"/>
    <cellStyle name="Accent5 5 2" xfId="1069"/>
    <cellStyle name="Accent5 5 3" xfId="2429"/>
    <cellStyle name="Accent5 6" xfId="2346"/>
    <cellStyle name="Accent5 6 2" xfId="2601"/>
    <cellStyle name="Accent5 7" xfId="2172"/>
    <cellStyle name="Accent6" xfId="46"/>
    <cellStyle name="Accent6 2" xfId="132"/>
    <cellStyle name="Accent6 2 2" xfId="429"/>
    <cellStyle name="Accent6 2 2 2" xfId="1076"/>
    <cellStyle name="Accent6 2 3" xfId="430"/>
    <cellStyle name="Accent6 2 3 2" xfId="1077"/>
    <cellStyle name="Accent6 2 4" xfId="767"/>
    <cellStyle name="Accent6 2 4 2" xfId="2701"/>
    <cellStyle name="Accent6 2 4 3" xfId="2495"/>
    <cellStyle name="Accent6 2 5" xfId="428"/>
    <cellStyle name="Accent6 2 5 2" xfId="1075"/>
    <cellStyle name="Accent6 2 6" xfId="2349"/>
    <cellStyle name="Accent6 2 6 2" xfId="2604"/>
    <cellStyle name="Accent6 2 7" xfId="2248"/>
    <cellStyle name="Accent6 3" xfId="431"/>
    <cellStyle name="Accent6 3 2" xfId="1078"/>
    <cellStyle name="Accent6 3 3" xfId="3787"/>
    <cellStyle name="Accent6 4" xfId="688"/>
    <cellStyle name="Accent6 5" xfId="427"/>
    <cellStyle name="Accent6 5 2" xfId="1074"/>
    <cellStyle name="Accent6 5 3" xfId="2430"/>
    <cellStyle name="Accent6 6" xfId="2348"/>
    <cellStyle name="Accent6 6 2" xfId="2603"/>
    <cellStyle name="Accent6 7" xfId="2173"/>
    <cellStyle name="Bad" xfId="47"/>
    <cellStyle name="Bad 2" xfId="133"/>
    <cellStyle name="Bad 2 2" xfId="434"/>
    <cellStyle name="Bad 2 2 2" xfId="1081"/>
    <cellStyle name="Bad 2 3" xfId="435"/>
    <cellStyle name="Bad 2 3 2" xfId="1082"/>
    <cellStyle name="Bad 2 4" xfId="768"/>
    <cellStyle name="Bad 2 4 2" xfId="2702"/>
    <cellStyle name="Bad 2 4 3" xfId="2496"/>
    <cellStyle name="Bad 2 5" xfId="433"/>
    <cellStyle name="Bad 2 5 2" xfId="1080"/>
    <cellStyle name="Bad 2 6" xfId="2351"/>
    <cellStyle name="Bad 2 6 2" xfId="2606"/>
    <cellStyle name="Bad 2 7" xfId="2249"/>
    <cellStyle name="Bad 3" xfId="436"/>
    <cellStyle name="Bad 3 2" xfId="1083"/>
    <cellStyle name="Bad 3 3" xfId="3779"/>
    <cellStyle name="Bad 4" xfId="689"/>
    <cellStyle name="Bad 5" xfId="432"/>
    <cellStyle name="Bad 5 2" xfId="1079"/>
    <cellStyle name="Bad 5 3" xfId="2431"/>
    <cellStyle name="Bad 6" xfId="2350"/>
    <cellStyle name="Bad 6 2" xfId="2605"/>
    <cellStyle name="Bad 7" xfId="2174"/>
    <cellStyle name="Calculation" xfId="48"/>
    <cellStyle name="Calculation 2" xfId="134"/>
    <cellStyle name="Calculation 2 2" xfId="208"/>
    <cellStyle name="Calculation 2 2 2" xfId="833"/>
    <cellStyle name="Calculation 2 2 2 2" xfId="1462"/>
    <cellStyle name="Calculation 2 2 3" xfId="439"/>
    <cellStyle name="Calculation 2 2 3 2" xfId="1086"/>
    <cellStyle name="Calculation 2 2 3 2 2" xfId="1499"/>
    <cellStyle name="Calculation 2 2 3 3" xfId="1380"/>
    <cellStyle name="Calculation 2 2 4" xfId="1365"/>
    <cellStyle name="Calculation 2 3" xfId="187"/>
    <cellStyle name="Calculation 2 3 2" xfId="812"/>
    <cellStyle name="Calculation 2 3 2 2" xfId="1441"/>
    <cellStyle name="Calculation 2 3 3" xfId="440"/>
    <cellStyle name="Calculation 2 3 3 2" xfId="1087"/>
    <cellStyle name="Calculation 2 3 3 2 2" xfId="1500"/>
    <cellStyle name="Calculation 2 3 3 3" xfId="1381"/>
    <cellStyle name="Calculation 2 3 4" xfId="1344"/>
    <cellStyle name="Calculation 2 4" xfId="769"/>
    <cellStyle name="Calculation 2 4 2" xfId="1430"/>
    <cellStyle name="Calculation 2 4 3" xfId="2497"/>
    <cellStyle name="Calculation 2 5" xfId="438"/>
    <cellStyle name="Calculation 2 5 2" xfId="1085"/>
    <cellStyle name="Calculation 2 5 2 2" xfId="1498"/>
    <cellStyle name="Calculation 2 5 3" xfId="1379"/>
    <cellStyle name="Calculation 2 6" xfId="1323"/>
    <cellStyle name="Calculation 2 6 2" xfId="2608"/>
    <cellStyle name="Calculation 2 7" xfId="2250"/>
    <cellStyle name="Calculation 3" xfId="197"/>
    <cellStyle name="Calculation 3 2" xfId="822"/>
    <cellStyle name="Calculation 3 2 2" xfId="1451"/>
    <cellStyle name="Calculation 3 3" xfId="441"/>
    <cellStyle name="Calculation 3 3 2" xfId="1088"/>
    <cellStyle name="Calculation 3 3 2 2" xfId="1501"/>
    <cellStyle name="Calculation 3 3 3" xfId="1382"/>
    <cellStyle name="Calculation 3 4" xfId="1354"/>
    <cellStyle name="Calculation 3 4 2" xfId="3866"/>
    <cellStyle name="Calculation 4" xfId="176"/>
    <cellStyle name="Calculation 4 2" xfId="1333"/>
    <cellStyle name="Calculation 5" xfId="437"/>
    <cellStyle name="Calculation 5 2" xfId="1084"/>
    <cellStyle name="Calculation 5 2 2" xfId="1497"/>
    <cellStyle name="Calculation 5 3" xfId="1378"/>
    <cellStyle name="Calculation 5 4" xfId="2432"/>
    <cellStyle name="Calculation 6" xfId="1312"/>
    <cellStyle name="Calculation 6 2" xfId="2607"/>
    <cellStyle name="Calculation 7" xfId="2175"/>
    <cellStyle name="Check Cell" xfId="49"/>
    <cellStyle name="Check Cell 2" xfId="135"/>
    <cellStyle name="Check Cell 2 2" xfId="444"/>
    <cellStyle name="Check Cell 2 2 2" xfId="1091"/>
    <cellStyle name="Check Cell 2 3" xfId="445"/>
    <cellStyle name="Check Cell 2 3 2" xfId="1092"/>
    <cellStyle name="Check Cell 2 4" xfId="770"/>
    <cellStyle name="Check Cell 2 4 2" xfId="2703"/>
    <cellStyle name="Check Cell 2 4 3" xfId="2498"/>
    <cellStyle name="Check Cell 2 5" xfId="443"/>
    <cellStyle name="Check Cell 2 5 2" xfId="1090"/>
    <cellStyle name="Check Cell 2 6" xfId="2353"/>
    <cellStyle name="Check Cell 2 6 2" xfId="2610"/>
    <cellStyle name="Check Cell 2 7" xfId="2251"/>
    <cellStyle name="Check Cell 3" xfId="446"/>
    <cellStyle name="Check Cell 3 2" xfId="1093"/>
    <cellStyle name="Check Cell 3 3" xfId="2195"/>
    <cellStyle name="Check Cell 4" xfId="690"/>
    <cellStyle name="Check Cell 5" xfId="442"/>
    <cellStyle name="Check Cell 5 2" xfId="1089"/>
    <cellStyle name="Check Cell 5 3" xfId="2433"/>
    <cellStyle name="Check Cell 6" xfId="2352"/>
    <cellStyle name="Check Cell 6 2" xfId="2609"/>
    <cellStyle name="Check Cell 7" xfId="2176"/>
    <cellStyle name="Explanatory Text" xfId="50"/>
    <cellStyle name="Explanatory Text 2" xfId="136"/>
    <cellStyle name="Explanatory Text 2 2" xfId="449"/>
    <cellStyle name="Explanatory Text 2 2 2" xfId="1096"/>
    <cellStyle name="Explanatory Text 2 3" xfId="450"/>
    <cellStyle name="Explanatory Text 2 3 2" xfId="1097"/>
    <cellStyle name="Explanatory Text 2 4" xfId="771"/>
    <cellStyle name="Explanatory Text 2 5" xfId="448"/>
    <cellStyle name="Explanatory Text 2 5 2" xfId="1095"/>
    <cellStyle name="Explanatory Text 3" xfId="451"/>
    <cellStyle name="Explanatory Text 3 2" xfId="1098"/>
    <cellStyle name="Explanatory Text 4" xfId="691"/>
    <cellStyle name="Explanatory Text 5" xfId="447"/>
    <cellStyle name="Explanatory Text 5 2" xfId="1094"/>
    <cellStyle name="Good" xfId="51"/>
    <cellStyle name="Good 2" xfId="137"/>
    <cellStyle name="Good 2 2" xfId="454"/>
    <cellStyle name="Good 2 2 2" xfId="1101"/>
    <cellStyle name="Good 2 3" xfId="455"/>
    <cellStyle name="Good 2 3 2" xfId="1102"/>
    <cellStyle name="Good 2 4" xfId="772"/>
    <cellStyle name="Good 2 4 2" xfId="2704"/>
    <cellStyle name="Good 2 4 3" xfId="2500"/>
    <cellStyle name="Good 2 5" xfId="453"/>
    <cellStyle name="Good 2 5 2" xfId="1100"/>
    <cellStyle name="Good 2 6" xfId="2355"/>
    <cellStyle name="Good 2 6 2" xfId="2612"/>
    <cellStyle name="Good 2 7" xfId="2253"/>
    <cellStyle name="Good 3" xfId="456"/>
    <cellStyle name="Good 3 2" xfId="1103"/>
    <cellStyle name="Good 3 3" xfId="3861"/>
    <cellStyle name="Good 4" xfId="692"/>
    <cellStyle name="Good 5" xfId="452"/>
    <cellStyle name="Good 5 2" xfId="1099"/>
    <cellStyle name="Good 5 3" xfId="2435"/>
    <cellStyle name="Good 6" xfId="2354"/>
    <cellStyle name="Good 6 2" xfId="2611"/>
    <cellStyle name="Good 7" xfId="2178"/>
    <cellStyle name="Heading 1" xfId="52"/>
    <cellStyle name="Heading 1 2" xfId="138"/>
    <cellStyle name="Heading 1 2 2" xfId="459"/>
    <cellStyle name="Heading 1 2 2 2" xfId="1106"/>
    <cellStyle name="Heading 1 2 3" xfId="460"/>
    <cellStyle name="Heading 1 2 3 2" xfId="1107"/>
    <cellStyle name="Heading 1 2 4" xfId="773"/>
    <cellStyle name="Heading 1 2 5" xfId="458"/>
    <cellStyle name="Heading 1 2 5 2" xfId="1105"/>
    <cellStyle name="Heading 1 3" xfId="461"/>
    <cellStyle name="Heading 1 3 2" xfId="1108"/>
    <cellStyle name="Heading 1 4" xfId="693"/>
    <cellStyle name="Heading 1 5" xfId="457"/>
    <cellStyle name="Heading 1 5 2" xfId="1104"/>
    <cellStyle name="Heading 2" xfId="53"/>
    <cellStyle name="Heading 2 2" xfId="139"/>
    <cellStyle name="Heading 2 2 2" xfId="464"/>
    <cellStyle name="Heading 2 2 2 2" xfId="1111"/>
    <cellStyle name="Heading 2 2 3" xfId="465"/>
    <cellStyle name="Heading 2 2 3 2" xfId="1112"/>
    <cellStyle name="Heading 2 2 4" xfId="774"/>
    <cellStyle name="Heading 2 2 5" xfId="463"/>
    <cellStyle name="Heading 2 2 5 2" xfId="1110"/>
    <cellStyle name="Heading 2 3" xfId="466"/>
    <cellStyle name="Heading 2 3 2" xfId="1113"/>
    <cellStyle name="Heading 2 4" xfId="694"/>
    <cellStyle name="Heading 2 5" xfId="462"/>
    <cellStyle name="Heading 2 5 2" xfId="1109"/>
    <cellStyle name="Heading 3" xfId="54"/>
    <cellStyle name="Heading 3 2" xfId="140"/>
    <cellStyle name="Heading 3 2 2" xfId="469"/>
    <cellStyle name="Heading 3 2 2 2" xfId="1116"/>
    <cellStyle name="Heading 3 2 3" xfId="470"/>
    <cellStyle name="Heading 3 2 3 2" xfId="1117"/>
    <cellStyle name="Heading 3 2 4" xfId="775"/>
    <cellStyle name="Heading 3 2 5" xfId="468"/>
    <cellStyle name="Heading 3 2 5 2" xfId="1115"/>
    <cellStyle name="Heading 3 3" xfId="471"/>
    <cellStyle name="Heading 3 3 2" xfId="1118"/>
    <cellStyle name="Heading 3 4" xfId="695"/>
    <cellStyle name="Heading 3 5" xfId="467"/>
    <cellStyle name="Heading 3 5 2" xfId="1114"/>
    <cellStyle name="Heading 4" xfId="55"/>
    <cellStyle name="Heading 4 2" xfId="141"/>
    <cellStyle name="Heading 4 2 2" xfId="474"/>
    <cellStyle name="Heading 4 2 2 2" xfId="1121"/>
    <cellStyle name="Heading 4 2 3" xfId="475"/>
    <cellStyle name="Heading 4 2 3 2" xfId="1122"/>
    <cellStyle name="Heading 4 2 4" xfId="776"/>
    <cellStyle name="Heading 4 2 5" xfId="473"/>
    <cellStyle name="Heading 4 2 5 2" xfId="1120"/>
    <cellStyle name="Heading 4 3" xfId="476"/>
    <cellStyle name="Heading 4 3 2" xfId="1123"/>
    <cellStyle name="Heading 4 4" xfId="696"/>
    <cellStyle name="Heading 4 5" xfId="472"/>
    <cellStyle name="Heading 4 5 2" xfId="1119"/>
    <cellStyle name="Input" xfId="56"/>
    <cellStyle name="Input 2" xfId="142"/>
    <cellStyle name="Input 2 2" xfId="209"/>
    <cellStyle name="Input 2 2 2" xfId="834"/>
    <cellStyle name="Input 2 2 2 2" xfId="1463"/>
    <cellStyle name="Input 2 2 3" xfId="479"/>
    <cellStyle name="Input 2 2 3 2" xfId="1126"/>
    <cellStyle name="Input 2 2 3 2 2" xfId="1504"/>
    <cellStyle name="Input 2 2 3 3" xfId="1385"/>
    <cellStyle name="Input 2 2 4" xfId="1366"/>
    <cellStyle name="Input 2 3" xfId="188"/>
    <cellStyle name="Input 2 3 2" xfId="813"/>
    <cellStyle name="Input 2 3 2 2" xfId="1442"/>
    <cellStyle name="Input 2 3 3" xfId="480"/>
    <cellStyle name="Input 2 3 3 2" xfId="1127"/>
    <cellStyle name="Input 2 3 3 2 2" xfId="1505"/>
    <cellStyle name="Input 2 3 3 3" xfId="1386"/>
    <cellStyle name="Input 2 3 4" xfId="1345"/>
    <cellStyle name="Input 2 4" xfId="777"/>
    <cellStyle name="Input 2 4 2" xfId="1431"/>
    <cellStyle name="Input 2 4 3" xfId="2451"/>
    <cellStyle name="Input 2 5" xfId="478"/>
    <cellStyle name="Input 2 5 2" xfId="1125"/>
    <cellStyle name="Input 2 5 2 2" xfId="1503"/>
    <cellStyle name="Input 2 5 3" xfId="1384"/>
    <cellStyle name="Input 2 6" xfId="1324"/>
    <cellStyle name="Input 2 6 2" xfId="2614"/>
    <cellStyle name="Input 2 7" xfId="2203"/>
    <cellStyle name="Input 3" xfId="198"/>
    <cellStyle name="Input 3 2" xfId="823"/>
    <cellStyle name="Input 3 2 2" xfId="1452"/>
    <cellStyle name="Input 3 3" xfId="481"/>
    <cellStyle name="Input 3 3 2" xfId="1128"/>
    <cellStyle name="Input 3 3 2 2" xfId="1506"/>
    <cellStyle name="Input 3 3 3" xfId="1387"/>
    <cellStyle name="Input 3 4" xfId="1355"/>
    <cellStyle name="Input 3 4 2" xfId="3897"/>
    <cellStyle name="Input 4" xfId="177"/>
    <cellStyle name="Input 4 2" xfId="1334"/>
    <cellStyle name="Input 5" xfId="477"/>
    <cellStyle name="Input 5 2" xfId="1124"/>
    <cellStyle name="Input 5 2 2" xfId="1502"/>
    <cellStyle name="Input 5 3" xfId="1383"/>
    <cellStyle name="Input 5 4" xfId="2386"/>
    <cellStyle name="Input 6" xfId="1313"/>
    <cellStyle name="Input 6 2" xfId="2613"/>
    <cellStyle name="Input 7" xfId="2129"/>
    <cellStyle name="Linked Cell" xfId="57"/>
    <cellStyle name="Linked Cell 2" xfId="143"/>
    <cellStyle name="Linked Cell 2 2" xfId="484"/>
    <cellStyle name="Linked Cell 2 2 2" xfId="1131"/>
    <cellStyle name="Linked Cell 2 3" xfId="485"/>
    <cellStyle name="Linked Cell 2 3 2" xfId="1132"/>
    <cellStyle name="Linked Cell 2 4" xfId="778"/>
    <cellStyle name="Linked Cell 2 5" xfId="483"/>
    <cellStyle name="Linked Cell 2 5 2" xfId="1130"/>
    <cellStyle name="Linked Cell 3" xfId="486"/>
    <cellStyle name="Linked Cell 3 2" xfId="1133"/>
    <cellStyle name="Linked Cell 4" xfId="697"/>
    <cellStyle name="Linked Cell 5" xfId="482"/>
    <cellStyle name="Linked Cell 5 2" xfId="1129"/>
    <cellStyle name="Neutral" xfId="58"/>
    <cellStyle name="Neutral 2" xfId="144"/>
    <cellStyle name="Neutral 2 2" xfId="489"/>
    <cellStyle name="Neutral 2 2 2" xfId="1136"/>
    <cellStyle name="Neutral 2 3" xfId="490"/>
    <cellStyle name="Neutral 2 3 2" xfId="1137"/>
    <cellStyle name="Neutral 2 4" xfId="779"/>
    <cellStyle name="Neutral 2 4 2" xfId="2705"/>
    <cellStyle name="Neutral 2 4 3" xfId="2486"/>
    <cellStyle name="Neutral 2 5" xfId="488"/>
    <cellStyle name="Neutral 2 5 2" xfId="1135"/>
    <cellStyle name="Neutral 2 6" xfId="2357"/>
    <cellStyle name="Neutral 2 6 2" xfId="2616"/>
    <cellStyle name="Neutral 2 7" xfId="2239"/>
    <cellStyle name="Neutral 3" xfId="491"/>
    <cellStyle name="Neutral 3 2" xfId="1138"/>
    <cellStyle name="Neutral 3 3" xfId="3873"/>
    <cellStyle name="Neutral 4" xfId="698"/>
    <cellStyle name="Neutral 5" xfId="487"/>
    <cellStyle name="Neutral 5 2" xfId="1134"/>
    <cellStyle name="Neutral 5 3" xfId="2421"/>
    <cellStyle name="Neutral 6" xfId="2356"/>
    <cellStyle name="Neutral 6 2" xfId="2615"/>
    <cellStyle name="Neutral 7" xfId="2164"/>
    <cellStyle name="Note" xfId="59"/>
    <cellStyle name="Note 2" xfId="145"/>
    <cellStyle name="Note 2 2" xfId="210"/>
    <cellStyle name="Note 2 2 2" xfId="835"/>
    <cellStyle name="Note 2 2 2 2" xfId="1464"/>
    <cellStyle name="Note 2 2 3" xfId="494"/>
    <cellStyle name="Note 2 2 3 2" xfId="1141"/>
    <cellStyle name="Note 2 2 3 2 2" xfId="1509"/>
    <cellStyle name="Note 2 2 3 3" xfId="1390"/>
    <cellStyle name="Note 2 2 4" xfId="1367"/>
    <cellStyle name="Note 2 3" xfId="189"/>
    <cellStyle name="Note 2 3 2" xfId="814"/>
    <cellStyle name="Note 2 3 2 2" xfId="1443"/>
    <cellStyle name="Note 2 3 3" xfId="495"/>
    <cellStyle name="Note 2 3 3 2" xfId="1142"/>
    <cellStyle name="Note 2 3 3 2 2" xfId="1510"/>
    <cellStyle name="Note 2 3 3 3" xfId="1391"/>
    <cellStyle name="Note 2 3 4" xfId="1346"/>
    <cellStyle name="Note 2 4" xfId="780"/>
    <cellStyle name="Note 2 4 2" xfId="1432"/>
    <cellStyle name="Note 2 4 3" xfId="2502"/>
    <cellStyle name="Note 2 5" xfId="493"/>
    <cellStyle name="Note 2 5 2" xfId="1140"/>
    <cellStyle name="Note 2 5 2 2" xfId="1508"/>
    <cellStyle name="Note 2 5 3" xfId="1389"/>
    <cellStyle name="Note 2 6" xfId="1325"/>
    <cellStyle name="Note 2 6 2" xfId="2618"/>
    <cellStyle name="Note 2 7" xfId="2255"/>
    <cellStyle name="Note 3" xfId="199"/>
    <cellStyle name="Note 3 2" xfId="824"/>
    <cellStyle name="Note 3 2 2" xfId="1453"/>
    <cellStyle name="Note 3 3" xfId="496"/>
    <cellStyle name="Note 3 3 2" xfId="1143"/>
    <cellStyle name="Note 3 3 2 2" xfId="1511"/>
    <cellStyle name="Note 3 3 3" xfId="1392"/>
    <cellStyle name="Note 3 4" xfId="1356"/>
    <cellStyle name="Note 3 4 2" xfId="3896"/>
    <cellStyle name="Note 4" xfId="178"/>
    <cellStyle name="Note 4 2" xfId="1335"/>
    <cellStyle name="Note 5" xfId="492"/>
    <cellStyle name="Note 5 2" xfId="1139"/>
    <cellStyle name="Note 5 2 2" xfId="1507"/>
    <cellStyle name="Note 5 3" xfId="1388"/>
    <cellStyle name="Note 5 4" xfId="2437"/>
    <cellStyle name="Note 6" xfId="1314"/>
    <cellStyle name="Note 6 2" xfId="2617"/>
    <cellStyle name="Note 7" xfId="2180"/>
    <cellStyle name="Output" xfId="60"/>
    <cellStyle name="Output 2" xfId="146"/>
    <cellStyle name="Output 2 2" xfId="211"/>
    <cellStyle name="Output 2 2 2" xfId="836"/>
    <cellStyle name="Output 2 2 2 2" xfId="1465"/>
    <cellStyle name="Output 2 2 2 2 2" xfId="1663"/>
    <cellStyle name="Output 2 2 3" xfId="499"/>
    <cellStyle name="Output 2 2 3 2" xfId="1146"/>
    <cellStyle name="Output 2 2 3 2 2" xfId="1514"/>
    <cellStyle name="Output 2 2 3 2 2 2" xfId="1692"/>
    <cellStyle name="Output 2 2 3 3" xfId="1395"/>
    <cellStyle name="Output 2 2 3 3 2" xfId="1644"/>
    <cellStyle name="Output 2 2 4" xfId="1368"/>
    <cellStyle name="Output 2 2 4 2" xfId="1637"/>
    <cellStyle name="Output 2 3" xfId="190"/>
    <cellStyle name="Output 2 3 2" xfId="815"/>
    <cellStyle name="Output 2 3 2 2" xfId="1444"/>
    <cellStyle name="Output 2 3 2 2 2" xfId="1658"/>
    <cellStyle name="Output 2 3 3" xfId="500"/>
    <cellStyle name="Output 2 3 3 2" xfId="1147"/>
    <cellStyle name="Output 2 3 3 2 2" xfId="1515"/>
    <cellStyle name="Output 2 3 3 2 2 2" xfId="1693"/>
    <cellStyle name="Output 2 3 3 3" xfId="1396"/>
    <cellStyle name="Output 2 3 3 3 2" xfId="1645"/>
    <cellStyle name="Output 2 3 4" xfId="1347"/>
    <cellStyle name="Output 2 3 4 2" xfId="1632"/>
    <cellStyle name="Output 2 4" xfId="781"/>
    <cellStyle name="Output 2 4 2" xfId="1433"/>
    <cellStyle name="Output 2 4 2 2" xfId="1655"/>
    <cellStyle name="Output 2 4 3" xfId="2503"/>
    <cellStyle name="Output 2 5" xfId="498"/>
    <cellStyle name="Output 2 5 2" xfId="1145"/>
    <cellStyle name="Output 2 5 2 2" xfId="1513"/>
    <cellStyle name="Output 2 5 2 2 2" xfId="1691"/>
    <cellStyle name="Output 2 5 3" xfId="1394"/>
    <cellStyle name="Output 2 5 3 2" xfId="1643"/>
    <cellStyle name="Output 2 6" xfId="1326"/>
    <cellStyle name="Output 2 6 2" xfId="1627"/>
    <cellStyle name="Output 2 7" xfId="2256"/>
    <cellStyle name="Output 3" xfId="200"/>
    <cellStyle name="Output 3 2" xfId="825"/>
    <cellStyle name="Output 3 2 2" xfId="1454"/>
    <cellStyle name="Output 3 2 2 2" xfId="1660"/>
    <cellStyle name="Output 3 3" xfId="501"/>
    <cellStyle name="Output 3 3 2" xfId="1148"/>
    <cellStyle name="Output 3 3 2 2" xfId="1516"/>
    <cellStyle name="Output 3 3 2 2 2" xfId="1694"/>
    <cellStyle name="Output 3 3 3" xfId="1397"/>
    <cellStyle name="Output 3 3 3 2" xfId="1646"/>
    <cellStyle name="Output 3 4" xfId="1357"/>
    <cellStyle name="Output 3 4 2" xfId="1634"/>
    <cellStyle name="Output 3 4 3" xfId="3798"/>
    <cellStyle name="Output 4" xfId="179"/>
    <cellStyle name="Output 4 2" xfId="699"/>
    <cellStyle name="Output 4 2 2" xfId="1427"/>
    <cellStyle name="Output 4 2 2 2" xfId="1652"/>
    <cellStyle name="Output 4 3" xfId="1336"/>
    <cellStyle name="Output 4 3 2" xfId="1629"/>
    <cellStyle name="Output 5" xfId="497"/>
    <cellStyle name="Output 5 2" xfId="1144"/>
    <cellStyle name="Output 5 2 2" xfId="1512"/>
    <cellStyle name="Output 5 2 2 2" xfId="1690"/>
    <cellStyle name="Output 5 3" xfId="1393"/>
    <cellStyle name="Output 5 3 2" xfId="1642"/>
    <cellStyle name="Output 5 4" xfId="2438"/>
    <cellStyle name="Output 6" xfId="1315"/>
    <cellStyle name="Output 6 2" xfId="1624"/>
    <cellStyle name="Output 7" xfId="2181"/>
    <cellStyle name="Title" xfId="61"/>
    <cellStyle name="Title 2" xfId="147"/>
    <cellStyle name="Title 2 2" xfId="504"/>
    <cellStyle name="Title 2 2 2" xfId="1151"/>
    <cellStyle name="Title 2 3" xfId="505"/>
    <cellStyle name="Title 2 3 2" xfId="1152"/>
    <cellStyle name="Title 2 4" xfId="782"/>
    <cellStyle name="Title 2 5" xfId="503"/>
    <cellStyle name="Title 2 5 2" xfId="1150"/>
    <cellStyle name="Title 3" xfId="506"/>
    <cellStyle name="Title 3 2" xfId="1153"/>
    <cellStyle name="Title 4" xfId="700"/>
    <cellStyle name="Title 5" xfId="502"/>
    <cellStyle name="Title 5 2" xfId="1149"/>
    <cellStyle name="Total" xfId="62"/>
    <cellStyle name="Total 2" xfId="148"/>
    <cellStyle name="Total 2 2" xfId="212"/>
    <cellStyle name="Total 2 2 2" xfId="837"/>
    <cellStyle name="Total 2 2 2 2" xfId="1466"/>
    <cellStyle name="Total 2 2 3" xfId="509"/>
    <cellStyle name="Total 2 2 3 2" xfId="1156"/>
    <cellStyle name="Total 2 2 3 2 2" xfId="1519"/>
    <cellStyle name="Total 2 2 3 3" xfId="1400"/>
    <cellStyle name="Total 2 2 4" xfId="1369"/>
    <cellStyle name="Total 2 3" xfId="191"/>
    <cellStyle name="Total 2 3 2" xfId="816"/>
    <cellStyle name="Total 2 3 2 2" xfId="1445"/>
    <cellStyle name="Total 2 3 3" xfId="510"/>
    <cellStyle name="Total 2 3 3 2" xfId="1157"/>
    <cellStyle name="Total 2 3 3 2 2" xfId="1520"/>
    <cellStyle name="Total 2 3 3 3" xfId="1401"/>
    <cellStyle name="Total 2 3 4" xfId="1348"/>
    <cellStyle name="Total 2 4" xfId="783"/>
    <cellStyle name="Total 2 4 2" xfId="1434"/>
    <cellStyle name="Total 2 5" xfId="508"/>
    <cellStyle name="Total 2 5 2" xfId="1155"/>
    <cellStyle name="Total 2 5 2 2" xfId="1518"/>
    <cellStyle name="Total 2 5 3" xfId="1399"/>
    <cellStyle name="Total 2 6" xfId="1327"/>
    <cellStyle name="Total 3" xfId="201"/>
    <cellStyle name="Total 3 2" xfId="826"/>
    <cellStyle name="Total 3 2 2" xfId="1455"/>
    <cellStyle name="Total 3 3" xfId="511"/>
    <cellStyle name="Total 3 3 2" xfId="1158"/>
    <cellStyle name="Total 3 3 2 2" xfId="1521"/>
    <cellStyle name="Total 3 3 3" xfId="1402"/>
    <cellStyle name="Total 3 4" xfId="1358"/>
    <cellStyle name="Total 4" xfId="180"/>
    <cellStyle name="Total 4 2" xfId="1337"/>
    <cellStyle name="Total 5" xfId="507"/>
    <cellStyle name="Total 5 2" xfId="1154"/>
    <cellStyle name="Total 5 2 2" xfId="1517"/>
    <cellStyle name="Total 5 3" xfId="1398"/>
    <cellStyle name="Total 6" xfId="1316"/>
    <cellStyle name="Warning Text" xfId="63"/>
    <cellStyle name="Warning Text 2" xfId="149"/>
    <cellStyle name="Warning Text 2 2" xfId="514"/>
    <cellStyle name="Warning Text 2 2 2" xfId="1161"/>
    <cellStyle name="Warning Text 2 3" xfId="515"/>
    <cellStyle name="Warning Text 2 3 2" xfId="1162"/>
    <cellStyle name="Warning Text 2 4" xfId="784"/>
    <cellStyle name="Warning Text 2 5" xfId="513"/>
    <cellStyle name="Warning Text 2 5 2" xfId="1160"/>
    <cellStyle name="Warning Text 3" xfId="516"/>
    <cellStyle name="Warning Text 3 2" xfId="1163"/>
    <cellStyle name="Warning Text 4" xfId="701"/>
    <cellStyle name="Warning Text 5" xfId="512"/>
    <cellStyle name="Warning Text 5 2" xfId="1159"/>
    <cellStyle name="标题 1 2" xfId="64"/>
    <cellStyle name="标题 1 2 2" xfId="150"/>
    <cellStyle name="标题 1 2 2 2" xfId="519"/>
    <cellStyle name="标题 1 2 2 2 2" xfId="1166"/>
    <cellStyle name="标题 1 2 2 2 2 2" xfId="3394"/>
    <cellStyle name="标题 1 2 2 2 3" xfId="2883"/>
    <cellStyle name="标题 1 2 2 2 3 2" xfId="2884"/>
    <cellStyle name="标题 1 2 2 2 3 2 2" xfId="3396"/>
    <cellStyle name="标题 1 2 2 2 3 3" xfId="3395"/>
    <cellStyle name="标题 1 2 2 2 4" xfId="2885"/>
    <cellStyle name="标题 1 2 2 2 4 2" xfId="3397"/>
    <cellStyle name="标题 1 2 2 2 5" xfId="2886"/>
    <cellStyle name="标题 1 2 2 2 5 2" xfId="3398"/>
    <cellStyle name="标题 1 2 2 2 6" xfId="3393"/>
    <cellStyle name="标题 1 2 2 3" xfId="520"/>
    <cellStyle name="标题 1 2 2 3 2" xfId="1167"/>
    <cellStyle name="标题 1 2 2 3 2 2" xfId="3400"/>
    <cellStyle name="标题 1 2 2 3 3" xfId="3399"/>
    <cellStyle name="标题 1 2 2 4" xfId="785"/>
    <cellStyle name="标题 1 2 2 4 2" xfId="3737"/>
    <cellStyle name="标题 1 2 2 5" xfId="518"/>
    <cellStyle name="标题 1 2 2 5 2" xfId="1165"/>
    <cellStyle name="标题 1 2 3" xfId="521"/>
    <cellStyle name="标题 1 2 3 2" xfId="1168"/>
    <cellStyle name="标题 1 2 3 2 2" xfId="3402"/>
    <cellStyle name="标题 1 2 3 3" xfId="2887"/>
    <cellStyle name="标题 1 2 3 3 2" xfId="2888"/>
    <cellStyle name="标题 1 2 3 3 2 2" xfId="3404"/>
    <cellStyle name="标题 1 2 3 3 3" xfId="3403"/>
    <cellStyle name="标题 1 2 3 4" xfId="2889"/>
    <cellStyle name="标题 1 2 3 4 2" xfId="3405"/>
    <cellStyle name="标题 1 2 3 5" xfId="2890"/>
    <cellStyle name="标题 1 2 3 5 2" xfId="3406"/>
    <cellStyle name="标题 1 2 3 6" xfId="3401"/>
    <cellStyle name="标题 1 2 3 6 2" xfId="3738"/>
    <cellStyle name="标题 1 2 3 7" xfId="3075"/>
    <cellStyle name="标题 1 2 3 8" xfId="3881"/>
    <cellStyle name="标题 1 2 4" xfId="702"/>
    <cellStyle name="标题 1 2 4 2" xfId="2891"/>
    <cellStyle name="标题 1 2 4 2 2" xfId="3408"/>
    <cellStyle name="标题 1 2 4 3" xfId="3407"/>
    <cellStyle name="标题 1 2 5" xfId="517"/>
    <cellStyle name="标题 1 2 5 2" xfId="1164"/>
    <cellStyle name="标题 1 2 6" xfId="3074"/>
    <cellStyle name="标题 2 2" xfId="65"/>
    <cellStyle name="标题 2 2 2" xfId="151"/>
    <cellStyle name="标题 2 2 2 2" xfId="524"/>
    <cellStyle name="标题 2 2 2 2 2" xfId="1171"/>
    <cellStyle name="标题 2 2 2 2 2 2" xfId="3410"/>
    <cellStyle name="标题 2 2 2 2 3" xfId="2892"/>
    <cellStyle name="标题 2 2 2 2 3 2" xfId="2893"/>
    <cellStyle name="标题 2 2 2 2 3 2 2" xfId="3412"/>
    <cellStyle name="标题 2 2 2 2 3 3" xfId="3411"/>
    <cellStyle name="标题 2 2 2 2 4" xfId="2894"/>
    <cellStyle name="标题 2 2 2 2 4 2" xfId="3413"/>
    <cellStyle name="标题 2 2 2 2 5" xfId="2895"/>
    <cellStyle name="标题 2 2 2 2 5 2" xfId="3414"/>
    <cellStyle name="标题 2 2 2 2 6" xfId="3409"/>
    <cellStyle name="标题 2 2 2 3" xfId="525"/>
    <cellStyle name="标题 2 2 2 3 2" xfId="1172"/>
    <cellStyle name="标题 2 2 2 3 2 2" xfId="3416"/>
    <cellStyle name="标题 2 2 2 3 3" xfId="3415"/>
    <cellStyle name="标题 2 2 2 4" xfId="786"/>
    <cellStyle name="标题 2 2 2 4 2" xfId="3739"/>
    <cellStyle name="标题 2 2 2 5" xfId="523"/>
    <cellStyle name="标题 2 2 2 5 2" xfId="1170"/>
    <cellStyle name="标题 2 2 3" xfId="526"/>
    <cellStyle name="标题 2 2 3 2" xfId="1173"/>
    <cellStyle name="标题 2 2 3 2 2" xfId="3418"/>
    <cellStyle name="标题 2 2 3 3" xfId="2896"/>
    <cellStyle name="标题 2 2 3 3 2" xfId="2897"/>
    <cellStyle name="标题 2 2 3 3 2 2" xfId="3420"/>
    <cellStyle name="标题 2 2 3 3 3" xfId="3419"/>
    <cellStyle name="标题 2 2 3 4" xfId="2898"/>
    <cellStyle name="标题 2 2 3 4 2" xfId="3421"/>
    <cellStyle name="标题 2 2 3 5" xfId="2899"/>
    <cellStyle name="标题 2 2 3 5 2" xfId="3422"/>
    <cellStyle name="标题 2 2 3 6" xfId="3417"/>
    <cellStyle name="标题 2 2 3 6 2" xfId="3740"/>
    <cellStyle name="标题 2 2 3 7" xfId="3077"/>
    <cellStyle name="标题 2 2 3 8" xfId="3841"/>
    <cellStyle name="标题 2 2 4" xfId="703"/>
    <cellStyle name="标题 2 2 4 2" xfId="2900"/>
    <cellStyle name="标题 2 2 4 2 2" xfId="3424"/>
    <cellStyle name="标题 2 2 4 3" xfId="3423"/>
    <cellStyle name="标题 2 2 5" xfId="522"/>
    <cellStyle name="标题 2 2 5 2" xfId="1169"/>
    <cellStyle name="标题 2 2 6" xfId="3076"/>
    <cellStyle name="标题 3 2" xfId="66"/>
    <cellStyle name="标题 3 2 2" xfId="152"/>
    <cellStyle name="标题 3 2 2 2" xfId="529"/>
    <cellStyle name="标题 3 2 2 2 2" xfId="1176"/>
    <cellStyle name="标题 3 2 2 2 2 2" xfId="3426"/>
    <cellStyle name="标题 3 2 2 2 3" xfId="2901"/>
    <cellStyle name="标题 3 2 2 2 3 2" xfId="2902"/>
    <cellStyle name="标题 3 2 2 2 3 2 2" xfId="3428"/>
    <cellStyle name="标题 3 2 2 2 3 3" xfId="3427"/>
    <cellStyle name="标题 3 2 2 2 4" xfId="2903"/>
    <cellStyle name="标题 3 2 2 2 4 2" xfId="3429"/>
    <cellStyle name="标题 3 2 2 2 5" xfId="2904"/>
    <cellStyle name="标题 3 2 2 2 5 2" xfId="3430"/>
    <cellStyle name="标题 3 2 2 2 6" xfId="3425"/>
    <cellStyle name="标题 3 2 2 3" xfId="530"/>
    <cellStyle name="标题 3 2 2 3 2" xfId="1177"/>
    <cellStyle name="标题 3 2 2 3 2 2" xfId="3432"/>
    <cellStyle name="标题 3 2 2 3 3" xfId="3431"/>
    <cellStyle name="标题 3 2 2 4" xfId="787"/>
    <cellStyle name="标题 3 2 2 4 2" xfId="3741"/>
    <cellStyle name="标题 3 2 2 5" xfId="528"/>
    <cellStyle name="标题 3 2 2 5 2" xfId="1175"/>
    <cellStyle name="标题 3 2 3" xfId="531"/>
    <cellStyle name="标题 3 2 3 2" xfId="1178"/>
    <cellStyle name="标题 3 2 3 2 2" xfId="3434"/>
    <cellStyle name="标题 3 2 3 3" xfId="2905"/>
    <cellStyle name="标题 3 2 3 3 2" xfId="2906"/>
    <cellStyle name="标题 3 2 3 3 2 2" xfId="3436"/>
    <cellStyle name="标题 3 2 3 3 3" xfId="3435"/>
    <cellStyle name="标题 3 2 3 4" xfId="2907"/>
    <cellStyle name="标题 3 2 3 4 2" xfId="3437"/>
    <cellStyle name="标题 3 2 3 5" xfId="2908"/>
    <cellStyle name="标题 3 2 3 5 2" xfId="3438"/>
    <cellStyle name="标题 3 2 3 6" xfId="3433"/>
    <cellStyle name="标题 3 2 3 6 2" xfId="3742"/>
    <cellStyle name="标题 3 2 3 7" xfId="3079"/>
    <cellStyle name="标题 3 2 3 8" xfId="3867"/>
    <cellStyle name="标题 3 2 4" xfId="704"/>
    <cellStyle name="标题 3 2 4 2" xfId="2909"/>
    <cellStyle name="标题 3 2 4 2 2" xfId="3440"/>
    <cellStyle name="标题 3 2 4 3" xfId="3439"/>
    <cellStyle name="标题 3 2 5" xfId="527"/>
    <cellStyle name="标题 3 2 5 2" xfId="1174"/>
    <cellStyle name="标题 3 2 6" xfId="3078"/>
    <cellStyle name="标题 4 2" xfId="67"/>
    <cellStyle name="标题 4 2 2" xfId="153"/>
    <cellStyle name="标题 4 2 2 2" xfId="534"/>
    <cellStyle name="标题 4 2 2 2 2" xfId="1181"/>
    <cellStyle name="标题 4 2 2 2 2 2" xfId="3442"/>
    <cellStyle name="标题 4 2 2 2 3" xfId="2910"/>
    <cellStyle name="标题 4 2 2 2 3 2" xfId="2911"/>
    <cellStyle name="标题 4 2 2 2 3 2 2" xfId="3444"/>
    <cellStyle name="标题 4 2 2 2 3 3" xfId="3443"/>
    <cellStyle name="标题 4 2 2 2 4" xfId="2912"/>
    <cellStyle name="标题 4 2 2 2 4 2" xfId="3445"/>
    <cellStyle name="标题 4 2 2 2 5" xfId="2913"/>
    <cellStyle name="标题 4 2 2 2 5 2" xfId="3446"/>
    <cellStyle name="标题 4 2 2 2 6" xfId="3441"/>
    <cellStyle name="标题 4 2 2 3" xfId="535"/>
    <cellStyle name="标题 4 2 2 3 2" xfId="1182"/>
    <cellStyle name="标题 4 2 2 3 2 2" xfId="3448"/>
    <cellStyle name="标题 4 2 2 3 3" xfId="3447"/>
    <cellStyle name="标题 4 2 2 4" xfId="788"/>
    <cellStyle name="标题 4 2 2 4 2" xfId="3743"/>
    <cellStyle name="标题 4 2 2 5" xfId="533"/>
    <cellStyle name="标题 4 2 2 5 2" xfId="1180"/>
    <cellStyle name="标题 4 2 3" xfId="536"/>
    <cellStyle name="标题 4 2 3 2" xfId="1183"/>
    <cellStyle name="标题 4 2 3 2 2" xfId="3450"/>
    <cellStyle name="标题 4 2 3 3" xfId="2914"/>
    <cellStyle name="标题 4 2 3 3 2" xfId="2915"/>
    <cellStyle name="标题 4 2 3 3 2 2" xfId="3452"/>
    <cellStyle name="标题 4 2 3 3 3" xfId="3451"/>
    <cellStyle name="标题 4 2 3 4" xfId="2916"/>
    <cellStyle name="标题 4 2 3 4 2" xfId="3453"/>
    <cellStyle name="标题 4 2 3 5" xfId="2917"/>
    <cellStyle name="标题 4 2 3 5 2" xfId="3454"/>
    <cellStyle name="标题 4 2 3 6" xfId="3449"/>
    <cellStyle name="标题 4 2 3 6 2" xfId="3744"/>
    <cellStyle name="标题 4 2 3 7" xfId="3081"/>
    <cellStyle name="标题 4 2 3 8" xfId="3785"/>
    <cellStyle name="标题 4 2 4" xfId="705"/>
    <cellStyle name="标题 4 2 4 2" xfId="2918"/>
    <cellStyle name="标题 4 2 4 2 2" xfId="3456"/>
    <cellStyle name="标题 4 2 4 3" xfId="3455"/>
    <cellStyle name="标题 4 2 5" xfId="532"/>
    <cellStyle name="标题 4 2 5 2" xfId="1179"/>
    <cellStyle name="标题 4 2 6" xfId="3080"/>
    <cellStyle name="标题 5" xfId="68"/>
    <cellStyle name="标题 5 2" xfId="154"/>
    <cellStyle name="标题 5 2 2" xfId="539"/>
    <cellStyle name="标题 5 2 2 2" xfId="1186"/>
    <cellStyle name="标题 5 2 2 2 2" xfId="3458"/>
    <cellStyle name="标题 5 2 2 3" xfId="2919"/>
    <cellStyle name="标题 5 2 2 3 2" xfId="2920"/>
    <cellStyle name="标题 5 2 2 3 2 2" xfId="3460"/>
    <cellStyle name="标题 5 2 2 3 3" xfId="3459"/>
    <cellStyle name="标题 5 2 2 4" xfId="2921"/>
    <cellStyle name="标题 5 2 2 4 2" xfId="3461"/>
    <cellStyle name="标题 5 2 2 5" xfId="2922"/>
    <cellStyle name="标题 5 2 2 5 2" xfId="3462"/>
    <cellStyle name="标题 5 2 2 6" xfId="3457"/>
    <cellStyle name="标题 5 2 3" xfId="540"/>
    <cellStyle name="标题 5 2 3 2" xfId="1187"/>
    <cellStyle name="标题 5 2 3 2 2" xfId="3464"/>
    <cellStyle name="标题 5 2 3 3" xfId="3463"/>
    <cellStyle name="标题 5 2 4" xfId="789"/>
    <cellStyle name="标题 5 2 4 2" xfId="3745"/>
    <cellStyle name="标题 5 2 5" xfId="538"/>
    <cellStyle name="标题 5 2 5 2" xfId="1185"/>
    <cellStyle name="标题 5 3" xfId="541"/>
    <cellStyle name="标题 5 3 2" xfId="1188"/>
    <cellStyle name="标题 5 3 2 2" xfId="3466"/>
    <cellStyle name="标题 5 3 3" xfId="2923"/>
    <cellStyle name="标题 5 3 3 2" xfId="2924"/>
    <cellStyle name="标题 5 3 3 2 2" xfId="3468"/>
    <cellStyle name="标题 5 3 3 3" xfId="3467"/>
    <cellStyle name="标题 5 3 4" xfId="2925"/>
    <cellStyle name="标题 5 3 4 2" xfId="3469"/>
    <cellStyle name="标题 5 3 5" xfId="2926"/>
    <cellStyle name="标题 5 3 5 2" xfId="3470"/>
    <cellStyle name="标题 5 3 6" xfId="3465"/>
    <cellStyle name="标题 5 3 6 2" xfId="3746"/>
    <cellStyle name="标题 5 3 7" xfId="3083"/>
    <cellStyle name="标题 5 3 8" xfId="3827"/>
    <cellStyle name="标题 5 4" xfId="706"/>
    <cellStyle name="标题 5 4 2" xfId="2927"/>
    <cellStyle name="标题 5 4 2 2" xfId="3472"/>
    <cellStyle name="标题 5 4 3" xfId="3471"/>
    <cellStyle name="标题 5 5" xfId="537"/>
    <cellStyle name="标题 5 5 2" xfId="1184"/>
    <cellStyle name="标题 5 6" xfId="3082"/>
    <cellStyle name="差 2" xfId="69"/>
    <cellStyle name="差 2 2" xfId="155"/>
    <cellStyle name="差 2 2 2" xfId="544"/>
    <cellStyle name="差 2 2 2 2" xfId="1191"/>
    <cellStyle name="差 2 2 2 2 2" xfId="3474"/>
    <cellStyle name="差 2 2 2 3" xfId="2928"/>
    <cellStyle name="差 2 2 2 3 2" xfId="2929"/>
    <cellStyle name="差 2 2 2 3 2 2" xfId="3476"/>
    <cellStyle name="差 2 2 2 3 3" xfId="3475"/>
    <cellStyle name="差 2 2 2 4" xfId="2930"/>
    <cellStyle name="差 2 2 2 4 2" xfId="3477"/>
    <cellStyle name="差 2 2 2 5" xfId="2931"/>
    <cellStyle name="差 2 2 2 5 2" xfId="3478"/>
    <cellStyle name="差 2 2 2 6" xfId="3473"/>
    <cellStyle name="差 2 2 3" xfId="545"/>
    <cellStyle name="差 2 2 3 2" xfId="1192"/>
    <cellStyle name="差 2 2 3 2 2" xfId="3480"/>
    <cellStyle name="差 2 2 3 3" xfId="3479"/>
    <cellStyle name="差 2 2 4" xfId="790"/>
    <cellStyle name="差 2 2 4 2" xfId="2706"/>
    <cellStyle name="差 2 2 4 3" xfId="2504"/>
    <cellStyle name="差 2 2 5" xfId="543"/>
    <cellStyle name="差 2 2 5 2" xfId="1190"/>
    <cellStyle name="差 2 2 6" xfId="2359"/>
    <cellStyle name="差 2 2 6 2" xfId="2620"/>
    <cellStyle name="差 2 2 7" xfId="2257"/>
    <cellStyle name="差 2 3" xfId="546"/>
    <cellStyle name="差 2 3 2" xfId="1193"/>
    <cellStyle name="差 2 3 2 2" xfId="3482"/>
    <cellStyle name="差 2 3 3" xfId="2932"/>
    <cellStyle name="差 2 3 3 2" xfId="2933"/>
    <cellStyle name="差 2 3 3 2 2" xfId="3484"/>
    <cellStyle name="差 2 3 3 3" xfId="3483"/>
    <cellStyle name="差 2 3 4" xfId="2934"/>
    <cellStyle name="差 2 3 4 2" xfId="3485"/>
    <cellStyle name="差 2 3 5" xfId="2935"/>
    <cellStyle name="差 2 3 5 2" xfId="3486"/>
    <cellStyle name="差 2 3 6" xfId="3481"/>
    <cellStyle name="差 2 3 6 2" xfId="3747"/>
    <cellStyle name="差 2 3 7" xfId="3084"/>
    <cellStyle name="差 2 3 8" xfId="3819"/>
    <cellStyle name="差 2 3 9" xfId="2196"/>
    <cellStyle name="差 2 4" xfId="707"/>
    <cellStyle name="差 2 4 2" xfId="2936"/>
    <cellStyle name="差 2 4 2 2" xfId="3488"/>
    <cellStyle name="差 2 4 3" xfId="3487"/>
    <cellStyle name="差 2 5" xfId="542"/>
    <cellStyle name="差 2 5 2" xfId="1189"/>
    <cellStyle name="差 2 5 3" xfId="2439"/>
    <cellStyle name="差 2 6" xfId="2358"/>
    <cellStyle name="差 2 6 2" xfId="2619"/>
    <cellStyle name="差 2 7" xfId="3806"/>
    <cellStyle name="差 2 8" xfId="2183"/>
    <cellStyle name="常规" xfId="0" builtinId="0"/>
    <cellStyle name="常规 10" xfId="1929"/>
    <cellStyle name="常规 10 2" xfId="2123"/>
    <cellStyle name="常规 10 3" xfId="2122"/>
    <cellStyle name="常规 10 4" xfId="2646"/>
    <cellStyle name="常规 11" xfId="2518"/>
    <cellStyle name="常规 12" xfId="2517"/>
    <cellStyle name="常规 12 2" xfId="3909"/>
    <cellStyle name="常规 13" xfId="2592"/>
    <cellStyle name="常规 13 2" xfId="3911"/>
    <cellStyle name="常规 2" xfId="1"/>
    <cellStyle name="常规 2 2" xfId="156"/>
    <cellStyle name="常规 2 2 2" xfId="219"/>
    <cellStyle name="常规 2 2 2 2" xfId="844"/>
    <cellStyle name="常规 2 2 2 2 2" xfId="861"/>
    <cellStyle name="常规 2 2 2 2 2 2" xfId="1311"/>
    <cellStyle name="常规 2 2 2 2 2 2 2" xfId="1567"/>
    <cellStyle name="常规 2 2 2 2 2 2 2 2" xfId="1721"/>
    <cellStyle name="常规 2 2 2 2 2 2 3" xfId="1623"/>
    <cellStyle name="常规 2 2 2 2 2 2 4" xfId="3923"/>
    <cellStyle name="常规 2 2 2 2 2 3" xfId="1490"/>
    <cellStyle name="常规 2 2 2 2 2 3 2" xfId="1683"/>
    <cellStyle name="常规 2 2 2 2 2 4" xfId="1595"/>
    <cellStyle name="常规 2 2 2 2 2 5" xfId="2720"/>
    <cellStyle name="常规 2 2 2 2 3" xfId="1294"/>
    <cellStyle name="常规 2 2 2 2 3 2" xfId="1550"/>
    <cellStyle name="常规 2 2 2 2 3 2 2" xfId="1704"/>
    <cellStyle name="常规 2 2 2 2 3 3" xfId="1606"/>
    <cellStyle name="常规 2 2 2 2 4" xfId="1473"/>
    <cellStyle name="常规 2 2 2 2 4 2" xfId="1666"/>
    <cellStyle name="常规 2 2 2 2 5" xfId="1578"/>
    <cellStyle name="常规 2 2 2 2 6" xfId="2513"/>
    <cellStyle name="常规 2 2 2 3" xfId="549"/>
    <cellStyle name="常规 2 2 2 3 2" xfId="1196"/>
    <cellStyle name="常规 2 2 2 4" xfId="848"/>
    <cellStyle name="常规 2 2 2 4 2" xfId="1298"/>
    <cellStyle name="常规 2 2 2 4 2 2" xfId="1554"/>
    <cellStyle name="常规 2 2 2 4 2 2 2" xfId="1708"/>
    <cellStyle name="常规 2 2 2 4 2 3" xfId="1610"/>
    <cellStyle name="常规 2 2 2 4 2 4" xfId="3917"/>
    <cellStyle name="常规 2 2 2 4 3" xfId="1477"/>
    <cellStyle name="常规 2 2 2 4 3 2" xfId="1670"/>
    <cellStyle name="常规 2 2 2 4 4" xfId="1582"/>
    <cellStyle name="常规 2 2 2 4 5" xfId="2654"/>
    <cellStyle name="常规 2 2 2 5" xfId="856"/>
    <cellStyle name="常规 2 2 2 5 2" xfId="1306"/>
    <cellStyle name="常规 2 2 2 5 2 2" xfId="1562"/>
    <cellStyle name="常规 2 2 2 5 2 2 2" xfId="1716"/>
    <cellStyle name="常规 2 2 2 5 2 3" xfId="1618"/>
    <cellStyle name="常规 2 2 2 5 3" xfId="1485"/>
    <cellStyle name="常规 2 2 2 5 3 2" xfId="1678"/>
    <cellStyle name="常规 2 2 2 5 4" xfId="1590"/>
    <cellStyle name="常规 2 2 2 6" xfId="866"/>
    <cellStyle name="常规 2 2 2 6 2" xfId="1495"/>
    <cellStyle name="常规 2 2 2 6 2 2" xfId="1688"/>
    <cellStyle name="常规 2 2 2 6 3" xfId="1600"/>
    <cellStyle name="常规 2 2 2 7" xfId="1376"/>
    <cellStyle name="常规 2 2 2 7 2" xfId="1640"/>
    <cellStyle name="常规 2 2 2 8" xfId="1572"/>
    <cellStyle name="常规 2 2 3" xfId="791"/>
    <cellStyle name="常规 2 2 3 2" xfId="860"/>
    <cellStyle name="常规 2 2 3 2 2" xfId="1310"/>
    <cellStyle name="常规 2 2 3 2 2 2" xfId="1566"/>
    <cellStyle name="常规 2 2 3 2 2 2 2" xfId="1720"/>
    <cellStyle name="常规 2 2 3 2 2 3" xfId="1622"/>
    <cellStyle name="常规 2 2 3 2 3" xfId="1489"/>
    <cellStyle name="常规 2 2 3 2 3 2" xfId="1682"/>
    <cellStyle name="常规 2 2 3 2 4" xfId="1594"/>
    <cellStyle name="常规 2 2 3 3" xfId="855"/>
    <cellStyle name="常规 2 2 3 3 2" xfId="1305"/>
    <cellStyle name="常规 2 2 3 3 2 2" xfId="1561"/>
    <cellStyle name="常规 2 2 3 3 2 2 2" xfId="1715"/>
    <cellStyle name="常规 2 2 3 3 2 3" xfId="1617"/>
    <cellStyle name="常规 2 2 3 3 3" xfId="1484"/>
    <cellStyle name="常规 2 2 3 3 3 2" xfId="1677"/>
    <cellStyle name="常规 2 2 3 3 4" xfId="1589"/>
    <cellStyle name="常规 2 2 4" xfId="548"/>
    <cellStyle name="常规 2 2 4 2" xfId="858"/>
    <cellStyle name="常规 2 2 4 2 2" xfId="1308"/>
    <cellStyle name="常规 2 2 4 2 2 2" xfId="1564"/>
    <cellStyle name="常规 2 2 4 2 2 2 2" xfId="1718"/>
    <cellStyle name="常规 2 2 4 2 2 3" xfId="1620"/>
    <cellStyle name="常规 2 2 4 2 3" xfId="1487"/>
    <cellStyle name="常规 2 2 4 2 3 2" xfId="1680"/>
    <cellStyle name="常规 2 2 4 2 4" xfId="1592"/>
    <cellStyle name="常规 2 2 4 3" xfId="851"/>
    <cellStyle name="常规 2 2 4 3 2" xfId="1301"/>
    <cellStyle name="常规 2 2 4 3 2 2" xfId="1557"/>
    <cellStyle name="常规 2 2 4 3 2 2 2" xfId="1711"/>
    <cellStyle name="常规 2 2 4 3 2 3" xfId="1613"/>
    <cellStyle name="常规 2 2 4 3 3" xfId="1480"/>
    <cellStyle name="常规 2 2 4 3 3 2" xfId="1673"/>
    <cellStyle name="常规 2 2 4 3 4" xfId="1585"/>
    <cellStyle name="常规 2 2 4 4" xfId="1195"/>
    <cellStyle name="常规 2 2 5" xfId="846"/>
    <cellStyle name="常规 2 2 5 2" xfId="853"/>
    <cellStyle name="常规 2 2 5 2 2" xfId="1303"/>
    <cellStyle name="常规 2 2 5 2 2 2" xfId="1559"/>
    <cellStyle name="常规 2 2 5 2 2 2 2" xfId="1713"/>
    <cellStyle name="常规 2 2 5 2 2 3" xfId="1615"/>
    <cellStyle name="常规 2 2 5 2 3" xfId="1482"/>
    <cellStyle name="常规 2 2 5 2 3 2" xfId="1675"/>
    <cellStyle name="常规 2 2 5 2 4" xfId="1587"/>
    <cellStyle name="常规 2 2 5 3" xfId="1296"/>
    <cellStyle name="常规 2 2 5 3 2" xfId="1552"/>
    <cellStyle name="常规 2 2 5 3 2 2" xfId="1706"/>
    <cellStyle name="常规 2 2 5 3 3" xfId="1608"/>
    <cellStyle name="常规 2 2 5 4" xfId="1475"/>
    <cellStyle name="常规 2 2 5 4 2" xfId="1668"/>
    <cellStyle name="常规 2 2 5 5" xfId="1580"/>
    <cellStyle name="常规 2 2 5 6" xfId="2182"/>
    <cellStyle name="常规 2 2 6" xfId="850"/>
    <cellStyle name="常规 2 2 6 2" xfId="1300"/>
    <cellStyle name="常规 2 2 6 2 2" xfId="1556"/>
    <cellStyle name="常规 2 2 6 2 2 2" xfId="1710"/>
    <cellStyle name="常规 2 2 6 2 3" xfId="1612"/>
    <cellStyle name="常规 2 2 6 3" xfId="1479"/>
    <cellStyle name="常规 2 2 6 3 2" xfId="1672"/>
    <cellStyle name="常规 2 2 6 4" xfId="1584"/>
    <cellStyle name="常规 2 2 7" xfId="1726"/>
    <cellStyle name="常规 2 3" xfId="218"/>
    <cellStyle name="常规 2 3 2" xfId="843"/>
    <cellStyle name="常规 2 3 2 2" xfId="859"/>
    <cellStyle name="常规 2 3 2 2 2" xfId="1309"/>
    <cellStyle name="常规 2 3 2 2 2 2" xfId="1565"/>
    <cellStyle name="常规 2 3 2 2 2 2 2" xfId="1719"/>
    <cellStyle name="常规 2 3 2 2 2 3" xfId="1621"/>
    <cellStyle name="常规 2 3 2 2 2 4" xfId="3490"/>
    <cellStyle name="常规 2 3 2 2 3" xfId="1488"/>
    <cellStyle name="常规 2 3 2 2 3 2" xfId="1681"/>
    <cellStyle name="常规 2 3 2 2 3 3" xfId="3922"/>
    <cellStyle name="常规 2 3 2 2 4" xfId="1593"/>
    <cellStyle name="常规 2 3 2 2 5" xfId="2719"/>
    <cellStyle name="常规 2 3 2 3" xfId="1293"/>
    <cellStyle name="常规 2 3 2 3 2" xfId="1549"/>
    <cellStyle name="常规 2 3 2 3 2 2" xfId="1703"/>
    <cellStyle name="常规 2 3 2 3 3" xfId="1605"/>
    <cellStyle name="常规 2 3 2 4" xfId="1472"/>
    <cellStyle name="常规 2 3 2 4 2" xfId="1665"/>
    <cellStyle name="常规 2 3 2 5" xfId="1577"/>
    <cellStyle name="常规 2 3 2 6" xfId="2514"/>
    <cellStyle name="常规 2 3 3" xfId="550"/>
    <cellStyle name="常规 2 3 3 2" xfId="1197"/>
    <cellStyle name="常规 2 3 4" xfId="847"/>
    <cellStyle name="常规 2 3 4 2" xfId="1297"/>
    <cellStyle name="常规 2 3 4 2 2" xfId="1553"/>
    <cellStyle name="常规 2 3 4 2 2 2" xfId="1707"/>
    <cellStyle name="常规 2 3 4 2 3" xfId="1609"/>
    <cellStyle name="常规 2 3 4 2 4" xfId="3791"/>
    <cellStyle name="常规 2 3 4 3" xfId="1476"/>
    <cellStyle name="常规 2 3 4 3 2" xfId="1669"/>
    <cellStyle name="常规 2 3 4 3 3" xfId="3916"/>
    <cellStyle name="常规 2 3 4 4" xfId="1581"/>
    <cellStyle name="常规 2 3 4 5" xfId="2653"/>
    <cellStyle name="常规 2 3 5" xfId="854"/>
    <cellStyle name="常规 2 3 5 2" xfId="1304"/>
    <cellStyle name="常规 2 3 5 2 2" xfId="1560"/>
    <cellStyle name="常规 2 3 5 2 2 2" xfId="1714"/>
    <cellStyle name="常规 2 3 5 2 3" xfId="1616"/>
    <cellStyle name="常规 2 3 5 3" xfId="1483"/>
    <cellStyle name="常规 2 3 5 3 2" xfId="1676"/>
    <cellStyle name="常规 2 3 5 4" xfId="1588"/>
    <cellStyle name="常规 2 3 5 5" xfId="2360"/>
    <cellStyle name="常规 2 3 6" xfId="865"/>
    <cellStyle name="常规 2 3 6 2" xfId="1494"/>
    <cellStyle name="常规 2 3 6 2 2" xfId="1687"/>
    <cellStyle name="常规 2 3 6 3" xfId="1599"/>
    <cellStyle name="常规 2 3 7" xfId="1375"/>
    <cellStyle name="常规 2 3 7 2" xfId="1639"/>
    <cellStyle name="常规 2 3 8" xfId="1571"/>
    <cellStyle name="常规 2 3 9" xfId="1734"/>
    <cellStyle name="常规 2 4" xfId="708"/>
    <cellStyle name="常规 2 4 2" xfId="857"/>
    <cellStyle name="常规 2 4 2 2" xfId="1307"/>
    <cellStyle name="常规 2 4 2 2 2" xfId="1563"/>
    <cellStyle name="常规 2 4 2 2 2 2" xfId="1717"/>
    <cellStyle name="常规 2 4 2 2 3" xfId="1619"/>
    <cellStyle name="常规 2 4 2 3" xfId="1486"/>
    <cellStyle name="常规 2 4 2 3 2" xfId="1679"/>
    <cellStyle name="常规 2 4 2 4" xfId="1591"/>
    <cellStyle name="常规 2 4 2 5" xfId="1755"/>
    <cellStyle name="常规 2 4 3" xfId="1744"/>
    <cellStyle name="常规 2 5" xfId="547"/>
    <cellStyle name="常规 2 5 2" xfId="852"/>
    <cellStyle name="常规 2 5 2 2" xfId="1302"/>
    <cellStyle name="常规 2 5 2 2 2" xfId="1558"/>
    <cellStyle name="常规 2 5 2 2 2 2" xfId="1712"/>
    <cellStyle name="常规 2 5 2 2 3" xfId="1614"/>
    <cellStyle name="常规 2 5 2 3" xfId="1481"/>
    <cellStyle name="常规 2 5 2 3 2" xfId="1674"/>
    <cellStyle name="常规 2 5 2 4" xfId="1586"/>
    <cellStyle name="常规 2 5 2 5" xfId="2656"/>
    <cellStyle name="常规 2 5 3" xfId="1194"/>
    <cellStyle name="常规 2 5 4" xfId="2648"/>
    <cellStyle name="常规 2 6" xfId="845"/>
    <cellStyle name="常规 2 6 2" xfId="1295"/>
    <cellStyle name="常规 2 6 2 2" xfId="1551"/>
    <cellStyle name="常规 2 6 2 2 2" xfId="1705"/>
    <cellStyle name="常规 2 6 2 3" xfId="1607"/>
    <cellStyle name="常规 2 6 2 4" xfId="3748"/>
    <cellStyle name="常规 2 6 3" xfId="1474"/>
    <cellStyle name="常规 2 6 3 2" xfId="1667"/>
    <cellStyle name="常规 2 6 4" xfId="1579"/>
    <cellStyle name="常规 2 6 5" xfId="3489"/>
    <cellStyle name="常规 2 7" xfId="849"/>
    <cellStyle name="常规 2 7 2" xfId="1299"/>
    <cellStyle name="常规 2 7 2 2" xfId="1555"/>
    <cellStyle name="常规 2 7 2 2 2" xfId="1709"/>
    <cellStyle name="常规 2 7 2 3" xfId="1611"/>
    <cellStyle name="常规 2 7 3" xfId="1478"/>
    <cellStyle name="常规 2 7 3 2" xfId="1671"/>
    <cellStyle name="常规 2 7 4" xfId="1583"/>
    <cellStyle name="常规 2 7 5" xfId="3055"/>
    <cellStyle name="常规 2 8" xfId="70"/>
    <cellStyle name="常规 3" xfId="3"/>
    <cellStyle name="常规 3 2" xfId="157"/>
    <cellStyle name="常规 3 2 2" xfId="553"/>
    <cellStyle name="常规 3 2 2 2" xfId="1200"/>
    <cellStyle name="常规 3 2 3" xfId="792"/>
    <cellStyle name="常规 3 2 4" xfId="552"/>
    <cellStyle name="常规 3 2 4 2" xfId="1199"/>
    <cellStyle name="常规 3 2 5" xfId="2215"/>
    <cellStyle name="常规 3 2 6" xfId="1733"/>
    <cellStyle name="常规 3 3" xfId="554"/>
    <cellStyle name="常规 3 3 2" xfId="1201"/>
    <cellStyle name="常规 3 3 3" xfId="2361"/>
    <cellStyle name="常规 3 3 4" xfId="1731"/>
    <cellStyle name="常规 3 4" xfId="709"/>
    <cellStyle name="常规 3 5" xfId="551"/>
    <cellStyle name="常规 3 5 2" xfId="1198"/>
    <cellStyle name="常规 3 5 3" xfId="2647"/>
    <cellStyle name="常规 3 6" xfId="71"/>
    <cellStyle name="常规 3 7" xfId="1722"/>
    <cellStyle name="常规 4" xfId="2"/>
    <cellStyle name="常规 4 2" xfId="90"/>
    <cellStyle name="常规 4 2 2" xfId="725"/>
    <cellStyle name="常规 4 2 3" xfId="556"/>
    <cellStyle name="常规 4 2 3 2" xfId="1203"/>
    <cellStyle name="常规 4 3" xfId="557"/>
    <cellStyle name="常规 4 3 2" xfId="1204"/>
    <cellStyle name="常规 4 4" xfId="646"/>
    <cellStyle name="常规 4 5" xfId="555"/>
    <cellStyle name="常规 4 5 2" xfId="1202"/>
    <cellStyle name="常规 4 6" xfId="4"/>
    <cellStyle name="常规 4 7" xfId="1724"/>
    <cellStyle name="常规 5" xfId="175"/>
    <cellStyle name="常规 5 2" xfId="559"/>
    <cellStyle name="常规 5 2 2" xfId="2515"/>
    <cellStyle name="常规 5 2 2 2" xfId="3908"/>
    <cellStyle name="常规 5 2 3" xfId="3905"/>
    <cellStyle name="常规 5 3" xfId="810"/>
    <cellStyle name="常规 5 3 2" xfId="2716"/>
    <cellStyle name="常规 5 3 3" xfId="3906"/>
    <cellStyle name="常规 5 3 4" xfId="2382"/>
    <cellStyle name="常规 5 4" xfId="558"/>
    <cellStyle name="常规 5 4 2" xfId="2621"/>
    <cellStyle name="常规 5 4 2 2" xfId="3912"/>
    <cellStyle name="常规 5 4 3" xfId="3904"/>
    <cellStyle name="常规 5 5" xfId="2650"/>
    <cellStyle name="常规 5 6" xfId="3901"/>
    <cellStyle name="常规 5 7" xfId="2192"/>
    <cellStyle name="常规 5 8" xfId="1723"/>
    <cellStyle name="常规 6" xfId="89"/>
    <cellStyle name="常规 6 10" xfId="2124"/>
    <cellStyle name="常规 6 11" xfId="1930"/>
    <cellStyle name="常规 6 12" xfId="2191"/>
    <cellStyle name="常规 6 13" xfId="1725"/>
    <cellStyle name="常规 6 2" xfId="207"/>
    <cellStyle name="常规 6 2 10" xfId="2447"/>
    <cellStyle name="常规 6 2 11" xfId="1727"/>
    <cellStyle name="常规 6 2 2" xfId="832"/>
    <cellStyle name="常规 6 2 2 10" xfId="1729"/>
    <cellStyle name="常规 6 2 2 2" xfId="1292"/>
    <cellStyle name="常规 6 2 2 2 2" xfId="1548"/>
    <cellStyle name="常规 6 2 2 2 2 2" xfId="1702"/>
    <cellStyle name="常规 6 2 2 2 2 2 2" xfId="1832"/>
    <cellStyle name="常规 6 2 2 2 2 2 2 2" xfId="1928"/>
    <cellStyle name="常规 6 2 2 2 2 2 2 2 2" xfId="2121"/>
    <cellStyle name="常规 6 2 2 2 2 2 2 3" xfId="2025"/>
    <cellStyle name="常规 6 2 2 2 2 2 3" xfId="1880"/>
    <cellStyle name="常规 6 2 2 2 2 2 3 2" xfId="2073"/>
    <cellStyle name="常规 6 2 2 2 2 2 4" xfId="1977"/>
    <cellStyle name="常规 6 2 2 2 2 2 5" xfId="1784"/>
    <cellStyle name="常规 6 2 2 2 2 3" xfId="1808"/>
    <cellStyle name="常规 6 2 2 2 2 3 2" xfId="1904"/>
    <cellStyle name="常规 6 2 2 2 2 3 2 2" xfId="2097"/>
    <cellStyle name="常规 6 2 2 2 2 3 3" xfId="2001"/>
    <cellStyle name="常规 6 2 2 2 2 4" xfId="1856"/>
    <cellStyle name="常规 6 2 2 2 2 4 2" xfId="2049"/>
    <cellStyle name="常规 6 2 2 2 2 5" xfId="1953"/>
    <cellStyle name="常规 6 2 2 2 2 6" xfId="1760"/>
    <cellStyle name="常规 6 2 2 2 3" xfId="1604"/>
    <cellStyle name="常规 6 2 2 2 3 2" xfId="1776"/>
    <cellStyle name="常规 6 2 2 2 3 2 2" xfId="1824"/>
    <cellStyle name="常规 6 2 2 2 3 2 2 2" xfId="1920"/>
    <cellStyle name="常规 6 2 2 2 3 2 2 2 2" xfId="2113"/>
    <cellStyle name="常规 6 2 2 2 3 2 2 3" xfId="2017"/>
    <cellStyle name="常规 6 2 2 2 3 2 3" xfId="1872"/>
    <cellStyle name="常规 6 2 2 2 3 2 3 2" xfId="2065"/>
    <cellStyle name="常规 6 2 2 2 3 2 4" xfId="1969"/>
    <cellStyle name="常规 6 2 2 2 3 3" xfId="1800"/>
    <cellStyle name="常规 6 2 2 2 3 3 2" xfId="1896"/>
    <cellStyle name="常规 6 2 2 2 3 3 2 2" xfId="2089"/>
    <cellStyle name="常规 6 2 2 2 3 3 3" xfId="1993"/>
    <cellStyle name="常规 6 2 2 2 3 4" xfId="1848"/>
    <cellStyle name="常规 6 2 2 2 3 4 2" xfId="2041"/>
    <cellStyle name="常规 6 2 2 2 3 5" xfId="1945"/>
    <cellStyle name="常规 6 2 2 2 3 6" xfId="1749"/>
    <cellStyle name="常规 6 2 2 2 4" xfId="1768"/>
    <cellStyle name="常规 6 2 2 2 4 2" xfId="1816"/>
    <cellStyle name="常规 6 2 2 2 4 2 2" xfId="1912"/>
    <cellStyle name="常规 6 2 2 2 4 2 2 2" xfId="2105"/>
    <cellStyle name="常规 6 2 2 2 4 2 3" xfId="2009"/>
    <cellStyle name="常规 6 2 2 2 4 3" xfId="1864"/>
    <cellStyle name="常规 6 2 2 2 4 3 2" xfId="2057"/>
    <cellStyle name="常规 6 2 2 2 4 4" xfId="1961"/>
    <cellStyle name="常规 6 2 2 2 5" xfId="1792"/>
    <cellStyle name="常规 6 2 2 2 5 2" xfId="1888"/>
    <cellStyle name="常规 6 2 2 2 5 2 2" xfId="2081"/>
    <cellStyle name="常规 6 2 2 2 5 3" xfId="1985"/>
    <cellStyle name="常规 6 2 2 2 6" xfId="1840"/>
    <cellStyle name="常规 6 2 2 2 6 2" xfId="2033"/>
    <cellStyle name="常规 6 2 2 2 7" xfId="1937"/>
    <cellStyle name="常规 6 2 2 2 8" xfId="3921"/>
    <cellStyle name="常规 6 2 2 2 9" xfId="1738"/>
    <cellStyle name="常规 6 2 2 3" xfId="1461"/>
    <cellStyle name="常规 6 2 2 3 2" xfId="1662"/>
    <cellStyle name="常规 6 2 2 3 2 2" xfId="1828"/>
    <cellStyle name="常规 6 2 2 3 2 2 2" xfId="1924"/>
    <cellStyle name="常规 6 2 2 3 2 2 2 2" xfId="2117"/>
    <cellStyle name="常规 6 2 2 3 2 2 3" xfId="2021"/>
    <cellStyle name="常规 6 2 2 3 2 3" xfId="1876"/>
    <cellStyle name="常规 6 2 2 3 2 3 2" xfId="2069"/>
    <cellStyle name="常规 6 2 2 3 2 4" xfId="1973"/>
    <cellStyle name="常规 6 2 2 3 2 5" xfId="1780"/>
    <cellStyle name="常规 6 2 2 3 3" xfId="1804"/>
    <cellStyle name="常规 6 2 2 3 3 2" xfId="1900"/>
    <cellStyle name="常规 6 2 2 3 3 2 2" xfId="2093"/>
    <cellStyle name="常规 6 2 2 3 3 3" xfId="1997"/>
    <cellStyle name="常规 6 2 2 3 4" xfId="1852"/>
    <cellStyle name="常规 6 2 2 3 4 2" xfId="2045"/>
    <cellStyle name="常规 6 2 2 3 5" xfId="1949"/>
    <cellStyle name="常规 6 2 2 3 6" xfId="1753"/>
    <cellStyle name="常规 6 2 2 4" xfId="1576"/>
    <cellStyle name="常规 6 2 2 4 2" xfId="1772"/>
    <cellStyle name="常规 6 2 2 4 2 2" xfId="1820"/>
    <cellStyle name="常规 6 2 2 4 2 2 2" xfId="1916"/>
    <cellStyle name="常规 6 2 2 4 2 2 2 2" xfId="2109"/>
    <cellStyle name="常规 6 2 2 4 2 2 3" xfId="2013"/>
    <cellStyle name="常规 6 2 2 4 2 3" xfId="1868"/>
    <cellStyle name="常规 6 2 2 4 2 3 2" xfId="2061"/>
    <cellStyle name="常规 6 2 2 4 2 4" xfId="1965"/>
    <cellStyle name="常规 6 2 2 4 3" xfId="1796"/>
    <cellStyle name="常规 6 2 2 4 3 2" xfId="1892"/>
    <cellStyle name="常规 6 2 2 4 3 2 2" xfId="2085"/>
    <cellStyle name="常规 6 2 2 4 3 3" xfId="1989"/>
    <cellStyle name="常规 6 2 2 4 4" xfId="1844"/>
    <cellStyle name="常规 6 2 2 4 4 2" xfId="2037"/>
    <cellStyle name="常规 6 2 2 4 5" xfId="1941"/>
    <cellStyle name="常规 6 2 2 4 6" xfId="1742"/>
    <cellStyle name="常规 6 2 2 5" xfId="1764"/>
    <cellStyle name="常规 6 2 2 5 2" xfId="1812"/>
    <cellStyle name="常规 6 2 2 5 2 2" xfId="1908"/>
    <cellStyle name="常规 6 2 2 5 2 2 2" xfId="2101"/>
    <cellStyle name="常规 6 2 2 5 2 3" xfId="2005"/>
    <cellStyle name="常规 6 2 2 5 3" xfId="1860"/>
    <cellStyle name="常规 6 2 2 5 3 2" xfId="2053"/>
    <cellStyle name="常规 6 2 2 5 4" xfId="1957"/>
    <cellStyle name="常规 6 2 2 6" xfId="1788"/>
    <cellStyle name="常规 6 2 2 6 2" xfId="1884"/>
    <cellStyle name="常规 6 2 2 6 2 2" xfId="2077"/>
    <cellStyle name="常规 6 2 2 6 3" xfId="1981"/>
    <cellStyle name="常规 6 2 2 7" xfId="1836"/>
    <cellStyle name="常规 6 2 2 7 2" xfId="2029"/>
    <cellStyle name="常规 6 2 2 8" xfId="1933"/>
    <cellStyle name="常规 6 2 2 9" xfId="2718"/>
    <cellStyle name="常规 6 2 3" xfId="864"/>
    <cellStyle name="常规 6 2 3 2" xfId="1493"/>
    <cellStyle name="常规 6 2 3 2 2" xfId="1686"/>
    <cellStyle name="常规 6 2 3 2 2 2" xfId="1830"/>
    <cellStyle name="常规 6 2 3 2 2 2 2" xfId="1926"/>
    <cellStyle name="常规 6 2 3 2 2 2 2 2" xfId="2119"/>
    <cellStyle name="常规 6 2 3 2 2 2 3" xfId="2023"/>
    <cellStyle name="常规 6 2 3 2 2 3" xfId="1878"/>
    <cellStyle name="常规 6 2 3 2 2 3 2" xfId="2071"/>
    <cellStyle name="常规 6 2 3 2 2 4" xfId="1975"/>
    <cellStyle name="常规 6 2 3 2 2 5" xfId="1782"/>
    <cellStyle name="常规 6 2 3 2 3" xfId="1806"/>
    <cellStyle name="常规 6 2 3 2 3 2" xfId="1902"/>
    <cellStyle name="常规 6 2 3 2 3 2 2" xfId="2095"/>
    <cellStyle name="常规 6 2 3 2 3 3" xfId="1999"/>
    <cellStyle name="常规 6 2 3 2 4" xfId="1854"/>
    <cellStyle name="常规 6 2 3 2 4 2" xfId="2047"/>
    <cellStyle name="常规 6 2 3 2 5" xfId="1951"/>
    <cellStyle name="常规 6 2 3 2 6" xfId="3915"/>
    <cellStyle name="常规 6 2 3 2 7" xfId="1758"/>
    <cellStyle name="常规 6 2 3 3" xfId="1598"/>
    <cellStyle name="常规 6 2 3 3 2" xfId="1774"/>
    <cellStyle name="常规 6 2 3 3 2 2" xfId="1822"/>
    <cellStyle name="常规 6 2 3 3 2 2 2" xfId="1918"/>
    <cellStyle name="常规 6 2 3 3 2 2 2 2" xfId="2111"/>
    <cellStyle name="常规 6 2 3 3 2 2 3" xfId="2015"/>
    <cellStyle name="常规 6 2 3 3 2 3" xfId="1870"/>
    <cellStyle name="常规 6 2 3 3 2 3 2" xfId="2063"/>
    <cellStyle name="常规 6 2 3 3 2 4" xfId="1967"/>
    <cellStyle name="常规 6 2 3 3 3" xfId="1798"/>
    <cellStyle name="常规 6 2 3 3 3 2" xfId="1894"/>
    <cellStyle name="常规 6 2 3 3 3 2 2" xfId="2087"/>
    <cellStyle name="常规 6 2 3 3 3 3" xfId="1991"/>
    <cellStyle name="常规 6 2 3 3 4" xfId="1846"/>
    <cellStyle name="常规 6 2 3 3 4 2" xfId="2039"/>
    <cellStyle name="常规 6 2 3 3 5" xfId="1943"/>
    <cellStyle name="常规 6 2 3 3 6" xfId="1747"/>
    <cellStyle name="常规 6 2 3 4" xfId="1766"/>
    <cellStyle name="常规 6 2 3 4 2" xfId="1814"/>
    <cellStyle name="常规 6 2 3 4 2 2" xfId="1910"/>
    <cellStyle name="常规 6 2 3 4 2 2 2" xfId="2103"/>
    <cellStyle name="常规 6 2 3 4 2 3" xfId="2007"/>
    <cellStyle name="常规 6 2 3 4 3" xfId="1862"/>
    <cellStyle name="常规 6 2 3 4 3 2" xfId="2055"/>
    <cellStyle name="常规 6 2 3 4 4" xfId="1959"/>
    <cellStyle name="常规 6 2 3 5" xfId="1790"/>
    <cellStyle name="常规 6 2 3 5 2" xfId="1886"/>
    <cellStyle name="常规 6 2 3 5 2 2" xfId="2079"/>
    <cellStyle name="常规 6 2 3 5 3" xfId="1983"/>
    <cellStyle name="常规 6 2 3 6" xfId="1838"/>
    <cellStyle name="常规 6 2 3 6 2" xfId="2031"/>
    <cellStyle name="常规 6 2 3 7" xfId="1935"/>
    <cellStyle name="常规 6 2 3 8" xfId="2652"/>
    <cellStyle name="常规 6 2 3 9" xfId="1736"/>
    <cellStyle name="常规 6 2 4" xfId="1364"/>
    <cellStyle name="常规 6 2 4 2" xfId="1636"/>
    <cellStyle name="常规 6 2 4 2 2" xfId="1826"/>
    <cellStyle name="常规 6 2 4 2 2 2" xfId="1922"/>
    <cellStyle name="常规 6 2 4 2 2 2 2" xfId="2115"/>
    <cellStyle name="常规 6 2 4 2 2 3" xfId="2019"/>
    <cellStyle name="常规 6 2 4 2 3" xfId="1874"/>
    <cellStyle name="常规 6 2 4 2 3 2" xfId="2067"/>
    <cellStyle name="常规 6 2 4 2 4" xfId="1971"/>
    <cellStyle name="常规 6 2 4 2 5" xfId="1778"/>
    <cellStyle name="常规 6 2 4 3" xfId="1802"/>
    <cellStyle name="常规 6 2 4 3 2" xfId="1898"/>
    <cellStyle name="常规 6 2 4 3 2 2" xfId="2091"/>
    <cellStyle name="常规 6 2 4 3 3" xfId="1995"/>
    <cellStyle name="常规 6 2 4 4" xfId="1850"/>
    <cellStyle name="常规 6 2 4 4 2" xfId="2043"/>
    <cellStyle name="常规 6 2 4 5" xfId="1947"/>
    <cellStyle name="常规 6 2 4 6" xfId="3907"/>
    <cellStyle name="常规 6 2 4 7" xfId="1751"/>
    <cellStyle name="常规 6 2 5" xfId="1570"/>
    <cellStyle name="常规 6 2 5 2" xfId="1770"/>
    <cellStyle name="常规 6 2 5 2 2" xfId="1818"/>
    <cellStyle name="常规 6 2 5 2 2 2" xfId="1914"/>
    <cellStyle name="常规 6 2 5 2 2 2 2" xfId="2107"/>
    <cellStyle name="常规 6 2 5 2 2 3" xfId="2011"/>
    <cellStyle name="常规 6 2 5 2 3" xfId="1866"/>
    <cellStyle name="常规 6 2 5 2 3 2" xfId="2059"/>
    <cellStyle name="常规 6 2 5 2 4" xfId="1963"/>
    <cellStyle name="常规 6 2 5 3" xfId="1794"/>
    <cellStyle name="常规 6 2 5 3 2" xfId="1890"/>
    <cellStyle name="常规 6 2 5 3 2 2" xfId="2083"/>
    <cellStyle name="常规 6 2 5 3 3" xfId="1987"/>
    <cellStyle name="常规 6 2 5 4" xfId="1842"/>
    <cellStyle name="常规 6 2 5 4 2" xfId="2035"/>
    <cellStyle name="常规 6 2 5 5" xfId="1939"/>
    <cellStyle name="常规 6 2 5 6" xfId="1740"/>
    <cellStyle name="常规 6 2 6" xfId="1762"/>
    <cellStyle name="常规 6 2 6 2" xfId="1810"/>
    <cellStyle name="常规 6 2 6 2 2" xfId="1906"/>
    <cellStyle name="常规 6 2 6 2 2 2" xfId="2099"/>
    <cellStyle name="常规 6 2 6 2 3" xfId="2003"/>
    <cellStyle name="常规 6 2 6 3" xfId="1858"/>
    <cellStyle name="常规 6 2 6 3 2" xfId="2051"/>
    <cellStyle name="常规 6 2 6 4" xfId="1955"/>
    <cellStyle name="常规 6 2 7" xfId="1786"/>
    <cellStyle name="常规 6 2 7 2" xfId="1882"/>
    <cellStyle name="常规 6 2 7 2 2" xfId="2075"/>
    <cellStyle name="常规 6 2 7 3" xfId="1979"/>
    <cellStyle name="常规 6 2 8" xfId="1834"/>
    <cellStyle name="常规 6 2 8 2" xfId="2027"/>
    <cellStyle name="常规 6 2 9" xfId="1931"/>
    <cellStyle name="常规 6 3" xfId="186"/>
    <cellStyle name="常规 6 3 10" xfId="1728"/>
    <cellStyle name="常规 6 3 2" xfId="811"/>
    <cellStyle name="常规 6 3 2 2" xfId="1291"/>
    <cellStyle name="常规 6 3 2 2 2" xfId="1547"/>
    <cellStyle name="常规 6 3 2 2 2 2" xfId="1701"/>
    <cellStyle name="常规 6 3 2 2 2 2 2" xfId="1927"/>
    <cellStyle name="常规 6 3 2 2 2 2 2 2" xfId="2120"/>
    <cellStyle name="常规 6 3 2 2 2 2 3" xfId="2024"/>
    <cellStyle name="常规 6 3 2 2 2 2 4" xfId="1831"/>
    <cellStyle name="常规 6 3 2 2 2 3" xfId="1879"/>
    <cellStyle name="常规 6 3 2 2 2 3 2" xfId="2072"/>
    <cellStyle name="常规 6 3 2 2 2 4" xfId="1976"/>
    <cellStyle name="常规 6 3 2 2 2 5" xfId="1783"/>
    <cellStyle name="常规 6 3 2 2 3" xfId="1603"/>
    <cellStyle name="常规 6 3 2 2 3 2" xfId="1903"/>
    <cellStyle name="常规 6 3 2 2 3 2 2" xfId="2096"/>
    <cellStyle name="常规 6 3 2 2 3 3" xfId="2000"/>
    <cellStyle name="常规 6 3 2 2 3 4" xfId="1807"/>
    <cellStyle name="常规 6 3 2 2 4" xfId="1855"/>
    <cellStyle name="常规 6 3 2 2 4 2" xfId="2048"/>
    <cellStyle name="常规 6 3 2 2 5" xfId="1952"/>
    <cellStyle name="常规 6 3 2 2 6" xfId="3920"/>
    <cellStyle name="常规 6 3 2 2 7" xfId="1759"/>
    <cellStyle name="常规 6 3 2 3" xfId="1440"/>
    <cellStyle name="常规 6 3 2 3 2" xfId="1657"/>
    <cellStyle name="常规 6 3 2 3 2 2" xfId="1823"/>
    <cellStyle name="常规 6 3 2 3 2 2 2" xfId="1919"/>
    <cellStyle name="常规 6 3 2 3 2 2 2 2" xfId="2112"/>
    <cellStyle name="常规 6 3 2 3 2 2 3" xfId="2016"/>
    <cellStyle name="常规 6 3 2 3 2 3" xfId="1871"/>
    <cellStyle name="常规 6 3 2 3 2 3 2" xfId="2064"/>
    <cellStyle name="常规 6 3 2 3 2 4" xfId="1968"/>
    <cellStyle name="常规 6 3 2 3 2 5" xfId="1775"/>
    <cellStyle name="常规 6 3 2 3 3" xfId="1799"/>
    <cellStyle name="常规 6 3 2 3 3 2" xfId="1895"/>
    <cellStyle name="常规 6 3 2 3 3 2 2" xfId="2088"/>
    <cellStyle name="常规 6 3 2 3 3 3" xfId="1992"/>
    <cellStyle name="常规 6 3 2 3 4" xfId="1847"/>
    <cellStyle name="常规 6 3 2 3 4 2" xfId="2040"/>
    <cellStyle name="常规 6 3 2 3 5" xfId="1944"/>
    <cellStyle name="常规 6 3 2 3 6" xfId="1748"/>
    <cellStyle name="常规 6 3 2 4" xfId="1575"/>
    <cellStyle name="常规 6 3 2 4 2" xfId="1815"/>
    <cellStyle name="常规 6 3 2 4 2 2" xfId="1911"/>
    <cellStyle name="常规 6 3 2 4 2 2 2" xfId="2104"/>
    <cellStyle name="常规 6 3 2 4 2 3" xfId="2008"/>
    <cellStyle name="常规 6 3 2 4 3" xfId="1863"/>
    <cellStyle name="常规 6 3 2 4 3 2" xfId="2056"/>
    <cellStyle name="常规 6 3 2 4 4" xfId="1960"/>
    <cellStyle name="常规 6 3 2 4 5" xfId="1767"/>
    <cellStyle name="常规 6 3 2 5" xfId="1791"/>
    <cellStyle name="常规 6 3 2 5 2" xfId="1887"/>
    <cellStyle name="常规 6 3 2 5 2 2" xfId="2080"/>
    <cellStyle name="常规 6 3 2 5 3" xfId="1984"/>
    <cellStyle name="常规 6 3 2 6" xfId="1839"/>
    <cellStyle name="常规 6 3 2 6 2" xfId="2032"/>
    <cellStyle name="常规 6 3 2 7" xfId="1936"/>
    <cellStyle name="常规 6 3 2 8" xfId="2717"/>
    <cellStyle name="常规 6 3 2 9" xfId="1737"/>
    <cellStyle name="常规 6 3 3" xfId="863"/>
    <cellStyle name="常规 6 3 3 2" xfId="1492"/>
    <cellStyle name="常规 6 3 3 2 2" xfId="1685"/>
    <cellStyle name="常规 6 3 3 2 2 2" xfId="1923"/>
    <cellStyle name="常规 6 3 3 2 2 2 2" xfId="2116"/>
    <cellStyle name="常规 6 3 3 2 2 3" xfId="2020"/>
    <cellStyle name="常规 6 3 3 2 2 4" xfId="1827"/>
    <cellStyle name="常规 6 3 3 2 3" xfId="1875"/>
    <cellStyle name="常规 6 3 3 2 3 2" xfId="2068"/>
    <cellStyle name="常规 6 3 3 2 4" xfId="1972"/>
    <cellStyle name="常规 6 3 3 2 5" xfId="3914"/>
    <cellStyle name="常规 6 3 3 2 6" xfId="1779"/>
    <cellStyle name="常规 6 3 3 3" xfId="1597"/>
    <cellStyle name="常规 6 3 3 3 2" xfId="1899"/>
    <cellStyle name="常规 6 3 3 3 2 2" xfId="2092"/>
    <cellStyle name="常规 6 3 3 3 3" xfId="1996"/>
    <cellStyle name="常规 6 3 3 3 4" xfId="1803"/>
    <cellStyle name="常规 6 3 3 4" xfId="1851"/>
    <cellStyle name="常规 6 3 3 4 2" xfId="2044"/>
    <cellStyle name="常规 6 3 3 5" xfId="1948"/>
    <cellStyle name="常规 6 3 3 6" xfId="2651"/>
    <cellStyle name="常规 6 3 3 7" xfId="1752"/>
    <cellStyle name="常规 6 3 4" xfId="1343"/>
    <cellStyle name="常规 6 3 4 2" xfId="1631"/>
    <cellStyle name="常规 6 3 4 2 2" xfId="1819"/>
    <cellStyle name="常规 6 3 4 2 2 2" xfId="1915"/>
    <cellStyle name="常规 6 3 4 2 2 2 2" xfId="2108"/>
    <cellStyle name="常规 6 3 4 2 2 3" xfId="2012"/>
    <cellStyle name="常规 6 3 4 2 3" xfId="1867"/>
    <cellStyle name="常规 6 3 4 2 3 2" xfId="2060"/>
    <cellStyle name="常规 6 3 4 2 4" xfId="1964"/>
    <cellStyle name="常规 6 3 4 2 5" xfId="1771"/>
    <cellStyle name="常规 6 3 4 3" xfId="1795"/>
    <cellStyle name="常规 6 3 4 3 2" xfId="1891"/>
    <cellStyle name="常规 6 3 4 3 2 2" xfId="2084"/>
    <cellStyle name="常规 6 3 4 3 3" xfId="1988"/>
    <cellStyle name="常规 6 3 4 4" xfId="1843"/>
    <cellStyle name="常规 6 3 4 4 2" xfId="2036"/>
    <cellStyle name="常规 6 3 4 5" xfId="1940"/>
    <cellStyle name="常规 6 3 4 6" xfId="1741"/>
    <cellStyle name="常规 6 3 5" xfId="1569"/>
    <cellStyle name="常规 6 3 5 2" xfId="1811"/>
    <cellStyle name="常规 6 3 5 2 2" xfId="1907"/>
    <cellStyle name="常规 6 3 5 2 2 2" xfId="2100"/>
    <cellStyle name="常规 6 3 5 2 3" xfId="2004"/>
    <cellStyle name="常规 6 3 5 3" xfId="1859"/>
    <cellStyle name="常规 6 3 5 3 2" xfId="2052"/>
    <cellStyle name="常规 6 3 5 4" xfId="1956"/>
    <cellStyle name="常规 6 3 5 5" xfId="1763"/>
    <cellStyle name="常规 6 3 6" xfId="1787"/>
    <cellStyle name="常规 6 3 6 2" xfId="1883"/>
    <cellStyle name="常规 6 3 6 2 2" xfId="2076"/>
    <cellStyle name="常规 6 3 6 3" xfId="1980"/>
    <cellStyle name="常规 6 3 7" xfId="1835"/>
    <cellStyle name="常规 6 3 7 2" xfId="2028"/>
    <cellStyle name="常规 6 3 8" xfId="1932"/>
    <cellStyle name="常规 6 3 9" xfId="2516"/>
    <cellStyle name="常规 6 4" xfId="724"/>
    <cellStyle name="常规 6 4 2" xfId="1290"/>
    <cellStyle name="常规 6 4 2 2" xfId="1546"/>
    <cellStyle name="常规 6 4 2 2 2" xfId="1700"/>
    <cellStyle name="常规 6 4 2 2 2 2" xfId="1925"/>
    <cellStyle name="常规 6 4 2 2 2 2 2" xfId="2118"/>
    <cellStyle name="常规 6 4 2 2 2 3" xfId="2022"/>
    <cellStyle name="常规 6 4 2 2 2 4" xfId="1829"/>
    <cellStyle name="常规 6 4 2 2 3" xfId="1877"/>
    <cellStyle name="常规 6 4 2 2 3 2" xfId="2070"/>
    <cellStyle name="常规 6 4 2 2 4" xfId="1974"/>
    <cellStyle name="常规 6 4 2 2 5" xfId="3919"/>
    <cellStyle name="常规 6 4 2 2 6" xfId="1781"/>
    <cellStyle name="常规 6 4 2 3" xfId="1602"/>
    <cellStyle name="常规 6 4 2 3 2" xfId="1901"/>
    <cellStyle name="常规 6 4 2 3 2 2" xfId="2094"/>
    <cellStyle name="常规 6 4 2 3 3" xfId="1998"/>
    <cellStyle name="常规 6 4 2 3 4" xfId="1805"/>
    <cellStyle name="常规 6 4 2 4" xfId="1853"/>
    <cellStyle name="常规 6 4 2 4 2" xfId="2046"/>
    <cellStyle name="常规 6 4 2 5" xfId="1950"/>
    <cellStyle name="常规 6 4 2 6" xfId="2659"/>
    <cellStyle name="常规 6 4 2 7" xfId="1757"/>
    <cellStyle name="常规 6 4 3" xfId="1429"/>
    <cellStyle name="常规 6 4 3 2" xfId="1654"/>
    <cellStyle name="常规 6 4 3 2 2" xfId="1821"/>
    <cellStyle name="常规 6 4 3 2 2 2" xfId="1917"/>
    <cellStyle name="常规 6 4 3 2 2 2 2" xfId="2110"/>
    <cellStyle name="常规 6 4 3 2 2 3" xfId="2014"/>
    <cellStyle name="常规 6 4 3 2 3" xfId="1869"/>
    <cellStyle name="常规 6 4 3 2 3 2" xfId="2062"/>
    <cellStyle name="常规 6 4 3 2 4" xfId="1966"/>
    <cellStyle name="常规 6 4 3 2 5" xfId="1773"/>
    <cellStyle name="常规 6 4 3 3" xfId="1797"/>
    <cellStyle name="常规 6 4 3 3 2" xfId="1893"/>
    <cellStyle name="常规 6 4 3 3 2 2" xfId="2086"/>
    <cellStyle name="常规 6 4 3 3 3" xfId="1990"/>
    <cellStyle name="常规 6 4 3 4" xfId="1845"/>
    <cellStyle name="常规 6 4 3 4 2" xfId="2038"/>
    <cellStyle name="常规 6 4 3 5" xfId="1942"/>
    <cellStyle name="常规 6 4 3 6" xfId="2622"/>
    <cellStyle name="常规 6 4 3 7" xfId="1746"/>
    <cellStyle name="常规 6 4 4" xfId="1574"/>
    <cellStyle name="常规 6 4 4 2" xfId="1813"/>
    <cellStyle name="常规 6 4 4 2 2" xfId="1909"/>
    <cellStyle name="常规 6 4 4 2 2 2" xfId="2102"/>
    <cellStyle name="常规 6 4 4 2 3" xfId="2006"/>
    <cellStyle name="常规 6 4 4 3" xfId="1861"/>
    <cellStyle name="常规 6 4 4 3 2" xfId="2054"/>
    <cellStyle name="常规 6 4 4 4" xfId="1958"/>
    <cellStyle name="常规 6 4 4 5" xfId="1765"/>
    <cellStyle name="常规 6 4 5" xfId="1789"/>
    <cellStyle name="常规 6 4 5 2" xfId="1885"/>
    <cellStyle name="常规 6 4 5 2 2" xfId="2078"/>
    <cellStyle name="常规 6 4 5 3" xfId="1982"/>
    <cellStyle name="常规 6 4 6" xfId="1837"/>
    <cellStyle name="常规 6 4 6 2" xfId="2030"/>
    <cellStyle name="常规 6 4 7" xfId="1934"/>
    <cellStyle name="常规 6 4 8" xfId="2362"/>
    <cellStyle name="常规 6 4 9" xfId="1735"/>
    <cellStyle name="常规 6 5" xfId="560"/>
    <cellStyle name="常规 6 5 2" xfId="1205"/>
    <cellStyle name="常规 6 5 2 2" xfId="1825"/>
    <cellStyle name="常规 6 5 2 2 2" xfId="1921"/>
    <cellStyle name="常规 6 5 2 2 2 2" xfId="2114"/>
    <cellStyle name="常规 6 5 2 2 3" xfId="2018"/>
    <cellStyle name="常规 6 5 2 3" xfId="1873"/>
    <cellStyle name="常规 6 5 2 3 2" xfId="2066"/>
    <cellStyle name="常规 6 5 2 4" xfId="1970"/>
    <cellStyle name="常规 6 5 2 5" xfId="1777"/>
    <cellStyle name="常规 6 5 3" xfId="1801"/>
    <cellStyle name="常规 6 5 3 2" xfId="1897"/>
    <cellStyle name="常规 6 5 3 2 2" xfId="2090"/>
    <cellStyle name="常规 6 5 3 3" xfId="1994"/>
    <cellStyle name="常规 6 5 4" xfId="1849"/>
    <cellStyle name="常规 6 5 4 2" xfId="2042"/>
    <cellStyle name="常规 6 5 5" xfId="1946"/>
    <cellStyle name="常规 6 5 6" xfId="2657"/>
    <cellStyle name="常规 6 5 7" xfId="1750"/>
    <cellStyle name="常规 6 6" xfId="862"/>
    <cellStyle name="常规 6 6 2" xfId="1491"/>
    <cellStyle name="常规 6 6 2 2" xfId="1684"/>
    <cellStyle name="常规 6 6 2 2 2" xfId="1913"/>
    <cellStyle name="常规 6 6 2 2 2 2" xfId="2106"/>
    <cellStyle name="常规 6 6 2 2 3" xfId="2010"/>
    <cellStyle name="常规 6 6 2 2 4" xfId="1817"/>
    <cellStyle name="常规 6 6 2 3" xfId="1865"/>
    <cellStyle name="常规 6 6 2 3 2" xfId="2058"/>
    <cellStyle name="常规 6 6 2 4" xfId="1962"/>
    <cellStyle name="常规 6 6 2 5" xfId="3913"/>
    <cellStyle name="常规 6 6 2 6" xfId="1769"/>
    <cellStyle name="常规 6 6 3" xfId="1596"/>
    <cellStyle name="常规 6 6 3 2" xfId="1889"/>
    <cellStyle name="常规 6 6 3 2 2" xfId="2082"/>
    <cellStyle name="常规 6 6 3 3" xfId="1986"/>
    <cellStyle name="常规 6 6 3 4" xfId="1793"/>
    <cellStyle name="常规 6 6 4" xfId="1841"/>
    <cellStyle name="常规 6 6 4 2" xfId="2034"/>
    <cellStyle name="常规 6 6 5" xfId="1938"/>
    <cellStyle name="常规 6 6 6" xfId="2649"/>
    <cellStyle name="常规 6 6 7" xfId="1739"/>
    <cellStyle name="常规 6 7" xfId="1322"/>
    <cellStyle name="常规 6 7 2" xfId="1626"/>
    <cellStyle name="常规 6 7 2 2" xfId="1905"/>
    <cellStyle name="常规 6 7 2 2 2" xfId="2098"/>
    <cellStyle name="常规 6 7 2 3" xfId="2002"/>
    <cellStyle name="常规 6 7 2 4" xfId="1809"/>
    <cellStyle name="常规 6 7 3" xfId="1857"/>
    <cellStyle name="常规 6 7 3 2" xfId="2050"/>
    <cellStyle name="常规 6 7 4" xfId="1954"/>
    <cellStyle name="常规 6 7 5" xfId="2197"/>
    <cellStyle name="常规 6 7 6" xfId="1761"/>
    <cellStyle name="常规 6 8" xfId="1568"/>
    <cellStyle name="常规 6 8 2" xfId="1881"/>
    <cellStyle name="常规 6 8 2 2" xfId="2074"/>
    <cellStyle name="常规 6 8 3" xfId="1978"/>
    <cellStyle name="常规 6 8 4" xfId="3902"/>
    <cellStyle name="常规 6 8 5" xfId="1785"/>
    <cellStyle name="常规 6 9" xfId="1833"/>
    <cellStyle name="常规 6 9 2" xfId="2026"/>
    <cellStyle name="常规 7" xfId="221"/>
    <cellStyle name="常规 7 2" xfId="723"/>
    <cellStyle name="常规 7 2 2" xfId="2658"/>
    <cellStyle name="常规 7 2 3" xfId="2512"/>
    <cellStyle name="常规 7 3" xfId="868"/>
    <cellStyle name="常规 7 4" xfId="2125"/>
    <cellStyle name="常规 8" xfId="645"/>
    <cellStyle name="常规 8 2" xfId="1756"/>
    <cellStyle name="常规 8 3" xfId="1745"/>
    <cellStyle name="常规 8 4" xfId="2381"/>
    <cellStyle name="常规 8 5" xfId="1732"/>
    <cellStyle name="常规 9" xfId="220"/>
    <cellStyle name="常规 9 2" xfId="867"/>
    <cellStyle name="常规 9 2 2" xfId="1496"/>
    <cellStyle name="常规 9 2 2 2" xfId="1689"/>
    <cellStyle name="常规 9 2 2 3" xfId="3918"/>
    <cellStyle name="常规 9 2 3" xfId="1601"/>
    <cellStyle name="常规 9 2 3 2" xfId="2655"/>
    <cellStyle name="常规 9 2 4" xfId="1754"/>
    <cellStyle name="常规 9 3" xfId="1377"/>
    <cellStyle name="常规 9 3 2" xfId="1641"/>
    <cellStyle name="常规 9 3 2 2" xfId="3910"/>
    <cellStyle name="常规 9 3 3" xfId="2519"/>
    <cellStyle name="常规 9 3 4" xfId="1743"/>
    <cellStyle name="常规 9 4" xfId="1573"/>
    <cellStyle name="常规 9 4 2" xfId="3903"/>
    <cellStyle name="常规 9 5" xfId="2265"/>
    <cellStyle name="常规 9 6" xfId="1730"/>
    <cellStyle name="好 2" xfId="72"/>
    <cellStyle name="好 2 2" xfId="158"/>
    <cellStyle name="好 2 2 2" xfId="563"/>
    <cellStyle name="好 2 2 2 2" xfId="1208"/>
    <cellStyle name="好 2 2 2 2 2" xfId="3492"/>
    <cellStyle name="好 2 2 2 3" xfId="2937"/>
    <cellStyle name="好 2 2 2 3 2" xfId="2938"/>
    <cellStyle name="好 2 2 2 3 2 2" xfId="3494"/>
    <cellStyle name="好 2 2 2 3 3" xfId="3493"/>
    <cellStyle name="好 2 2 2 4" xfId="2939"/>
    <cellStyle name="好 2 2 2 4 2" xfId="3495"/>
    <cellStyle name="好 2 2 2 5" xfId="2940"/>
    <cellStyle name="好 2 2 2 5 2" xfId="3496"/>
    <cellStyle name="好 2 2 2 6" xfId="3491"/>
    <cellStyle name="好 2 2 3" xfId="564"/>
    <cellStyle name="好 2 2 3 2" xfId="1209"/>
    <cellStyle name="好 2 2 3 2 2" xfId="3498"/>
    <cellStyle name="好 2 2 3 3" xfId="3497"/>
    <cellStyle name="好 2 2 4" xfId="793"/>
    <cellStyle name="好 2 2 4 2" xfId="2707"/>
    <cellStyle name="好 2 2 4 3" xfId="2505"/>
    <cellStyle name="好 2 2 5" xfId="562"/>
    <cellStyle name="好 2 2 5 2" xfId="1207"/>
    <cellStyle name="好 2 2 6" xfId="2364"/>
    <cellStyle name="好 2 2 6 2" xfId="2624"/>
    <cellStyle name="好 2 2 7" xfId="2258"/>
    <cellStyle name="好 2 3" xfId="565"/>
    <cellStyle name="好 2 3 2" xfId="1210"/>
    <cellStyle name="好 2 3 2 2" xfId="3500"/>
    <cellStyle name="好 2 3 3" xfId="2941"/>
    <cellStyle name="好 2 3 3 2" xfId="2942"/>
    <cellStyle name="好 2 3 3 2 2" xfId="3502"/>
    <cellStyle name="好 2 3 3 3" xfId="3501"/>
    <cellStyle name="好 2 3 4" xfId="2943"/>
    <cellStyle name="好 2 3 4 2" xfId="3503"/>
    <cellStyle name="好 2 3 5" xfId="2944"/>
    <cellStyle name="好 2 3 5 2" xfId="3504"/>
    <cellStyle name="好 2 3 6" xfId="3499"/>
    <cellStyle name="好 2 3 6 2" xfId="3749"/>
    <cellStyle name="好 2 3 7" xfId="3085"/>
    <cellStyle name="好 2 3 8" xfId="3811"/>
    <cellStyle name="好 2 3 9" xfId="3829"/>
    <cellStyle name="好 2 4" xfId="710"/>
    <cellStyle name="好 2 4 2" xfId="2945"/>
    <cellStyle name="好 2 4 2 2" xfId="3506"/>
    <cellStyle name="好 2 4 3" xfId="3505"/>
    <cellStyle name="好 2 5" xfId="561"/>
    <cellStyle name="好 2 5 2" xfId="1206"/>
    <cellStyle name="好 2 5 3" xfId="2440"/>
    <cellStyle name="好 2 6" xfId="2363"/>
    <cellStyle name="好 2 6 2" xfId="2623"/>
    <cellStyle name="好 2 7" xfId="3800"/>
    <cellStyle name="好 2 8" xfId="2184"/>
    <cellStyle name="汇总 2" xfId="73"/>
    <cellStyle name="汇总 2 2" xfId="159"/>
    <cellStyle name="汇总 2 2 2" xfId="213"/>
    <cellStyle name="汇总 2 2 2 2" xfId="838"/>
    <cellStyle name="汇总 2 2 2 2 2" xfId="1467"/>
    <cellStyle name="汇总 2 2 2 3" xfId="568"/>
    <cellStyle name="汇总 2 2 2 3 2" xfId="1213"/>
    <cellStyle name="汇总 2 2 2 3 2 2" xfId="1524"/>
    <cellStyle name="汇总 2 2 2 3 3" xfId="1405"/>
    <cellStyle name="汇总 2 2 2 4" xfId="1370"/>
    <cellStyle name="汇总 2 2 2 4 2" xfId="3508"/>
    <cellStyle name="汇总 2 2 2 5" xfId="2946"/>
    <cellStyle name="汇总 2 2 2 5 2" xfId="3509"/>
    <cellStyle name="汇总 2 2 2 6" xfId="3507"/>
    <cellStyle name="汇总 2 2 3" xfId="192"/>
    <cellStyle name="汇总 2 2 3 2" xfId="817"/>
    <cellStyle name="汇总 2 2 3 2 2" xfId="1446"/>
    <cellStyle name="汇总 2 2 3 3" xfId="569"/>
    <cellStyle name="汇总 2 2 3 3 2" xfId="1214"/>
    <cellStyle name="汇总 2 2 3 3 2 2" xfId="1525"/>
    <cellStyle name="汇总 2 2 3 3 3" xfId="1406"/>
    <cellStyle name="汇总 2 2 3 4" xfId="1349"/>
    <cellStyle name="汇总 2 2 4" xfId="794"/>
    <cellStyle name="汇总 2 2 4 2" xfId="1435"/>
    <cellStyle name="汇总 2 2 5" xfId="567"/>
    <cellStyle name="汇总 2 2 5 2" xfId="1212"/>
    <cellStyle name="汇总 2 2 5 2 2" xfId="1523"/>
    <cellStyle name="汇总 2 2 5 3" xfId="1404"/>
    <cellStyle name="汇总 2 2 6" xfId="1328"/>
    <cellStyle name="汇总 2 3" xfId="202"/>
    <cellStyle name="汇总 2 3 2" xfId="827"/>
    <cellStyle name="汇总 2 3 2 2" xfId="1456"/>
    <cellStyle name="汇总 2 3 3" xfId="570"/>
    <cellStyle name="汇总 2 3 3 2" xfId="1215"/>
    <cellStyle name="汇总 2 3 3 2 2" xfId="1526"/>
    <cellStyle name="汇总 2 3 3 3" xfId="1407"/>
    <cellStyle name="汇总 2 3 4" xfId="1359"/>
    <cellStyle name="汇总 2 3 4 2" xfId="3511"/>
    <cellStyle name="汇总 2 3 5" xfId="2947"/>
    <cellStyle name="汇总 2 3 5 2" xfId="3512"/>
    <cellStyle name="汇总 2 3 6" xfId="3510"/>
    <cellStyle name="汇总 2 3 6 2" xfId="3750"/>
    <cellStyle name="汇总 2 3 7" xfId="3086"/>
    <cellStyle name="汇总 2 3 8" xfId="3853"/>
    <cellStyle name="汇总 2 4" xfId="181"/>
    <cellStyle name="汇总 2 4 2" xfId="1338"/>
    <cellStyle name="汇总 2 4 2 2" xfId="3514"/>
    <cellStyle name="汇总 2 4 3" xfId="3513"/>
    <cellStyle name="汇总 2 5" xfId="566"/>
    <cellStyle name="汇总 2 5 2" xfId="1211"/>
    <cellStyle name="汇总 2 5 2 2" xfId="1522"/>
    <cellStyle name="汇总 2 5 3" xfId="1403"/>
    <cellStyle name="汇总 2 6" xfId="1317"/>
    <cellStyle name="计算 2" xfId="74"/>
    <cellStyle name="计算 2 2" xfId="160"/>
    <cellStyle name="计算 2 2 2" xfId="214"/>
    <cellStyle name="计算 2 2 2 2" xfId="839"/>
    <cellStyle name="计算 2 2 2 2 2" xfId="1468"/>
    <cellStyle name="计算 2 2 2 3" xfId="573"/>
    <cellStyle name="计算 2 2 2 3 2" xfId="1218"/>
    <cellStyle name="计算 2 2 2 3 2 2" xfId="1529"/>
    <cellStyle name="计算 2 2 2 3 3" xfId="1410"/>
    <cellStyle name="计算 2 2 2 4" xfId="1371"/>
    <cellStyle name="计算 2 2 2 4 2" xfId="3516"/>
    <cellStyle name="计算 2 2 2 5" xfId="2948"/>
    <cellStyle name="计算 2 2 2 5 2" xfId="3517"/>
    <cellStyle name="计算 2 2 2 6" xfId="3515"/>
    <cellStyle name="计算 2 2 3" xfId="193"/>
    <cellStyle name="计算 2 2 3 2" xfId="818"/>
    <cellStyle name="计算 2 2 3 2 2" xfId="1447"/>
    <cellStyle name="计算 2 2 3 3" xfId="574"/>
    <cellStyle name="计算 2 2 3 3 2" xfId="1219"/>
    <cellStyle name="计算 2 2 3 3 2 2" xfId="1530"/>
    <cellStyle name="计算 2 2 3 3 3" xfId="1411"/>
    <cellStyle name="计算 2 2 3 4" xfId="1350"/>
    <cellStyle name="计算 2 2 4" xfId="795"/>
    <cellStyle name="计算 2 2 4 2" xfId="1436"/>
    <cellStyle name="计算 2 2 4 3" xfId="2450"/>
    <cellStyle name="计算 2 2 5" xfId="572"/>
    <cellStyle name="计算 2 2 5 2" xfId="1217"/>
    <cellStyle name="计算 2 2 5 2 2" xfId="1528"/>
    <cellStyle name="计算 2 2 5 3" xfId="1409"/>
    <cellStyle name="计算 2 2 6" xfId="1329"/>
    <cellStyle name="计算 2 2 6 2" xfId="2626"/>
    <cellStyle name="计算 2 2 7" xfId="2202"/>
    <cellStyle name="计算 2 3" xfId="203"/>
    <cellStyle name="计算 2 3 2" xfId="828"/>
    <cellStyle name="计算 2 3 2 2" xfId="1457"/>
    <cellStyle name="计算 2 3 3" xfId="575"/>
    <cellStyle name="计算 2 3 3 2" xfId="1220"/>
    <cellStyle name="计算 2 3 3 2 2" xfId="1531"/>
    <cellStyle name="计算 2 3 3 3" xfId="1412"/>
    <cellStyle name="计算 2 3 4" xfId="1360"/>
    <cellStyle name="计算 2 3 4 2" xfId="3519"/>
    <cellStyle name="计算 2 3 5" xfId="2949"/>
    <cellStyle name="计算 2 3 5 2" xfId="3520"/>
    <cellStyle name="计算 2 3 6" xfId="3518"/>
    <cellStyle name="计算 2 3 6 2" xfId="3751"/>
    <cellStyle name="计算 2 3 7" xfId="3087"/>
    <cellStyle name="计算 2 3 8" xfId="3777"/>
    <cellStyle name="计算 2 3 9" xfId="3774"/>
    <cellStyle name="计算 2 4" xfId="182"/>
    <cellStyle name="计算 2 4 2" xfId="1339"/>
    <cellStyle name="计算 2 4 2 2" xfId="3522"/>
    <cellStyle name="计算 2 4 3" xfId="3521"/>
    <cellStyle name="计算 2 5" xfId="571"/>
    <cellStyle name="计算 2 5 2" xfId="1216"/>
    <cellStyle name="计算 2 5 2 2" xfId="1527"/>
    <cellStyle name="计算 2 5 3" xfId="1408"/>
    <cellStyle name="计算 2 5 4" xfId="2385"/>
    <cellStyle name="计算 2 6" xfId="1318"/>
    <cellStyle name="计算 2 6 2" xfId="2625"/>
    <cellStyle name="计算 2 7" xfId="3848"/>
    <cellStyle name="计算 2 8" xfId="2128"/>
    <cellStyle name="检查单元格 2" xfId="75"/>
    <cellStyle name="检查单元格 2 2" xfId="161"/>
    <cellStyle name="检查单元格 2 2 2" xfId="578"/>
    <cellStyle name="检查单元格 2 2 2 2" xfId="1223"/>
    <cellStyle name="检查单元格 2 2 2 2 2" xfId="3524"/>
    <cellStyle name="检查单元格 2 2 2 3" xfId="2950"/>
    <cellStyle name="检查单元格 2 2 2 3 2" xfId="2951"/>
    <cellStyle name="检查单元格 2 2 2 3 2 2" xfId="3526"/>
    <cellStyle name="检查单元格 2 2 2 3 3" xfId="3525"/>
    <cellStyle name="检查单元格 2 2 2 4" xfId="2952"/>
    <cellStyle name="检查单元格 2 2 2 4 2" xfId="3527"/>
    <cellStyle name="检查单元格 2 2 2 5" xfId="2953"/>
    <cellStyle name="检查单元格 2 2 2 5 2" xfId="3528"/>
    <cellStyle name="检查单元格 2 2 2 6" xfId="3523"/>
    <cellStyle name="检查单元格 2 2 3" xfId="579"/>
    <cellStyle name="检查单元格 2 2 3 2" xfId="1224"/>
    <cellStyle name="检查单元格 2 2 3 2 2" xfId="3530"/>
    <cellStyle name="检查单元格 2 2 3 3" xfId="3529"/>
    <cellStyle name="检查单元格 2 2 4" xfId="796"/>
    <cellStyle name="检查单元格 2 2 4 2" xfId="2708"/>
    <cellStyle name="检查单元格 2 2 4 3" xfId="2501"/>
    <cellStyle name="检查单元格 2 2 5" xfId="577"/>
    <cellStyle name="检查单元格 2 2 5 2" xfId="1222"/>
    <cellStyle name="检查单元格 2 2 6" xfId="2366"/>
    <cellStyle name="检查单元格 2 2 6 2" xfId="2628"/>
    <cellStyle name="检查单元格 2 2 7" xfId="2254"/>
    <cellStyle name="检查单元格 2 3" xfId="580"/>
    <cellStyle name="检查单元格 2 3 2" xfId="1225"/>
    <cellStyle name="检查单元格 2 3 2 2" xfId="3532"/>
    <cellStyle name="检查单元格 2 3 3" xfId="2954"/>
    <cellStyle name="检查单元格 2 3 3 2" xfId="2955"/>
    <cellStyle name="检查单元格 2 3 3 2 2" xfId="3534"/>
    <cellStyle name="检查单元格 2 3 3 3" xfId="3533"/>
    <cellStyle name="检查单元格 2 3 4" xfId="2956"/>
    <cellStyle name="检查单元格 2 3 4 2" xfId="3535"/>
    <cellStyle name="检查单元格 2 3 5" xfId="2957"/>
    <cellStyle name="检查单元格 2 3 5 2" xfId="3536"/>
    <cellStyle name="检查单元格 2 3 6" xfId="3531"/>
    <cellStyle name="检查单元格 2 3 6 2" xfId="3752"/>
    <cellStyle name="检查单元格 2 3 7" xfId="3088"/>
    <cellStyle name="检查单元格 2 3 8" xfId="3818"/>
    <cellStyle name="检查单元格 2 3 9" xfId="3860"/>
    <cellStyle name="检查单元格 2 4" xfId="711"/>
    <cellStyle name="检查单元格 2 4 2" xfId="2958"/>
    <cellStyle name="检查单元格 2 4 2 2" xfId="3538"/>
    <cellStyle name="检查单元格 2 4 3" xfId="3537"/>
    <cellStyle name="检查单元格 2 5" xfId="576"/>
    <cellStyle name="检查单元格 2 5 2" xfId="1221"/>
    <cellStyle name="检查单元格 2 5 3" xfId="2436"/>
    <cellStyle name="检查单元格 2 6" xfId="2365"/>
    <cellStyle name="检查单元格 2 6 2" xfId="2627"/>
    <cellStyle name="检查单元格 2 7" xfId="3775"/>
    <cellStyle name="检查单元格 2 8" xfId="2179"/>
    <cellStyle name="解释性文本 2" xfId="76"/>
    <cellStyle name="解释性文本 2 2" xfId="162"/>
    <cellStyle name="解释性文本 2 2 2" xfId="583"/>
    <cellStyle name="解释性文本 2 2 2 2" xfId="1228"/>
    <cellStyle name="解释性文本 2 2 2 2 2" xfId="3540"/>
    <cellStyle name="解释性文本 2 2 2 3" xfId="2959"/>
    <cellStyle name="解释性文本 2 2 2 3 2" xfId="2960"/>
    <cellStyle name="解释性文本 2 2 2 3 2 2" xfId="3542"/>
    <cellStyle name="解释性文本 2 2 2 3 3" xfId="3541"/>
    <cellStyle name="解释性文本 2 2 2 4" xfId="2961"/>
    <cellStyle name="解释性文本 2 2 2 4 2" xfId="3543"/>
    <cellStyle name="解释性文本 2 2 2 5" xfId="2962"/>
    <cellStyle name="解释性文本 2 2 2 5 2" xfId="3544"/>
    <cellStyle name="解释性文本 2 2 2 6" xfId="3539"/>
    <cellStyle name="解释性文本 2 2 3" xfId="584"/>
    <cellStyle name="解释性文本 2 2 3 2" xfId="1229"/>
    <cellStyle name="解释性文本 2 2 3 2 2" xfId="3546"/>
    <cellStyle name="解释性文本 2 2 3 3" xfId="3545"/>
    <cellStyle name="解释性文本 2 2 4" xfId="797"/>
    <cellStyle name="解释性文本 2 2 4 2" xfId="3753"/>
    <cellStyle name="解释性文本 2 2 5" xfId="582"/>
    <cellStyle name="解释性文本 2 2 5 2" xfId="1227"/>
    <cellStyle name="解释性文本 2 3" xfId="585"/>
    <cellStyle name="解释性文本 2 3 2" xfId="1230"/>
    <cellStyle name="解释性文本 2 3 2 2" xfId="3548"/>
    <cellStyle name="解释性文本 2 3 3" xfId="2963"/>
    <cellStyle name="解释性文本 2 3 3 2" xfId="2964"/>
    <cellStyle name="解释性文本 2 3 3 2 2" xfId="3550"/>
    <cellStyle name="解释性文本 2 3 3 3" xfId="3549"/>
    <cellStyle name="解释性文本 2 3 4" xfId="2965"/>
    <cellStyle name="解释性文本 2 3 4 2" xfId="3551"/>
    <cellStyle name="解释性文本 2 3 5" xfId="2966"/>
    <cellStyle name="解释性文本 2 3 5 2" xfId="3552"/>
    <cellStyle name="解释性文本 2 3 6" xfId="3547"/>
    <cellStyle name="解释性文本 2 3 6 2" xfId="3754"/>
    <cellStyle name="解释性文本 2 3 7" xfId="3090"/>
    <cellStyle name="解释性文本 2 3 8" xfId="3781"/>
    <cellStyle name="解释性文本 2 4" xfId="712"/>
    <cellStyle name="解释性文本 2 4 2" xfId="2967"/>
    <cellStyle name="解释性文本 2 4 2 2" xfId="3554"/>
    <cellStyle name="解释性文本 2 4 3" xfId="3553"/>
    <cellStyle name="解释性文本 2 5" xfId="581"/>
    <cellStyle name="解释性文本 2 5 2" xfId="1226"/>
    <cellStyle name="解释性文本 2 6" xfId="3089"/>
    <cellStyle name="警告文本 2" xfId="77"/>
    <cellStyle name="警告文本 2 2" xfId="163"/>
    <cellStyle name="警告文本 2 2 2" xfId="588"/>
    <cellStyle name="警告文本 2 2 2 2" xfId="1233"/>
    <cellStyle name="警告文本 2 2 2 2 2" xfId="3556"/>
    <cellStyle name="警告文本 2 2 2 3" xfId="2968"/>
    <cellStyle name="警告文本 2 2 2 3 2" xfId="2969"/>
    <cellStyle name="警告文本 2 2 2 3 2 2" xfId="3558"/>
    <cellStyle name="警告文本 2 2 2 3 3" xfId="3557"/>
    <cellStyle name="警告文本 2 2 2 4" xfId="2970"/>
    <cellStyle name="警告文本 2 2 2 4 2" xfId="3559"/>
    <cellStyle name="警告文本 2 2 2 5" xfId="2971"/>
    <cellStyle name="警告文本 2 2 2 5 2" xfId="3560"/>
    <cellStyle name="警告文本 2 2 2 6" xfId="3555"/>
    <cellStyle name="警告文本 2 2 3" xfId="589"/>
    <cellStyle name="警告文本 2 2 3 2" xfId="1234"/>
    <cellStyle name="警告文本 2 2 3 2 2" xfId="3562"/>
    <cellStyle name="警告文本 2 2 3 3" xfId="3561"/>
    <cellStyle name="警告文本 2 2 4" xfId="798"/>
    <cellStyle name="警告文本 2 2 4 2" xfId="3755"/>
    <cellStyle name="警告文本 2 2 5" xfId="587"/>
    <cellStyle name="警告文本 2 2 5 2" xfId="1232"/>
    <cellStyle name="警告文本 2 3" xfId="590"/>
    <cellStyle name="警告文本 2 3 2" xfId="1235"/>
    <cellStyle name="警告文本 2 3 2 2" xfId="3564"/>
    <cellStyle name="警告文本 2 3 3" xfId="2972"/>
    <cellStyle name="警告文本 2 3 3 2" xfId="2973"/>
    <cellStyle name="警告文本 2 3 3 2 2" xfId="3566"/>
    <cellStyle name="警告文本 2 3 3 3" xfId="3565"/>
    <cellStyle name="警告文本 2 3 4" xfId="2974"/>
    <cellStyle name="警告文本 2 3 4 2" xfId="3567"/>
    <cellStyle name="警告文本 2 3 5" xfId="2975"/>
    <cellStyle name="警告文本 2 3 5 2" xfId="3568"/>
    <cellStyle name="警告文本 2 3 6" xfId="3563"/>
    <cellStyle name="警告文本 2 3 6 2" xfId="3756"/>
    <cellStyle name="警告文本 2 3 7" xfId="3092"/>
    <cellStyle name="警告文本 2 3 8" xfId="3865"/>
    <cellStyle name="警告文本 2 4" xfId="713"/>
    <cellStyle name="警告文本 2 4 2" xfId="2976"/>
    <cellStyle name="警告文本 2 4 2 2" xfId="3570"/>
    <cellStyle name="警告文本 2 4 3" xfId="3569"/>
    <cellStyle name="警告文本 2 5" xfId="586"/>
    <cellStyle name="警告文本 2 5 2" xfId="1231"/>
    <cellStyle name="警告文本 2 6" xfId="3091"/>
    <cellStyle name="链接单元格 2" xfId="78"/>
    <cellStyle name="链接单元格 2 2" xfId="164"/>
    <cellStyle name="链接单元格 2 2 2" xfId="593"/>
    <cellStyle name="链接单元格 2 2 2 2" xfId="1238"/>
    <cellStyle name="链接单元格 2 2 2 2 2" xfId="3572"/>
    <cellStyle name="链接单元格 2 2 2 3" xfId="2977"/>
    <cellStyle name="链接单元格 2 2 2 3 2" xfId="2978"/>
    <cellStyle name="链接单元格 2 2 2 3 2 2" xfId="3574"/>
    <cellStyle name="链接单元格 2 2 2 3 3" xfId="3573"/>
    <cellStyle name="链接单元格 2 2 2 4" xfId="2979"/>
    <cellStyle name="链接单元格 2 2 2 4 2" xfId="3575"/>
    <cellStyle name="链接单元格 2 2 2 5" xfId="2980"/>
    <cellStyle name="链接单元格 2 2 2 5 2" xfId="3576"/>
    <cellStyle name="链接单元格 2 2 2 6" xfId="3571"/>
    <cellStyle name="链接单元格 2 2 3" xfId="594"/>
    <cellStyle name="链接单元格 2 2 3 2" xfId="1239"/>
    <cellStyle name="链接单元格 2 2 3 2 2" xfId="3578"/>
    <cellStyle name="链接单元格 2 2 3 3" xfId="3577"/>
    <cellStyle name="链接单元格 2 2 4" xfId="799"/>
    <cellStyle name="链接单元格 2 2 4 2" xfId="3757"/>
    <cellStyle name="链接单元格 2 2 5" xfId="592"/>
    <cellStyle name="链接单元格 2 2 5 2" xfId="1237"/>
    <cellStyle name="链接单元格 2 3" xfId="595"/>
    <cellStyle name="链接单元格 2 3 2" xfId="1240"/>
    <cellStyle name="链接单元格 2 3 2 2" xfId="3580"/>
    <cellStyle name="链接单元格 2 3 3" xfId="2981"/>
    <cellStyle name="链接单元格 2 3 3 2" xfId="2982"/>
    <cellStyle name="链接单元格 2 3 3 2 2" xfId="3582"/>
    <cellStyle name="链接单元格 2 3 3 3" xfId="3581"/>
    <cellStyle name="链接单元格 2 3 4" xfId="2983"/>
    <cellStyle name="链接单元格 2 3 4 2" xfId="3583"/>
    <cellStyle name="链接单元格 2 3 5" xfId="2984"/>
    <cellStyle name="链接单元格 2 3 5 2" xfId="3584"/>
    <cellStyle name="链接单元格 2 3 6" xfId="3579"/>
    <cellStyle name="链接单元格 2 3 6 2" xfId="3758"/>
    <cellStyle name="链接单元格 2 3 7" xfId="3094"/>
    <cellStyle name="链接单元格 2 3 8" xfId="3807"/>
    <cellStyle name="链接单元格 2 4" xfId="714"/>
    <cellStyle name="链接单元格 2 4 2" xfId="2985"/>
    <cellStyle name="链接单元格 2 4 2 2" xfId="3586"/>
    <cellStyle name="链接单元格 2 4 3" xfId="3585"/>
    <cellStyle name="链接单元格 2 5" xfId="591"/>
    <cellStyle name="链接单元格 2 5 2" xfId="1236"/>
    <cellStyle name="链接单元格 2 6" xfId="3093"/>
    <cellStyle name="强调文字颜色 1 2" xfId="79"/>
    <cellStyle name="强调文字颜色 1 2 2" xfId="165"/>
    <cellStyle name="强调文字颜色 1 2 2 2" xfId="598"/>
    <cellStyle name="强调文字颜色 1 2 2 2 2" xfId="1243"/>
    <cellStyle name="强调文字颜色 1 2 2 2 2 2" xfId="3588"/>
    <cellStyle name="强调文字颜色 1 2 2 2 3" xfId="2986"/>
    <cellStyle name="强调文字颜色 1 2 2 2 3 2" xfId="2987"/>
    <cellStyle name="强调文字颜色 1 2 2 2 3 2 2" xfId="3590"/>
    <cellStyle name="强调文字颜色 1 2 2 2 3 3" xfId="3589"/>
    <cellStyle name="强调文字颜色 1 2 2 2 4" xfId="2988"/>
    <cellStyle name="强调文字颜色 1 2 2 2 4 2" xfId="3591"/>
    <cellStyle name="强调文字颜色 1 2 2 2 5" xfId="2989"/>
    <cellStyle name="强调文字颜色 1 2 2 2 5 2" xfId="3592"/>
    <cellStyle name="强调文字颜色 1 2 2 2 6" xfId="3587"/>
    <cellStyle name="强调文字颜色 1 2 2 3" xfId="599"/>
    <cellStyle name="强调文字颜色 1 2 2 3 2" xfId="1244"/>
    <cellStyle name="强调文字颜色 1 2 2 3 2 2" xfId="3594"/>
    <cellStyle name="强调文字颜色 1 2 2 3 3" xfId="3593"/>
    <cellStyle name="强调文字颜色 1 2 2 4" xfId="800"/>
    <cellStyle name="强调文字颜色 1 2 2 4 2" xfId="2709"/>
    <cellStyle name="强调文字颜色 1 2 2 4 3" xfId="2499"/>
    <cellStyle name="强调文字颜色 1 2 2 5" xfId="597"/>
    <cellStyle name="强调文字颜色 1 2 2 5 2" xfId="1242"/>
    <cellStyle name="强调文字颜色 1 2 2 6" xfId="2368"/>
    <cellStyle name="强调文字颜色 1 2 2 6 2" xfId="2630"/>
    <cellStyle name="强调文字颜色 1 2 2 7" xfId="2252"/>
    <cellStyle name="强调文字颜色 1 2 3" xfId="600"/>
    <cellStyle name="强调文字颜色 1 2 3 2" xfId="1245"/>
    <cellStyle name="强调文字颜色 1 2 3 2 2" xfId="3596"/>
    <cellStyle name="强调文字颜色 1 2 3 3" xfId="2990"/>
    <cellStyle name="强调文字颜色 1 2 3 3 2" xfId="2991"/>
    <cellStyle name="强调文字颜色 1 2 3 3 2 2" xfId="3598"/>
    <cellStyle name="强调文字颜色 1 2 3 3 3" xfId="3597"/>
    <cellStyle name="强调文字颜色 1 2 3 4" xfId="2992"/>
    <cellStyle name="强调文字颜色 1 2 3 4 2" xfId="3599"/>
    <cellStyle name="强调文字颜色 1 2 3 5" xfId="2993"/>
    <cellStyle name="强调文字颜色 1 2 3 5 2" xfId="3600"/>
    <cellStyle name="强调文字颜色 1 2 3 6" xfId="3595"/>
    <cellStyle name="强调文字颜色 1 2 3 6 2" xfId="3759"/>
    <cellStyle name="强调文字颜色 1 2 3 7" xfId="3095"/>
    <cellStyle name="强调文字颜色 1 2 3 8" xfId="3887"/>
    <cellStyle name="强调文字颜色 1 2 3 9" xfId="3878"/>
    <cellStyle name="强调文字颜色 1 2 4" xfId="715"/>
    <cellStyle name="强调文字颜色 1 2 4 2" xfId="2994"/>
    <cellStyle name="强调文字颜色 1 2 4 2 2" xfId="3602"/>
    <cellStyle name="强调文字颜色 1 2 4 3" xfId="3601"/>
    <cellStyle name="强调文字颜色 1 2 5" xfId="596"/>
    <cellStyle name="强调文字颜色 1 2 5 2" xfId="1241"/>
    <cellStyle name="强调文字颜色 1 2 5 3" xfId="2434"/>
    <cellStyle name="强调文字颜色 1 2 6" xfId="2367"/>
    <cellStyle name="强调文字颜色 1 2 6 2" xfId="2629"/>
    <cellStyle name="强调文字颜色 1 2 7" xfId="3836"/>
    <cellStyle name="强调文字颜色 1 2 8" xfId="2177"/>
    <cellStyle name="强调文字颜色 2 2" xfId="80"/>
    <cellStyle name="强调文字颜色 2 2 2" xfId="166"/>
    <cellStyle name="强调文字颜色 2 2 2 2" xfId="603"/>
    <cellStyle name="强调文字颜色 2 2 2 2 2" xfId="1248"/>
    <cellStyle name="强调文字颜色 2 2 2 2 2 2" xfId="3604"/>
    <cellStyle name="强调文字颜色 2 2 2 2 3" xfId="2995"/>
    <cellStyle name="强调文字颜色 2 2 2 2 3 2" xfId="2996"/>
    <cellStyle name="强调文字颜色 2 2 2 2 3 2 2" xfId="3606"/>
    <cellStyle name="强调文字颜色 2 2 2 2 3 3" xfId="3605"/>
    <cellStyle name="强调文字颜色 2 2 2 2 4" xfId="2997"/>
    <cellStyle name="强调文字颜色 2 2 2 2 4 2" xfId="3607"/>
    <cellStyle name="强调文字颜色 2 2 2 2 5" xfId="2998"/>
    <cellStyle name="强调文字颜色 2 2 2 2 5 2" xfId="3608"/>
    <cellStyle name="强调文字颜色 2 2 2 2 6" xfId="3603"/>
    <cellStyle name="强调文字颜色 2 2 2 3" xfId="604"/>
    <cellStyle name="强调文字颜色 2 2 2 3 2" xfId="1249"/>
    <cellStyle name="强调文字颜色 2 2 2 3 2 2" xfId="3610"/>
    <cellStyle name="强调文字颜色 2 2 2 3 3" xfId="3609"/>
    <cellStyle name="强调文字颜色 2 2 2 4" xfId="801"/>
    <cellStyle name="强调文字颜色 2 2 2 4 2" xfId="2710"/>
    <cellStyle name="强调文字颜色 2 2 2 4 3" xfId="2506"/>
    <cellStyle name="强调文字颜色 2 2 2 5" xfId="602"/>
    <cellStyle name="强调文字颜色 2 2 2 5 2" xfId="1247"/>
    <cellStyle name="强调文字颜色 2 2 2 6" xfId="2370"/>
    <cellStyle name="强调文字颜色 2 2 2 6 2" xfId="2632"/>
    <cellStyle name="强调文字颜色 2 2 2 7" xfId="2259"/>
    <cellStyle name="强调文字颜色 2 2 3" xfId="605"/>
    <cellStyle name="强调文字颜色 2 2 3 2" xfId="1250"/>
    <cellStyle name="强调文字颜色 2 2 3 2 2" xfId="3612"/>
    <cellStyle name="强调文字颜色 2 2 3 3" xfId="2999"/>
    <cellStyle name="强调文字颜色 2 2 3 3 2" xfId="3000"/>
    <cellStyle name="强调文字颜色 2 2 3 3 2 2" xfId="3614"/>
    <cellStyle name="强调文字颜色 2 2 3 3 3" xfId="3613"/>
    <cellStyle name="强调文字颜色 2 2 3 4" xfId="3001"/>
    <cellStyle name="强调文字颜色 2 2 3 4 2" xfId="3615"/>
    <cellStyle name="强调文字颜色 2 2 3 5" xfId="3002"/>
    <cellStyle name="强调文字颜色 2 2 3 5 2" xfId="3616"/>
    <cellStyle name="强调文字颜色 2 2 3 6" xfId="3611"/>
    <cellStyle name="强调文字颜色 2 2 3 6 2" xfId="3760"/>
    <cellStyle name="强调文字颜色 2 2 3 7" xfId="3096"/>
    <cellStyle name="强调文字颜色 2 2 3 8" xfId="3770"/>
    <cellStyle name="强调文字颜色 2 2 3 9" xfId="3783"/>
    <cellStyle name="强调文字颜色 2 2 4" xfId="716"/>
    <cellStyle name="强调文字颜色 2 2 4 2" xfId="3003"/>
    <cellStyle name="强调文字颜色 2 2 4 2 2" xfId="3618"/>
    <cellStyle name="强调文字颜色 2 2 4 3" xfId="3617"/>
    <cellStyle name="强调文字颜色 2 2 5" xfId="601"/>
    <cellStyle name="强调文字颜色 2 2 5 2" xfId="1246"/>
    <cellStyle name="强调文字颜色 2 2 5 3" xfId="2441"/>
    <cellStyle name="强调文字颜色 2 2 6" xfId="2369"/>
    <cellStyle name="强调文字颜色 2 2 6 2" xfId="2631"/>
    <cellStyle name="强调文字颜色 2 2 7" xfId="3822"/>
    <cellStyle name="强调文字颜色 2 2 8" xfId="2185"/>
    <cellStyle name="强调文字颜色 3 2" xfId="81"/>
    <cellStyle name="强调文字颜色 3 2 2" xfId="167"/>
    <cellStyle name="强调文字颜色 3 2 2 2" xfId="608"/>
    <cellStyle name="强调文字颜色 3 2 2 2 2" xfId="1253"/>
    <cellStyle name="强调文字颜色 3 2 2 2 2 2" xfId="3620"/>
    <cellStyle name="强调文字颜色 3 2 2 2 3" xfId="3004"/>
    <cellStyle name="强调文字颜色 3 2 2 2 3 2" xfId="3005"/>
    <cellStyle name="强调文字颜色 3 2 2 2 3 2 2" xfId="3622"/>
    <cellStyle name="强调文字颜色 3 2 2 2 3 3" xfId="3621"/>
    <cellStyle name="强调文字颜色 3 2 2 2 4" xfId="3006"/>
    <cellStyle name="强调文字颜色 3 2 2 2 4 2" xfId="3623"/>
    <cellStyle name="强调文字颜色 3 2 2 2 5" xfId="3007"/>
    <cellStyle name="强调文字颜色 3 2 2 2 5 2" xfId="3624"/>
    <cellStyle name="强调文字颜色 3 2 2 2 6" xfId="3619"/>
    <cellStyle name="强调文字颜色 3 2 2 3" xfId="609"/>
    <cellStyle name="强调文字颜色 3 2 2 3 2" xfId="1254"/>
    <cellStyle name="强调文字颜色 3 2 2 3 2 2" xfId="3626"/>
    <cellStyle name="强调文字颜色 3 2 2 3 3" xfId="3625"/>
    <cellStyle name="强调文字颜色 3 2 2 4" xfId="802"/>
    <cellStyle name="强调文字颜色 3 2 2 4 2" xfId="2711"/>
    <cellStyle name="强调文字颜色 3 2 2 4 3" xfId="2507"/>
    <cellStyle name="强调文字颜色 3 2 2 5" xfId="607"/>
    <cellStyle name="强调文字颜色 3 2 2 5 2" xfId="1252"/>
    <cellStyle name="强调文字颜色 3 2 2 6" xfId="2372"/>
    <cellStyle name="强调文字颜色 3 2 2 6 2" xfId="2634"/>
    <cellStyle name="强调文字颜色 3 2 2 7" xfId="2260"/>
    <cellStyle name="强调文字颜色 3 2 3" xfId="610"/>
    <cellStyle name="强调文字颜色 3 2 3 2" xfId="1255"/>
    <cellStyle name="强调文字颜色 3 2 3 2 2" xfId="3628"/>
    <cellStyle name="强调文字颜色 3 2 3 3" xfId="3008"/>
    <cellStyle name="强调文字颜色 3 2 3 3 2" xfId="3009"/>
    <cellStyle name="强调文字颜色 3 2 3 3 2 2" xfId="3630"/>
    <cellStyle name="强调文字颜色 3 2 3 3 3" xfId="3629"/>
    <cellStyle name="强调文字颜色 3 2 3 4" xfId="3010"/>
    <cellStyle name="强调文字颜色 3 2 3 4 2" xfId="3631"/>
    <cellStyle name="强调文字颜色 3 2 3 5" xfId="3011"/>
    <cellStyle name="强调文字颜色 3 2 3 5 2" xfId="3632"/>
    <cellStyle name="强调文字颜色 3 2 3 6" xfId="3627"/>
    <cellStyle name="强调文字颜色 3 2 3 6 2" xfId="3761"/>
    <cellStyle name="强调文字颜色 3 2 3 7" xfId="3097"/>
    <cellStyle name="强调文字颜色 3 2 3 8" xfId="3814"/>
    <cellStyle name="强调文字颜色 3 2 3 9" xfId="3850"/>
    <cellStyle name="强调文字颜色 3 2 4" xfId="717"/>
    <cellStyle name="强调文字颜色 3 2 4 2" xfId="3012"/>
    <cellStyle name="强调文字颜色 3 2 4 2 2" xfId="3634"/>
    <cellStyle name="强调文字颜色 3 2 4 3" xfId="3633"/>
    <cellStyle name="强调文字颜色 3 2 5" xfId="606"/>
    <cellStyle name="强调文字颜色 3 2 5 2" xfId="1251"/>
    <cellStyle name="强调文字颜色 3 2 5 3" xfId="2442"/>
    <cellStyle name="强调文字颜色 3 2 6" xfId="2371"/>
    <cellStyle name="强调文字颜色 3 2 6 2" xfId="2633"/>
    <cellStyle name="强调文字颜色 3 2 7" xfId="3852"/>
    <cellStyle name="强调文字颜色 3 2 8" xfId="2186"/>
    <cellStyle name="强调文字颜色 4 2" xfId="82"/>
    <cellStyle name="强调文字颜色 4 2 2" xfId="168"/>
    <cellStyle name="强调文字颜色 4 2 2 2" xfId="613"/>
    <cellStyle name="强调文字颜色 4 2 2 2 2" xfId="1258"/>
    <cellStyle name="强调文字颜色 4 2 2 2 2 2" xfId="3636"/>
    <cellStyle name="强调文字颜色 4 2 2 2 3" xfId="3013"/>
    <cellStyle name="强调文字颜色 4 2 2 2 3 2" xfId="3014"/>
    <cellStyle name="强调文字颜色 4 2 2 2 3 2 2" xfId="3638"/>
    <cellStyle name="强调文字颜色 4 2 2 2 3 3" xfId="3637"/>
    <cellStyle name="强调文字颜色 4 2 2 2 4" xfId="3015"/>
    <cellStyle name="强调文字颜色 4 2 2 2 4 2" xfId="3639"/>
    <cellStyle name="强调文字颜色 4 2 2 2 5" xfId="3016"/>
    <cellStyle name="强调文字颜色 4 2 2 2 5 2" xfId="3640"/>
    <cellStyle name="强调文字颜色 4 2 2 2 6" xfId="3635"/>
    <cellStyle name="强调文字颜色 4 2 2 3" xfId="614"/>
    <cellStyle name="强调文字颜色 4 2 2 3 2" xfId="1259"/>
    <cellStyle name="强调文字颜色 4 2 2 3 2 2" xfId="3642"/>
    <cellStyle name="强调文字颜色 4 2 2 3 3" xfId="3641"/>
    <cellStyle name="强调文字颜色 4 2 2 4" xfId="803"/>
    <cellStyle name="强调文字颜色 4 2 2 4 2" xfId="2712"/>
    <cellStyle name="强调文字颜色 4 2 2 4 3" xfId="2480"/>
    <cellStyle name="强调文字颜色 4 2 2 5" xfId="612"/>
    <cellStyle name="强调文字颜色 4 2 2 5 2" xfId="1257"/>
    <cellStyle name="强调文字颜色 4 2 2 6" xfId="2374"/>
    <cellStyle name="强调文字颜色 4 2 2 6 2" xfId="2636"/>
    <cellStyle name="强调文字颜色 4 2 2 7" xfId="2233"/>
    <cellStyle name="强调文字颜色 4 2 3" xfId="615"/>
    <cellStyle name="强调文字颜色 4 2 3 2" xfId="1260"/>
    <cellStyle name="强调文字颜色 4 2 3 2 2" xfId="3644"/>
    <cellStyle name="强调文字颜色 4 2 3 3" xfId="3017"/>
    <cellStyle name="强调文字颜色 4 2 3 3 2" xfId="3018"/>
    <cellStyle name="强调文字颜色 4 2 3 3 2 2" xfId="3646"/>
    <cellStyle name="强调文字颜色 4 2 3 3 3" xfId="3645"/>
    <cellStyle name="强调文字颜色 4 2 3 4" xfId="3019"/>
    <cellStyle name="强调文字颜色 4 2 3 4 2" xfId="3647"/>
    <cellStyle name="强调文字颜色 4 2 3 5" xfId="3020"/>
    <cellStyle name="强调文字颜色 4 2 3 5 2" xfId="3648"/>
    <cellStyle name="强调文字颜色 4 2 3 6" xfId="3643"/>
    <cellStyle name="强调文字颜色 4 2 3 6 2" xfId="3762"/>
    <cellStyle name="强调文字颜色 4 2 3 7" xfId="3098"/>
    <cellStyle name="强调文字颜色 4 2 3 8" xfId="3862"/>
    <cellStyle name="强调文字颜色 4 2 3 9" xfId="3830"/>
    <cellStyle name="强调文字颜色 4 2 4" xfId="718"/>
    <cellStyle name="强调文字颜色 4 2 4 2" xfId="3021"/>
    <cellStyle name="强调文字颜色 4 2 4 2 2" xfId="3650"/>
    <cellStyle name="强调文字颜色 4 2 4 3" xfId="3649"/>
    <cellStyle name="强调文字颜色 4 2 5" xfId="611"/>
    <cellStyle name="强调文字颜色 4 2 5 2" xfId="1256"/>
    <cellStyle name="强调文字颜色 4 2 5 3" xfId="2415"/>
    <cellStyle name="强调文字颜色 4 2 6" xfId="2373"/>
    <cellStyle name="强调文字颜色 4 2 6 2" xfId="2635"/>
    <cellStyle name="强调文字颜色 4 2 7" xfId="3833"/>
    <cellStyle name="强调文字颜色 4 2 8" xfId="2158"/>
    <cellStyle name="强调文字颜色 5 2" xfId="83"/>
    <cellStyle name="强调文字颜色 5 2 2" xfId="169"/>
    <cellStyle name="强调文字颜色 5 2 2 2" xfId="618"/>
    <cellStyle name="强调文字颜色 5 2 2 2 2" xfId="1263"/>
    <cellStyle name="强调文字颜色 5 2 2 2 2 2" xfId="3652"/>
    <cellStyle name="强调文字颜色 5 2 2 2 3" xfId="3022"/>
    <cellStyle name="强调文字颜色 5 2 2 2 3 2" xfId="3023"/>
    <cellStyle name="强调文字颜色 5 2 2 2 3 2 2" xfId="3654"/>
    <cellStyle name="强调文字颜色 5 2 2 2 3 3" xfId="3653"/>
    <cellStyle name="强调文字颜色 5 2 2 2 4" xfId="3024"/>
    <cellStyle name="强调文字颜色 5 2 2 2 4 2" xfId="3655"/>
    <cellStyle name="强调文字颜色 5 2 2 2 5" xfId="3025"/>
    <cellStyle name="强调文字颜色 5 2 2 2 5 2" xfId="3656"/>
    <cellStyle name="强调文字颜色 5 2 2 2 6" xfId="3651"/>
    <cellStyle name="强调文字颜色 5 2 2 3" xfId="619"/>
    <cellStyle name="强调文字颜色 5 2 2 3 2" xfId="1264"/>
    <cellStyle name="强调文字颜色 5 2 2 3 2 2" xfId="3658"/>
    <cellStyle name="强调文字颜色 5 2 2 3 3" xfId="3657"/>
    <cellStyle name="强调文字颜色 5 2 2 4" xfId="804"/>
    <cellStyle name="强调文字颜色 5 2 2 4 2" xfId="2713"/>
    <cellStyle name="强调文字颜色 5 2 2 4 3" xfId="2508"/>
    <cellStyle name="强调文字颜色 5 2 2 5" xfId="617"/>
    <cellStyle name="强调文字颜色 5 2 2 5 2" xfId="1262"/>
    <cellStyle name="强调文字颜色 5 2 2 6" xfId="2376"/>
    <cellStyle name="强调文字颜色 5 2 2 6 2" xfId="2638"/>
    <cellStyle name="强调文字颜色 5 2 2 7" xfId="2261"/>
    <cellStyle name="强调文字颜色 5 2 3" xfId="620"/>
    <cellStyle name="强调文字颜色 5 2 3 2" xfId="1265"/>
    <cellStyle name="强调文字颜色 5 2 3 2 2" xfId="3660"/>
    <cellStyle name="强调文字颜色 5 2 3 3" xfId="3026"/>
    <cellStyle name="强调文字颜色 5 2 3 3 2" xfId="3027"/>
    <cellStyle name="强调文字颜色 5 2 3 3 2 2" xfId="3662"/>
    <cellStyle name="强调文字颜色 5 2 3 3 3" xfId="3661"/>
    <cellStyle name="强调文字颜色 5 2 3 4" xfId="3028"/>
    <cellStyle name="强调文字颜色 5 2 3 4 2" xfId="3663"/>
    <cellStyle name="强调文字颜色 5 2 3 5" xfId="3029"/>
    <cellStyle name="强调文字颜色 5 2 3 5 2" xfId="3664"/>
    <cellStyle name="强调文字颜色 5 2 3 6" xfId="3659"/>
    <cellStyle name="强调文字颜色 5 2 3 6 2" xfId="3763"/>
    <cellStyle name="强调文字颜色 5 2 3 7" xfId="3099"/>
    <cellStyle name="强调文字颜色 5 2 3 8" xfId="3875"/>
    <cellStyle name="强调文字颜色 5 2 3 9" xfId="3898"/>
    <cellStyle name="强调文字颜色 5 2 4" xfId="719"/>
    <cellStyle name="强调文字颜色 5 2 4 2" xfId="3030"/>
    <cellStyle name="强调文字颜色 5 2 4 2 2" xfId="3666"/>
    <cellStyle name="强调文字颜色 5 2 4 3" xfId="3665"/>
    <cellStyle name="强调文字颜色 5 2 5" xfId="616"/>
    <cellStyle name="强调文字颜色 5 2 5 2" xfId="1261"/>
    <cellStyle name="强调文字颜色 5 2 5 3" xfId="2443"/>
    <cellStyle name="强调文字颜色 5 2 6" xfId="2375"/>
    <cellStyle name="强调文字颜色 5 2 6 2" xfId="2637"/>
    <cellStyle name="强调文字颜色 5 2 7" xfId="3790"/>
    <cellStyle name="强调文字颜色 5 2 8" xfId="2187"/>
    <cellStyle name="强调文字颜色 6 2" xfId="84"/>
    <cellStyle name="强调文字颜色 6 2 2" xfId="170"/>
    <cellStyle name="强调文字颜色 6 2 2 2" xfId="623"/>
    <cellStyle name="强调文字颜色 6 2 2 2 2" xfId="1268"/>
    <cellStyle name="强调文字颜色 6 2 2 2 2 2" xfId="3668"/>
    <cellStyle name="强调文字颜色 6 2 2 2 3" xfId="3031"/>
    <cellStyle name="强调文字颜色 6 2 2 2 3 2" xfId="3032"/>
    <cellStyle name="强调文字颜色 6 2 2 2 3 2 2" xfId="3670"/>
    <cellStyle name="强调文字颜色 6 2 2 2 3 3" xfId="3669"/>
    <cellStyle name="强调文字颜色 6 2 2 2 4" xfId="3033"/>
    <cellStyle name="强调文字颜色 6 2 2 2 4 2" xfId="3671"/>
    <cellStyle name="强调文字颜色 6 2 2 2 5" xfId="3034"/>
    <cellStyle name="强调文字颜色 6 2 2 2 5 2" xfId="3672"/>
    <cellStyle name="强调文字颜色 6 2 2 2 6" xfId="3667"/>
    <cellStyle name="强调文字颜色 6 2 2 3" xfId="624"/>
    <cellStyle name="强调文字颜色 6 2 2 3 2" xfId="1269"/>
    <cellStyle name="强调文字颜色 6 2 2 3 2 2" xfId="3674"/>
    <cellStyle name="强调文字颜色 6 2 2 3 3" xfId="3673"/>
    <cellStyle name="强调文字颜色 6 2 2 4" xfId="805"/>
    <cellStyle name="强调文字颜色 6 2 2 4 2" xfId="2714"/>
    <cellStyle name="强调文字颜色 6 2 2 4 3" xfId="2509"/>
    <cellStyle name="强调文字颜色 6 2 2 5" xfId="622"/>
    <cellStyle name="强调文字颜色 6 2 2 5 2" xfId="1267"/>
    <cellStyle name="强调文字颜色 6 2 2 6" xfId="2378"/>
    <cellStyle name="强调文字颜色 6 2 2 6 2" xfId="2640"/>
    <cellStyle name="强调文字颜色 6 2 2 7" xfId="2262"/>
    <cellStyle name="强调文字颜色 6 2 3" xfId="625"/>
    <cellStyle name="强调文字颜色 6 2 3 2" xfId="1270"/>
    <cellStyle name="强调文字颜色 6 2 3 2 2" xfId="3676"/>
    <cellStyle name="强调文字颜色 6 2 3 3" xfId="3035"/>
    <cellStyle name="强调文字颜色 6 2 3 3 2" xfId="3036"/>
    <cellStyle name="强调文字颜色 6 2 3 3 2 2" xfId="3678"/>
    <cellStyle name="强调文字颜色 6 2 3 3 3" xfId="3677"/>
    <cellStyle name="强调文字颜色 6 2 3 4" xfId="3037"/>
    <cellStyle name="强调文字颜色 6 2 3 4 2" xfId="3679"/>
    <cellStyle name="强调文字颜色 6 2 3 5" xfId="3038"/>
    <cellStyle name="强调文字颜色 6 2 3 5 2" xfId="3680"/>
    <cellStyle name="强调文字颜色 6 2 3 6" xfId="3675"/>
    <cellStyle name="强调文字颜色 6 2 3 6 2" xfId="3764"/>
    <cellStyle name="强调文字颜色 6 2 3 7" xfId="3100"/>
    <cellStyle name="强调文字颜色 6 2 3 8" xfId="3847"/>
    <cellStyle name="强调文字颜色 6 2 3 9" xfId="3879"/>
    <cellStyle name="强调文字颜色 6 2 4" xfId="720"/>
    <cellStyle name="强调文字颜色 6 2 4 2" xfId="3039"/>
    <cellStyle name="强调文字颜色 6 2 4 2 2" xfId="3682"/>
    <cellStyle name="强调文字颜色 6 2 4 3" xfId="3681"/>
    <cellStyle name="强调文字颜色 6 2 5" xfId="621"/>
    <cellStyle name="强调文字颜色 6 2 5 2" xfId="1266"/>
    <cellStyle name="强调文字颜色 6 2 5 3" xfId="2444"/>
    <cellStyle name="强调文字颜色 6 2 6" xfId="2377"/>
    <cellStyle name="强调文字颜色 6 2 6 2" xfId="2639"/>
    <cellStyle name="强调文字颜色 6 2 7" xfId="3895"/>
    <cellStyle name="强调文字颜色 6 2 8" xfId="2188"/>
    <cellStyle name="适中 2" xfId="85"/>
    <cellStyle name="适中 2 2" xfId="171"/>
    <cellStyle name="适中 2 2 2" xfId="628"/>
    <cellStyle name="适中 2 2 2 2" xfId="1273"/>
    <cellStyle name="适中 2 2 2 2 2" xfId="3684"/>
    <cellStyle name="适中 2 2 2 3" xfId="3040"/>
    <cellStyle name="适中 2 2 2 3 2" xfId="3041"/>
    <cellStyle name="适中 2 2 2 3 2 2" xfId="3686"/>
    <cellStyle name="适中 2 2 2 3 3" xfId="3685"/>
    <cellStyle name="适中 2 2 2 4" xfId="3042"/>
    <cellStyle name="适中 2 2 2 4 2" xfId="3687"/>
    <cellStyle name="适中 2 2 2 5" xfId="3043"/>
    <cellStyle name="适中 2 2 2 5 2" xfId="3688"/>
    <cellStyle name="适中 2 2 2 6" xfId="3683"/>
    <cellStyle name="适中 2 2 3" xfId="629"/>
    <cellStyle name="适中 2 2 3 2" xfId="1274"/>
    <cellStyle name="适中 2 2 3 2 2" xfId="3690"/>
    <cellStyle name="适中 2 2 3 3" xfId="3689"/>
    <cellStyle name="适中 2 2 4" xfId="806"/>
    <cellStyle name="适中 2 2 4 2" xfId="2715"/>
    <cellStyle name="适中 2 2 4 3" xfId="2458"/>
    <cellStyle name="适中 2 2 5" xfId="627"/>
    <cellStyle name="适中 2 2 5 2" xfId="1272"/>
    <cellStyle name="适中 2 2 6" xfId="2380"/>
    <cellStyle name="适中 2 2 6 2" xfId="2642"/>
    <cellStyle name="适中 2 2 7" xfId="2210"/>
    <cellStyle name="适中 2 3" xfId="630"/>
    <cellStyle name="适中 2 3 2" xfId="1275"/>
    <cellStyle name="适中 2 3 2 2" xfId="3692"/>
    <cellStyle name="适中 2 3 3" xfId="3044"/>
    <cellStyle name="适中 2 3 3 2" xfId="3045"/>
    <cellStyle name="适中 2 3 3 2 2" xfId="3694"/>
    <cellStyle name="适中 2 3 3 3" xfId="3693"/>
    <cellStyle name="适中 2 3 4" xfId="3046"/>
    <cellStyle name="适中 2 3 4 2" xfId="3695"/>
    <cellStyle name="适中 2 3 5" xfId="3047"/>
    <cellStyle name="适中 2 3 5 2" xfId="3696"/>
    <cellStyle name="适中 2 3 6" xfId="3691"/>
    <cellStyle name="适中 2 3 6 2" xfId="3765"/>
    <cellStyle name="适中 2 3 7" xfId="3101"/>
    <cellStyle name="适中 2 3 8" xfId="3846"/>
    <cellStyle name="适中 2 3 9" xfId="3831"/>
    <cellStyle name="适中 2 4" xfId="721"/>
    <cellStyle name="适中 2 4 2" xfId="3048"/>
    <cellStyle name="适中 2 4 2 2" xfId="3698"/>
    <cellStyle name="适中 2 4 3" xfId="3697"/>
    <cellStyle name="适中 2 5" xfId="626"/>
    <cellStyle name="适中 2 5 2" xfId="1271"/>
    <cellStyle name="适中 2 5 3" xfId="2393"/>
    <cellStyle name="适中 2 6" xfId="2379"/>
    <cellStyle name="适中 2 6 2" xfId="2641"/>
    <cellStyle name="适中 2 7" xfId="3826"/>
    <cellStyle name="适中 2 8" xfId="2136"/>
    <cellStyle name="输出 2" xfId="86"/>
    <cellStyle name="输出 2 2" xfId="172"/>
    <cellStyle name="输出 2 2 2" xfId="215"/>
    <cellStyle name="输出 2 2 2 2" xfId="840"/>
    <cellStyle name="输出 2 2 2 2 2" xfId="1469"/>
    <cellStyle name="输出 2 2 2 2 2 2" xfId="1664"/>
    <cellStyle name="输出 2 2 2 3" xfId="633"/>
    <cellStyle name="输出 2 2 2 3 2" xfId="1278"/>
    <cellStyle name="输出 2 2 2 3 2 2" xfId="1534"/>
    <cellStyle name="输出 2 2 2 3 2 2 2" xfId="1697"/>
    <cellStyle name="输出 2 2 2 3 3" xfId="1415"/>
    <cellStyle name="输出 2 2 2 3 3 2" xfId="1649"/>
    <cellStyle name="输出 2 2 2 4" xfId="1372"/>
    <cellStyle name="输出 2 2 2 4 2" xfId="1638"/>
    <cellStyle name="输出 2 2 2 5" xfId="3049"/>
    <cellStyle name="输出 2 2 2 5 2" xfId="3700"/>
    <cellStyle name="输出 2 2 2 6" xfId="3699"/>
    <cellStyle name="输出 2 2 3" xfId="194"/>
    <cellStyle name="输出 2 2 3 2" xfId="819"/>
    <cellStyle name="输出 2 2 3 2 2" xfId="1448"/>
    <cellStyle name="输出 2 2 3 2 2 2" xfId="1659"/>
    <cellStyle name="输出 2 2 3 3" xfId="634"/>
    <cellStyle name="输出 2 2 3 3 2" xfId="1279"/>
    <cellStyle name="输出 2 2 3 3 2 2" xfId="1535"/>
    <cellStyle name="输出 2 2 3 3 2 2 2" xfId="1698"/>
    <cellStyle name="输出 2 2 3 3 3" xfId="1416"/>
    <cellStyle name="输出 2 2 3 3 3 2" xfId="1650"/>
    <cellStyle name="输出 2 2 3 4" xfId="1351"/>
    <cellStyle name="输出 2 2 3 4 2" xfId="1633"/>
    <cellStyle name="输出 2 2 4" xfId="807"/>
    <cellStyle name="输出 2 2 4 2" xfId="1437"/>
    <cellStyle name="输出 2 2 4 2 2" xfId="1656"/>
    <cellStyle name="输出 2 2 4 3" xfId="2454"/>
    <cellStyle name="输出 2 2 5" xfId="632"/>
    <cellStyle name="输出 2 2 5 2" xfId="1277"/>
    <cellStyle name="输出 2 2 5 2 2" xfId="1533"/>
    <cellStyle name="输出 2 2 5 2 2 2" xfId="1696"/>
    <cellStyle name="输出 2 2 5 3" xfId="1414"/>
    <cellStyle name="输出 2 2 5 3 2" xfId="1648"/>
    <cellStyle name="输出 2 2 6" xfId="1330"/>
    <cellStyle name="输出 2 2 6 2" xfId="1628"/>
    <cellStyle name="输出 2 2 7" xfId="2206"/>
    <cellStyle name="输出 2 3" xfId="204"/>
    <cellStyle name="输出 2 3 2" xfId="829"/>
    <cellStyle name="输出 2 3 2 2" xfId="1458"/>
    <cellStyle name="输出 2 3 2 2 2" xfId="1661"/>
    <cellStyle name="输出 2 3 3" xfId="635"/>
    <cellStyle name="输出 2 3 3 2" xfId="1280"/>
    <cellStyle name="输出 2 3 3 2 2" xfId="1536"/>
    <cellStyle name="输出 2 3 3 2 2 2" xfId="1699"/>
    <cellStyle name="输出 2 3 3 3" xfId="1417"/>
    <cellStyle name="输出 2 3 3 3 2" xfId="1651"/>
    <cellStyle name="输出 2 3 4" xfId="1361"/>
    <cellStyle name="输出 2 3 4 2" xfId="1635"/>
    <cellStyle name="输出 2 3 5" xfId="3050"/>
    <cellStyle name="输出 2 3 5 2" xfId="3702"/>
    <cellStyle name="输出 2 3 6" xfId="3701"/>
    <cellStyle name="输出 2 3 6 2" xfId="3766"/>
    <cellStyle name="输出 2 3 7" xfId="3102"/>
    <cellStyle name="输出 2 3 8" xfId="3795"/>
    <cellStyle name="输出 2 3 9" xfId="3769"/>
    <cellStyle name="输出 2 4" xfId="183"/>
    <cellStyle name="输出 2 4 2" xfId="722"/>
    <cellStyle name="输出 2 4 2 2" xfId="1428"/>
    <cellStyle name="输出 2 4 2 2 2" xfId="1653"/>
    <cellStyle name="输出 2 4 3" xfId="1340"/>
    <cellStyle name="输出 2 4 3 2" xfId="1630"/>
    <cellStyle name="输出 2 5" xfId="631"/>
    <cellStyle name="输出 2 5 2" xfId="1276"/>
    <cellStyle name="输出 2 5 2 2" xfId="1532"/>
    <cellStyle name="输出 2 5 2 2 2" xfId="1695"/>
    <cellStyle name="输出 2 5 3" xfId="1413"/>
    <cellStyle name="输出 2 5 3 2" xfId="1647"/>
    <cellStyle name="输出 2 5 4" xfId="2389"/>
    <cellStyle name="输出 2 6" xfId="1319"/>
    <cellStyle name="输出 2 6 2" xfId="1625"/>
    <cellStyle name="输出 2 7" xfId="3809"/>
    <cellStyle name="输出 2 8" xfId="2132"/>
    <cellStyle name="输入 2" xfId="87"/>
    <cellStyle name="输入 2 2" xfId="173"/>
    <cellStyle name="输入 2 2 2" xfId="216"/>
    <cellStyle name="输入 2 2 2 2" xfId="841"/>
    <cellStyle name="输入 2 2 2 2 2" xfId="1470"/>
    <cellStyle name="输入 2 2 2 3" xfId="638"/>
    <cellStyle name="输入 2 2 2 3 2" xfId="1283"/>
    <cellStyle name="输入 2 2 2 3 2 2" xfId="1539"/>
    <cellStyle name="输入 2 2 2 3 3" xfId="1420"/>
    <cellStyle name="输入 2 2 2 4" xfId="1373"/>
    <cellStyle name="输入 2 2 2 4 2" xfId="3704"/>
    <cellStyle name="输入 2 2 2 5" xfId="3051"/>
    <cellStyle name="输入 2 2 2 5 2" xfId="3705"/>
    <cellStyle name="输入 2 2 2 6" xfId="3703"/>
    <cellStyle name="输入 2 2 3" xfId="195"/>
    <cellStyle name="输入 2 2 3 2" xfId="820"/>
    <cellStyle name="输入 2 2 3 2 2" xfId="1449"/>
    <cellStyle name="输入 2 2 3 3" xfId="639"/>
    <cellStyle name="输入 2 2 3 3 2" xfId="1284"/>
    <cellStyle name="输入 2 2 3 3 2 2" xfId="1540"/>
    <cellStyle name="输入 2 2 3 3 3" xfId="1421"/>
    <cellStyle name="输入 2 2 3 4" xfId="1352"/>
    <cellStyle name="输入 2 2 4" xfId="808"/>
    <cellStyle name="输入 2 2 4 2" xfId="1438"/>
    <cellStyle name="输入 2 2 4 3" xfId="2510"/>
    <cellStyle name="输入 2 2 5" xfId="637"/>
    <cellStyle name="输入 2 2 5 2" xfId="1282"/>
    <cellStyle name="输入 2 2 5 2 2" xfId="1538"/>
    <cellStyle name="输入 2 2 5 3" xfId="1419"/>
    <cellStyle name="输入 2 2 6" xfId="1331"/>
    <cellStyle name="输入 2 2 6 2" xfId="2644"/>
    <cellStyle name="输入 2 2 7" xfId="2263"/>
    <cellStyle name="输入 2 3" xfId="205"/>
    <cellStyle name="输入 2 3 2" xfId="830"/>
    <cellStyle name="输入 2 3 2 2" xfId="1459"/>
    <cellStyle name="输入 2 3 3" xfId="640"/>
    <cellStyle name="输入 2 3 3 2" xfId="1285"/>
    <cellStyle name="输入 2 3 3 2 2" xfId="1541"/>
    <cellStyle name="输入 2 3 3 3" xfId="1422"/>
    <cellStyle name="输入 2 3 4" xfId="1362"/>
    <cellStyle name="输入 2 3 4 2" xfId="3707"/>
    <cellStyle name="输入 2 3 5" xfId="3052"/>
    <cellStyle name="输入 2 3 5 2" xfId="3708"/>
    <cellStyle name="输入 2 3 6" xfId="3706"/>
    <cellStyle name="输入 2 3 6 2" xfId="3767"/>
    <cellStyle name="输入 2 3 7" xfId="3103"/>
    <cellStyle name="输入 2 3 8" xfId="3817"/>
    <cellStyle name="输入 2 3 9" xfId="3820"/>
    <cellStyle name="输入 2 4" xfId="184"/>
    <cellStyle name="输入 2 4 2" xfId="1341"/>
    <cellStyle name="输入 2 4 2 2" xfId="3710"/>
    <cellStyle name="输入 2 4 3" xfId="3709"/>
    <cellStyle name="输入 2 5" xfId="636"/>
    <cellStyle name="输入 2 5 2" xfId="1281"/>
    <cellStyle name="输入 2 5 2 2" xfId="1537"/>
    <cellStyle name="输入 2 5 3" xfId="1418"/>
    <cellStyle name="输入 2 5 4" xfId="2445"/>
    <cellStyle name="输入 2 6" xfId="1320"/>
    <cellStyle name="输入 2 6 2" xfId="2643"/>
    <cellStyle name="输入 2 7" xfId="3840"/>
    <cellStyle name="输入 2 8" xfId="2189"/>
    <cellStyle name="注释 2" xfId="88"/>
    <cellStyle name="注释 2 2" xfId="174"/>
    <cellStyle name="注释 2 2 2" xfId="217"/>
    <cellStyle name="注释 2 2 2 2" xfId="842"/>
    <cellStyle name="注释 2 2 2 2 2" xfId="1471"/>
    <cellStyle name="注释 2 2 2 3" xfId="643"/>
    <cellStyle name="注释 2 2 2 3 2" xfId="1288"/>
    <cellStyle name="注释 2 2 2 3 2 2" xfId="1544"/>
    <cellStyle name="注释 2 2 2 3 3" xfId="1425"/>
    <cellStyle name="注释 2 2 2 4" xfId="1374"/>
    <cellStyle name="注释 2 2 2 4 2" xfId="3712"/>
    <cellStyle name="注释 2 2 2 5" xfId="3053"/>
    <cellStyle name="注释 2 2 2 5 2" xfId="3713"/>
    <cellStyle name="注释 2 2 2 6" xfId="3711"/>
    <cellStyle name="注释 2 2 3" xfId="196"/>
    <cellStyle name="注释 2 2 3 2" xfId="821"/>
    <cellStyle name="注释 2 2 3 2 2" xfId="1450"/>
    <cellStyle name="注释 2 2 3 3" xfId="1353"/>
    <cellStyle name="注释 2 2 3 4" xfId="2511"/>
    <cellStyle name="注释 2 2 4" xfId="809"/>
    <cellStyle name="注释 2 2 4 2" xfId="1439"/>
    <cellStyle name="注释 2 2 5" xfId="642"/>
    <cellStyle name="注释 2 2 5 2" xfId="1287"/>
    <cellStyle name="注释 2 2 5 2 2" xfId="1543"/>
    <cellStyle name="注释 2 2 5 3" xfId="1424"/>
    <cellStyle name="注释 2 2 6" xfId="1332"/>
    <cellStyle name="注释 2 2 7" xfId="2264"/>
    <cellStyle name="注释 2 3" xfId="206"/>
    <cellStyle name="注释 2 3 2" xfId="831"/>
    <cellStyle name="注释 2 3 2 2" xfId="1460"/>
    <cellStyle name="注释 2 3 3" xfId="644"/>
    <cellStyle name="注释 2 3 3 2" xfId="1289"/>
    <cellStyle name="注释 2 3 3 2 2" xfId="1545"/>
    <cellStyle name="注释 2 3 3 3" xfId="1426"/>
    <cellStyle name="注释 2 3 4" xfId="1363"/>
    <cellStyle name="注释 2 3 4 2" xfId="3715"/>
    <cellStyle name="注释 2 3 5" xfId="3054"/>
    <cellStyle name="注释 2 3 5 2" xfId="3716"/>
    <cellStyle name="注释 2 3 6" xfId="3714"/>
    <cellStyle name="注释 2 3 6 2" xfId="3768"/>
    <cellStyle name="注释 2 3 7" xfId="3104"/>
    <cellStyle name="注释 2 3 8" xfId="3813"/>
    <cellStyle name="注释 2 3 9" xfId="3858"/>
    <cellStyle name="注释 2 4" xfId="185"/>
    <cellStyle name="注释 2 4 2" xfId="1342"/>
    <cellStyle name="注释 2 4 2 2" xfId="3718"/>
    <cellStyle name="注释 2 4 3" xfId="3717"/>
    <cellStyle name="注释 2 5" xfId="641"/>
    <cellStyle name="注释 2 5 2" xfId="1286"/>
    <cellStyle name="注释 2 5 2 2" xfId="1542"/>
    <cellStyle name="注释 2 5 3" xfId="1423"/>
    <cellStyle name="注释 2 5 4" xfId="2446"/>
    <cellStyle name="注释 2 6" xfId="1321"/>
    <cellStyle name="注释 2 6 2" xfId="2645"/>
    <cellStyle name="注释 2 7" xfId="3857"/>
    <cellStyle name="注释 2 8" xfId="21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2"/>
  <sheetViews>
    <sheetView tabSelected="1" workbookViewId="0">
      <pane xSplit="2" ySplit="2" topLeftCell="H3" activePane="bottomRight" state="frozen"/>
      <selection pane="topRight"/>
      <selection pane="bottomLeft"/>
      <selection pane="bottomRight" activeCell="O11" sqref="O11"/>
    </sheetView>
  </sheetViews>
  <sheetFormatPr defaultRowHeight="11.25"/>
  <cols>
    <col min="1" max="1" width="8.5" style="14" customWidth="1"/>
    <col min="2" max="2" width="23.875" style="10" customWidth="1"/>
    <col min="3" max="3" width="30.5" style="10" customWidth="1"/>
    <col min="4" max="5" width="22.75" style="10" customWidth="1"/>
    <col min="6" max="6" width="9.375" style="14" bestFit="1" customWidth="1"/>
    <col min="7" max="7" width="42.5" style="14" bestFit="1" customWidth="1"/>
    <col min="8" max="8" width="12.375" style="14" customWidth="1"/>
    <col min="9" max="9" width="10.25" style="14" customWidth="1"/>
    <col min="10" max="10" width="9.375" style="14" bestFit="1" customWidth="1"/>
    <col min="11" max="11" width="25.75" style="14" bestFit="1" customWidth="1"/>
    <col min="12" max="12" width="23.875" style="14" bestFit="1" customWidth="1"/>
    <col min="13" max="13" width="20.875" style="10" customWidth="1"/>
    <col min="14" max="14" width="21" style="10" bestFit="1" customWidth="1"/>
    <col min="15" max="15" width="12.25" style="14" bestFit="1" customWidth="1"/>
    <col min="16" max="16" width="13.375" style="14" bestFit="1" customWidth="1"/>
    <col min="17" max="16384" width="9" style="14"/>
  </cols>
  <sheetData>
    <row r="1" spans="1:16" ht="13.5">
      <c r="A1" s="15" t="s">
        <v>352</v>
      </c>
      <c r="B1" s="15" t="s">
        <v>353</v>
      </c>
      <c r="C1" s="15" t="s">
        <v>354</v>
      </c>
      <c r="D1" s="15" t="s">
        <v>355</v>
      </c>
      <c r="E1" s="32" t="s">
        <v>406</v>
      </c>
      <c r="F1" s="15" t="s">
        <v>356</v>
      </c>
      <c r="G1" s="15" t="s">
        <v>357</v>
      </c>
      <c r="H1" s="15" t="s">
        <v>358</v>
      </c>
      <c r="I1" s="15" t="s">
        <v>359</v>
      </c>
      <c r="J1" s="15" t="s">
        <v>360</v>
      </c>
      <c r="K1" s="15" t="s">
        <v>361</v>
      </c>
      <c r="L1" s="15" t="s">
        <v>362</v>
      </c>
      <c r="M1" s="15" t="s">
        <v>363</v>
      </c>
      <c r="N1" s="15" t="s">
        <v>364</v>
      </c>
      <c r="O1" s="15" t="s">
        <v>365</v>
      </c>
      <c r="P1" s="15" t="s">
        <v>366</v>
      </c>
    </row>
    <row r="2" spans="1:16" s="10" customFormat="1" ht="15" customHeight="1">
      <c r="A2" s="16"/>
      <c r="B2" s="17" t="s">
        <v>373</v>
      </c>
      <c r="C2" s="17" t="s">
        <v>374</v>
      </c>
      <c r="D2" s="33" t="s">
        <v>375</v>
      </c>
      <c r="E2" s="17" t="s">
        <v>407</v>
      </c>
      <c r="F2" s="17" t="s">
        <v>372</v>
      </c>
      <c r="G2" s="17" t="s">
        <v>376</v>
      </c>
      <c r="H2" s="16" t="s">
        <v>377</v>
      </c>
      <c r="I2" s="16" t="s">
        <v>378</v>
      </c>
      <c r="J2" s="16" t="s">
        <v>379</v>
      </c>
      <c r="K2" s="16" t="s">
        <v>380</v>
      </c>
      <c r="L2" s="16" t="s">
        <v>381</v>
      </c>
      <c r="M2" s="16" t="s">
        <v>382</v>
      </c>
      <c r="N2" s="16" t="s">
        <v>383</v>
      </c>
      <c r="O2" s="16" t="s">
        <v>384</v>
      </c>
      <c r="P2" s="16" t="s">
        <v>385</v>
      </c>
    </row>
    <row r="3" spans="1:16" s="10" customFormat="1" ht="409.5" customHeight="1">
      <c r="A3" s="16"/>
      <c r="B3" s="17"/>
      <c r="C3" s="17"/>
      <c r="D3" s="18"/>
      <c r="E3" s="21"/>
      <c r="F3" s="17"/>
      <c r="G3" s="19" t="s">
        <v>408</v>
      </c>
      <c r="H3" s="16" t="s">
        <v>367</v>
      </c>
      <c r="I3" s="16" t="s">
        <v>371</v>
      </c>
      <c r="J3" s="16"/>
      <c r="K3" s="16" t="s">
        <v>368</v>
      </c>
      <c r="L3" s="16" t="s">
        <v>369</v>
      </c>
      <c r="M3" s="16" t="s">
        <v>370</v>
      </c>
      <c r="N3" s="16" t="s">
        <v>410</v>
      </c>
      <c r="O3" s="16"/>
      <c r="P3" s="21" t="s">
        <v>386</v>
      </c>
    </row>
    <row r="4" spans="1:16">
      <c r="A4" s="22">
        <v>21030001</v>
      </c>
      <c r="B4" s="22" t="s">
        <v>388</v>
      </c>
      <c r="C4" s="22" t="s">
        <v>389</v>
      </c>
      <c r="D4" s="22" t="s">
        <v>387</v>
      </c>
      <c r="E4" s="22"/>
      <c r="F4" s="22">
        <v>1</v>
      </c>
      <c r="G4" s="22">
        <v>27</v>
      </c>
      <c r="H4" s="22">
        <v>1</v>
      </c>
      <c r="I4" s="22">
        <v>1</v>
      </c>
      <c r="J4" s="22">
        <v>1</v>
      </c>
      <c r="K4" s="22"/>
      <c r="L4" s="22"/>
      <c r="M4" s="22"/>
      <c r="N4" s="23" t="s">
        <v>411</v>
      </c>
      <c r="O4" s="22">
        <v>0</v>
      </c>
      <c r="P4" s="22">
        <v>19</v>
      </c>
    </row>
    <row r="5" spans="1:16">
      <c r="A5" s="22">
        <v>21030002</v>
      </c>
      <c r="B5" s="22" t="s">
        <v>388</v>
      </c>
      <c r="C5" s="22" t="s">
        <v>390</v>
      </c>
      <c r="D5" s="22" t="s">
        <v>387</v>
      </c>
      <c r="E5" s="22"/>
      <c r="F5" s="22">
        <v>1</v>
      </c>
      <c r="G5" s="22">
        <v>27</v>
      </c>
      <c r="H5" s="22">
        <v>1</v>
      </c>
      <c r="I5" s="22">
        <v>2</v>
      </c>
      <c r="J5" s="22">
        <v>1</v>
      </c>
      <c r="K5" s="22"/>
      <c r="L5" s="22"/>
      <c r="M5" s="22"/>
      <c r="N5" s="23" t="s">
        <v>411</v>
      </c>
      <c r="O5" s="22">
        <v>0</v>
      </c>
      <c r="P5" s="22">
        <v>19</v>
      </c>
    </row>
    <row r="6" spans="1:16">
      <c r="A6" s="22">
        <v>21030003</v>
      </c>
      <c r="B6" s="22" t="s">
        <v>388</v>
      </c>
      <c r="C6" s="22" t="s">
        <v>391</v>
      </c>
      <c r="D6" s="22" t="s">
        <v>387</v>
      </c>
      <c r="E6" s="22"/>
      <c r="F6" s="22">
        <v>1</v>
      </c>
      <c r="G6" s="22">
        <v>27</v>
      </c>
      <c r="H6" s="22">
        <v>1</v>
      </c>
      <c r="I6" s="22">
        <v>3</v>
      </c>
      <c r="J6" s="22">
        <v>1</v>
      </c>
      <c r="K6" s="22"/>
      <c r="L6" s="22"/>
      <c r="M6" s="22"/>
      <c r="N6" s="23" t="s">
        <v>411</v>
      </c>
      <c r="O6" s="22">
        <v>0</v>
      </c>
      <c r="P6" s="22">
        <v>19</v>
      </c>
    </row>
    <row r="7" spans="1:16">
      <c r="A7" s="22">
        <v>21030004</v>
      </c>
      <c r="B7" s="22" t="s">
        <v>394</v>
      </c>
      <c r="C7" s="22" t="s">
        <v>395</v>
      </c>
      <c r="D7" s="22" t="s">
        <v>387</v>
      </c>
      <c r="E7" s="22"/>
      <c r="F7" s="22">
        <v>1</v>
      </c>
      <c r="G7" s="22">
        <v>29</v>
      </c>
      <c r="H7" s="22">
        <v>1</v>
      </c>
      <c r="I7" s="22">
        <v>0</v>
      </c>
      <c r="J7" s="22">
        <v>1</v>
      </c>
      <c r="K7" s="22"/>
      <c r="L7" s="22"/>
      <c r="M7" s="22"/>
      <c r="N7" s="23" t="s">
        <v>411</v>
      </c>
      <c r="O7" s="22">
        <v>0</v>
      </c>
      <c r="P7" s="22">
        <v>19</v>
      </c>
    </row>
    <row r="8" spans="1:16">
      <c r="A8" s="22">
        <v>21030005</v>
      </c>
      <c r="B8" s="30" t="s">
        <v>409</v>
      </c>
      <c r="C8" s="30" t="s">
        <v>403</v>
      </c>
      <c r="D8" s="22" t="s">
        <v>387</v>
      </c>
      <c r="E8" s="22"/>
      <c r="F8" s="20">
        <v>1</v>
      </c>
      <c r="G8" s="20">
        <v>33</v>
      </c>
      <c r="H8" s="22">
        <v>1</v>
      </c>
      <c r="I8" s="20">
        <v>0</v>
      </c>
      <c r="J8" s="20">
        <v>1</v>
      </c>
      <c r="K8" s="20"/>
      <c r="L8" s="20"/>
      <c r="M8" s="31"/>
      <c r="N8" s="23" t="s">
        <v>411</v>
      </c>
      <c r="O8" s="22">
        <v>0</v>
      </c>
      <c r="P8" s="22">
        <v>19</v>
      </c>
    </row>
    <row r="9" spans="1:16">
      <c r="A9" s="22">
        <v>21030006</v>
      </c>
      <c r="B9" s="30" t="s">
        <v>396</v>
      </c>
      <c r="C9" s="30" t="s">
        <v>404</v>
      </c>
      <c r="D9" s="22" t="s">
        <v>387</v>
      </c>
      <c r="E9" s="22"/>
      <c r="F9" s="20">
        <v>1</v>
      </c>
      <c r="G9" s="20">
        <v>34</v>
      </c>
      <c r="H9" s="22">
        <v>1</v>
      </c>
      <c r="I9" s="20">
        <v>0</v>
      </c>
      <c r="J9" s="20">
        <v>1</v>
      </c>
      <c r="K9" s="20"/>
      <c r="L9" s="20"/>
      <c r="M9" s="31"/>
      <c r="N9" s="23" t="s">
        <v>411</v>
      </c>
      <c r="O9" s="22">
        <v>0</v>
      </c>
      <c r="P9" s="22">
        <v>19</v>
      </c>
    </row>
    <row r="10" spans="1:16">
      <c r="A10" s="22">
        <v>21030007</v>
      </c>
      <c r="B10" s="22" t="s">
        <v>398</v>
      </c>
      <c r="C10" s="30" t="s">
        <v>399</v>
      </c>
      <c r="D10" s="22" t="s">
        <v>387</v>
      </c>
      <c r="E10" s="22"/>
      <c r="F10" s="22">
        <v>1</v>
      </c>
      <c r="G10" s="22">
        <v>31</v>
      </c>
      <c r="H10" s="22">
        <v>1</v>
      </c>
      <c r="I10" s="22">
        <v>0</v>
      </c>
      <c r="J10" s="22">
        <v>1</v>
      </c>
      <c r="K10" s="22"/>
      <c r="L10" s="22"/>
      <c r="M10" s="22"/>
      <c r="N10" s="23" t="s">
        <v>411</v>
      </c>
      <c r="O10" s="22">
        <v>0</v>
      </c>
      <c r="P10" s="22">
        <v>19</v>
      </c>
    </row>
    <row r="11" spans="1:16">
      <c r="A11" s="22">
        <v>21030008</v>
      </c>
      <c r="B11" s="30" t="s">
        <v>398</v>
      </c>
      <c r="C11" s="30" t="s">
        <v>405</v>
      </c>
      <c r="D11" s="22" t="s">
        <v>387</v>
      </c>
      <c r="E11" s="22"/>
      <c r="F11" s="20">
        <v>1</v>
      </c>
      <c r="G11" s="20">
        <v>35</v>
      </c>
      <c r="H11" s="22">
        <v>1</v>
      </c>
      <c r="I11" s="20">
        <v>0</v>
      </c>
      <c r="J11" s="20">
        <v>1</v>
      </c>
      <c r="K11" s="20"/>
      <c r="L11" s="20"/>
      <c r="M11" s="31"/>
      <c r="N11" s="23" t="s">
        <v>411</v>
      </c>
      <c r="O11" s="22">
        <v>0</v>
      </c>
      <c r="P11" s="22">
        <v>19</v>
      </c>
    </row>
    <row r="12" spans="1:16">
      <c r="A12" s="22">
        <v>21030009</v>
      </c>
      <c r="B12" s="22" t="s">
        <v>392</v>
      </c>
      <c r="C12" s="22" t="s">
        <v>393</v>
      </c>
      <c r="D12" s="22" t="s">
        <v>387</v>
      </c>
      <c r="E12" s="22"/>
      <c r="F12" s="22">
        <v>1</v>
      </c>
      <c r="G12" s="22">
        <v>28</v>
      </c>
      <c r="H12" s="22">
        <v>1</v>
      </c>
      <c r="I12" s="22">
        <v>0</v>
      </c>
      <c r="J12" s="22">
        <v>1</v>
      </c>
      <c r="K12" s="22"/>
      <c r="L12" s="22"/>
      <c r="M12" s="22"/>
      <c r="N12" s="23" t="s">
        <v>411</v>
      </c>
      <c r="O12" s="22">
        <v>0</v>
      </c>
      <c r="P12" s="22">
        <v>19</v>
      </c>
    </row>
    <row r="13" spans="1:16">
      <c r="A13" s="22">
        <v>21030010</v>
      </c>
      <c r="B13" s="22" t="s">
        <v>397</v>
      </c>
      <c r="C13" s="22" t="s">
        <v>402</v>
      </c>
      <c r="D13" s="22" t="s">
        <v>387</v>
      </c>
      <c r="E13" s="22"/>
      <c r="F13" s="22">
        <v>1</v>
      </c>
      <c r="G13" s="22">
        <v>30</v>
      </c>
      <c r="H13" s="22">
        <v>1</v>
      </c>
      <c r="I13" s="22">
        <v>0</v>
      </c>
      <c r="J13" s="22">
        <v>1</v>
      </c>
      <c r="K13" s="22"/>
      <c r="L13" s="22"/>
      <c r="M13" s="22"/>
      <c r="N13" s="23" t="s">
        <v>411</v>
      </c>
      <c r="O13" s="22">
        <v>0</v>
      </c>
      <c r="P13" s="22">
        <v>19</v>
      </c>
    </row>
    <row r="14" spans="1:16">
      <c r="A14" s="22">
        <v>21030011</v>
      </c>
      <c r="B14" s="30" t="s">
        <v>400</v>
      </c>
      <c r="C14" s="30" t="s">
        <v>401</v>
      </c>
      <c r="D14" s="22" t="s">
        <v>387</v>
      </c>
      <c r="E14" s="22"/>
      <c r="F14" s="20">
        <v>1</v>
      </c>
      <c r="G14" s="20">
        <v>32</v>
      </c>
      <c r="H14" s="22">
        <v>1</v>
      </c>
      <c r="I14" s="20">
        <v>0</v>
      </c>
      <c r="J14" s="20">
        <v>1</v>
      </c>
      <c r="K14" s="20"/>
      <c r="L14" s="20"/>
      <c r="M14" s="31"/>
      <c r="N14" s="23" t="s">
        <v>411</v>
      </c>
      <c r="O14" s="22">
        <v>0</v>
      </c>
      <c r="P14" s="22">
        <v>19</v>
      </c>
    </row>
    <row r="15" spans="1:16">
      <c r="A15" s="22"/>
      <c r="B15" s="30"/>
      <c r="C15" s="30"/>
      <c r="D15" s="20"/>
      <c r="E15" s="20"/>
      <c r="F15" s="20"/>
      <c r="G15" s="20"/>
      <c r="H15" s="20"/>
      <c r="I15" s="20"/>
      <c r="J15" s="20"/>
      <c r="K15" s="20"/>
      <c r="L15" s="20"/>
      <c r="M15" s="31"/>
      <c r="N15" s="23"/>
      <c r="O15" s="20"/>
      <c r="P15" s="20"/>
    </row>
    <row r="16" spans="1:16">
      <c r="A16" s="22"/>
      <c r="B16" s="30"/>
      <c r="C16" s="30"/>
      <c r="D16" s="20"/>
      <c r="E16" s="20"/>
      <c r="F16" s="20"/>
      <c r="G16" s="20"/>
      <c r="H16" s="20"/>
      <c r="I16" s="20"/>
      <c r="J16" s="20"/>
      <c r="K16" s="20"/>
      <c r="L16" s="20"/>
      <c r="M16" s="31"/>
      <c r="N16" s="23"/>
      <c r="O16" s="20"/>
      <c r="P16" s="20"/>
    </row>
    <row r="17" spans="1:16">
      <c r="A17" s="22"/>
      <c r="B17" s="30"/>
      <c r="C17" s="30"/>
      <c r="D17" s="20"/>
      <c r="E17" s="20"/>
      <c r="F17" s="20"/>
      <c r="G17" s="20"/>
      <c r="H17" s="20"/>
      <c r="I17" s="20"/>
      <c r="J17" s="20"/>
      <c r="K17" s="20"/>
      <c r="L17" s="20"/>
      <c r="M17" s="31"/>
      <c r="N17" s="23"/>
      <c r="O17" s="20"/>
      <c r="P17" s="20"/>
    </row>
    <row r="18" spans="1:16">
      <c r="A18" s="22"/>
      <c r="B18" s="30"/>
      <c r="C18" s="30"/>
      <c r="D18" s="20"/>
      <c r="E18" s="20"/>
      <c r="F18" s="20"/>
      <c r="G18" s="20"/>
      <c r="H18" s="20"/>
      <c r="I18" s="20"/>
      <c r="J18" s="20"/>
      <c r="K18" s="20"/>
      <c r="L18" s="20"/>
      <c r="M18" s="31"/>
      <c r="N18" s="23"/>
      <c r="O18" s="20"/>
      <c r="P18" s="20"/>
    </row>
    <row r="19" spans="1:16">
      <c r="A19" s="22"/>
      <c r="B19" s="30"/>
      <c r="C19" s="30"/>
      <c r="D19" s="20"/>
      <c r="E19" s="20"/>
      <c r="F19" s="20"/>
      <c r="G19" s="20"/>
      <c r="H19" s="20"/>
      <c r="I19" s="20"/>
      <c r="J19" s="20"/>
      <c r="K19" s="20"/>
      <c r="L19" s="20"/>
      <c r="M19" s="31"/>
      <c r="N19" s="23"/>
      <c r="O19" s="20"/>
      <c r="P19" s="20"/>
    </row>
    <row r="20" spans="1:16">
      <c r="A20" s="22"/>
      <c r="B20" s="30"/>
      <c r="C20" s="30"/>
      <c r="D20" s="20"/>
      <c r="E20" s="20"/>
      <c r="F20" s="20"/>
      <c r="G20" s="20"/>
      <c r="H20" s="20"/>
      <c r="I20" s="20"/>
      <c r="J20" s="20"/>
      <c r="K20" s="20"/>
      <c r="L20" s="20"/>
      <c r="M20" s="31"/>
      <c r="N20" s="23"/>
      <c r="O20" s="20"/>
      <c r="P20" s="20"/>
    </row>
    <row r="21" spans="1:16">
      <c r="A21" s="22"/>
      <c r="B21" s="22"/>
      <c r="C21" s="22"/>
      <c r="D21" s="22"/>
      <c r="E21" s="22"/>
      <c r="F21" s="22"/>
      <c r="G21" s="22"/>
      <c r="H21" s="22"/>
      <c r="I21" s="22"/>
      <c r="J21" s="22"/>
      <c r="K21" s="22"/>
      <c r="L21" s="22"/>
      <c r="M21" s="22"/>
      <c r="N21" s="23"/>
      <c r="O21" s="22"/>
      <c r="P21" s="22"/>
    </row>
    <row r="22" spans="1:16">
      <c r="A22" s="22"/>
      <c r="B22" s="22"/>
      <c r="C22" s="22"/>
      <c r="D22" s="22"/>
      <c r="E22" s="22"/>
      <c r="F22" s="22"/>
      <c r="G22" s="22"/>
      <c r="H22" s="22"/>
      <c r="I22" s="22"/>
      <c r="J22" s="22"/>
      <c r="K22" s="22"/>
      <c r="L22" s="22"/>
      <c r="M22" s="22"/>
      <c r="N22" s="23"/>
      <c r="O22" s="22"/>
      <c r="P22" s="22"/>
    </row>
    <row r="23" spans="1:16" s="11" customFormat="1">
      <c r="A23" s="22"/>
      <c r="B23" s="22"/>
      <c r="C23" s="22"/>
      <c r="D23" s="22"/>
      <c r="E23" s="22"/>
      <c r="F23" s="22"/>
      <c r="G23" s="22"/>
      <c r="H23" s="22"/>
      <c r="I23" s="22"/>
      <c r="J23" s="22"/>
      <c r="K23" s="22"/>
      <c r="L23" s="22"/>
      <c r="M23" s="22"/>
      <c r="N23" s="23"/>
      <c r="O23" s="22"/>
      <c r="P23" s="22"/>
    </row>
    <row r="24" spans="1:16" s="11" customFormat="1">
      <c r="A24" s="22"/>
      <c r="B24" s="22"/>
      <c r="C24" s="22"/>
      <c r="D24" s="22"/>
      <c r="E24" s="22"/>
      <c r="F24" s="22"/>
      <c r="G24" s="22"/>
      <c r="H24" s="22"/>
      <c r="I24" s="22"/>
      <c r="J24" s="22"/>
      <c r="K24" s="22"/>
      <c r="L24" s="22"/>
      <c r="M24" s="22"/>
      <c r="N24" s="23"/>
      <c r="O24" s="22"/>
      <c r="P24" s="22"/>
    </row>
    <row r="25" spans="1:16" s="12" customFormat="1">
      <c r="A25" s="22"/>
      <c r="B25" s="22"/>
      <c r="C25" s="22"/>
      <c r="D25" s="22"/>
      <c r="E25" s="22"/>
      <c r="F25" s="22"/>
      <c r="G25" s="22"/>
      <c r="H25" s="22"/>
      <c r="I25" s="22"/>
      <c r="J25" s="22"/>
      <c r="K25" s="22"/>
      <c r="L25" s="22"/>
      <c r="M25" s="22"/>
      <c r="N25" s="23"/>
      <c r="O25" s="22"/>
      <c r="P25" s="22"/>
    </row>
    <row r="26" spans="1:16" s="12" customFormat="1">
      <c r="A26" s="22"/>
      <c r="B26" s="22"/>
      <c r="C26" s="22"/>
      <c r="D26" s="22"/>
      <c r="E26" s="22"/>
      <c r="F26" s="22"/>
      <c r="G26" s="22"/>
      <c r="H26" s="22"/>
      <c r="I26" s="22"/>
      <c r="J26" s="22"/>
      <c r="K26" s="22"/>
      <c r="L26" s="22"/>
      <c r="M26" s="22"/>
      <c r="N26" s="23"/>
      <c r="O26" s="22"/>
      <c r="P26" s="22"/>
    </row>
    <row r="27" spans="1:16" s="12" customFormat="1" ht="12">
      <c r="A27" s="22"/>
      <c r="B27" s="22"/>
      <c r="C27" s="24"/>
      <c r="D27" s="22"/>
      <c r="E27" s="22"/>
      <c r="F27" s="22"/>
      <c r="G27" s="22"/>
      <c r="H27" s="22"/>
      <c r="I27" s="22"/>
      <c r="J27" s="22"/>
      <c r="K27" s="22"/>
      <c r="L27" s="22"/>
      <c r="M27" s="22"/>
      <c r="N27" s="23"/>
      <c r="O27" s="22"/>
      <c r="P27" s="22"/>
    </row>
    <row r="28" spans="1:16" s="13" customFormat="1" ht="12">
      <c r="A28" s="22"/>
      <c r="B28" s="22"/>
      <c r="C28" s="24"/>
      <c r="D28" s="22"/>
      <c r="E28" s="22"/>
      <c r="F28" s="22"/>
      <c r="G28" s="22"/>
      <c r="H28" s="22"/>
      <c r="I28" s="22"/>
      <c r="J28" s="22"/>
      <c r="K28" s="22"/>
      <c r="L28" s="22"/>
      <c r="M28" s="22"/>
      <c r="N28" s="23"/>
      <c r="O28" s="22"/>
      <c r="P28" s="22"/>
    </row>
    <row r="29" spans="1:16" s="13" customFormat="1" ht="12">
      <c r="A29" s="22"/>
      <c r="B29" s="22"/>
      <c r="C29" s="24"/>
      <c r="D29" s="22"/>
      <c r="E29" s="22"/>
      <c r="F29" s="22"/>
      <c r="G29" s="22"/>
      <c r="H29" s="22"/>
      <c r="I29" s="22"/>
      <c r="J29" s="22"/>
      <c r="K29" s="22"/>
      <c r="L29" s="22"/>
      <c r="M29" s="22"/>
      <c r="N29" s="23"/>
      <c r="O29" s="22"/>
      <c r="P29" s="22"/>
    </row>
    <row r="30" spans="1:16" s="13" customFormat="1" ht="12">
      <c r="A30" s="22"/>
      <c r="B30" s="22"/>
      <c r="C30" s="24"/>
      <c r="D30" s="22"/>
      <c r="E30" s="22"/>
      <c r="F30" s="22"/>
      <c r="G30" s="22"/>
      <c r="H30" s="22"/>
      <c r="I30" s="22"/>
      <c r="J30" s="22"/>
      <c r="K30" s="22"/>
      <c r="L30" s="22"/>
      <c r="M30" s="22"/>
      <c r="N30" s="23"/>
      <c r="O30" s="22"/>
      <c r="P30" s="22"/>
    </row>
    <row r="31" spans="1:16" s="13" customFormat="1" ht="12">
      <c r="A31" s="22"/>
      <c r="B31" s="22"/>
      <c r="C31" s="24"/>
      <c r="D31" s="22"/>
      <c r="E31" s="22"/>
      <c r="F31" s="22"/>
      <c r="G31" s="22"/>
      <c r="H31" s="22"/>
      <c r="I31" s="22"/>
      <c r="J31" s="22"/>
      <c r="K31" s="22"/>
      <c r="L31" s="22"/>
      <c r="M31" s="22"/>
      <c r="N31" s="23"/>
      <c r="O31" s="22"/>
      <c r="P31" s="22"/>
    </row>
    <row r="32" spans="1:16" s="13" customFormat="1" ht="12">
      <c r="A32" s="22"/>
      <c r="B32" s="22"/>
      <c r="C32" s="24"/>
      <c r="D32" s="22"/>
      <c r="E32" s="22"/>
      <c r="F32" s="22"/>
      <c r="G32" s="22"/>
      <c r="H32" s="22"/>
      <c r="I32" s="22"/>
      <c r="J32" s="22"/>
      <c r="K32" s="22"/>
      <c r="L32" s="22"/>
      <c r="M32" s="22"/>
      <c r="N32" s="23"/>
      <c r="O32" s="22"/>
      <c r="P32" s="22"/>
    </row>
    <row r="33" spans="1:16" s="13" customFormat="1" ht="12">
      <c r="A33" s="22"/>
      <c r="B33" s="22"/>
      <c r="C33" s="24"/>
      <c r="D33" s="22"/>
      <c r="E33" s="22"/>
      <c r="F33" s="22"/>
      <c r="G33" s="22"/>
      <c r="H33" s="22"/>
      <c r="I33" s="22"/>
      <c r="J33" s="22"/>
      <c r="K33" s="22"/>
      <c r="L33" s="22"/>
      <c r="M33" s="22"/>
      <c r="N33" s="23"/>
      <c r="O33" s="22"/>
      <c r="P33" s="22"/>
    </row>
    <row r="34" spans="1:16" s="13" customFormat="1" ht="12">
      <c r="A34" s="22"/>
      <c r="B34" s="22"/>
      <c r="C34" s="24"/>
      <c r="D34" s="22"/>
      <c r="E34" s="22"/>
      <c r="F34" s="22"/>
      <c r="G34" s="22"/>
      <c r="H34" s="22"/>
      <c r="I34" s="22"/>
      <c r="J34" s="22"/>
      <c r="K34" s="22"/>
      <c r="L34" s="22"/>
      <c r="M34" s="22"/>
      <c r="N34" s="23"/>
      <c r="O34" s="22"/>
      <c r="P34" s="22"/>
    </row>
    <row r="35" spans="1:16" s="13" customFormat="1" ht="12">
      <c r="A35" s="22"/>
      <c r="B35" s="22"/>
      <c r="C35" s="24"/>
      <c r="D35" s="22"/>
      <c r="E35" s="22"/>
      <c r="F35" s="22"/>
      <c r="G35" s="22"/>
      <c r="H35" s="22"/>
      <c r="I35" s="22"/>
      <c r="J35" s="22"/>
      <c r="K35" s="22"/>
      <c r="L35" s="22"/>
      <c r="M35" s="22"/>
      <c r="N35" s="23"/>
      <c r="O35" s="22"/>
      <c r="P35" s="22"/>
    </row>
    <row r="36" spans="1:16" s="13" customFormat="1" ht="12">
      <c r="A36" s="22"/>
      <c r="B36" s="22"/>
      <c r="C36" s="24"/>
      <c r="D36" s="22"/>
      <c r="E36" s="22"/>
      <c r="F36" s="22"/>
      <c r="G36" s="22"/>
      <c r="H36" s="22"/>
      <c r="I36" s="22"/>
      <c r="J36" s="22"/>
      <c r="K36" s="22"/>
      <c r="L36" s="22"/>
      <c r="M36" s="22"/>
      <c r="N36" s="23"/>
      <c r="O36" s="22"/>
      <c r="P36" s="22"/>
    </row>
    <row r="37" spans="1:16" s="13" customFormat="1" ht="12">
      <c r="A37" s="22"/>
      <c r="B37" s="22"/>
      <c r="C37" s="24"/>
      <c r="D37" s="22"/>
      <c r="E37" s="22"/>
      <c r="F37" s="22"/>
      <c r="G37" s="22"/>
      <c r="H37" s="22"/>
      <c r="I37" s="22"/>
      <c r="J37" s="22"/>
      <c r="K37" s="22"/>
      <c r="L37" s="22"/>
      <c r="M37" s="22"/>
      <c r="N37" s="23"/>
      <c r="O37" s="22"/>
      <c r="P37" s="22"/>
    </row>
    <row r="38" spans="1:16" s="13" customFormat="1" ht="12">
      <c r="A38" s="22"/>
      <c r="B38" s="22"/>
      <c r="C38" s="24"/>
      <c r="D38" s="22"/>
      <c r="E38" s="22"/>
      <c r="F38" s="22"/>
      <c r="G38" s="22"/>
      <c r="H38" s="22"/>
      <c r="I38" s="22"/>
      <c r="J38" s="22"/>
      <c r="K38" s="22"/>
      <c r="L38" s="22"/>
      <c r="M38" s="22"/>
      <c r="N38" s="23"/>
      <c r="O38" s="22"/>
      <c r="P38" s="22"/>
    </row>
    <row r="39" spans="1:16" s="13" customFormat="1" ht="12">
      <c r="A39" s="22"/>
      <c r="B39" s="22"/>
      <c r="C39" s="25"/>
      <c r="D39" s="22"/>
      <c r="E39" s="22"/>
      <c r="F39" s="22"/>
      <c r="G39" s="22"/>
      <c r="H39" s="22"/>
      <c r="I39" s="22"/>
      <c r="J39" s="22"/>
      <c r="K39" s="22"/>
      <c r="L39" s="22"/>
      <c r="M39" s="22"/>
      <c r="N39" s="23"/>
      <c r="O39" s="22"/>
      <c r="P39" s="22"/>
    </row>
    <row r="40" spans="1:16" s="13" customFormat="1" ht="12">
      <c r="A40" s="22"/>
      <c r="B40" s="22"/>
      <c r="C40" s="25"/>
      <c r="D40" s="22"/>
      <c r="E40" s="22"/>
      <c r="F40" s="22"/>
      <c r="G40" s="22"/>
      <c r="H40" s="22"/>
      <c r="I40" s="22"/>
      <c r="J40" s="22"/>
      <c r="K40" s="22"/>
      <c r="L40" s="22"/>
      <c r="M40" s="22"/>
      <c r="N40" s="23"/>
      <c r="O40" s="22"/>
      <c r="P40" s="22"/>
    </row>
    <row r="41" spans="1:16" s="13" customFormat="1" ht="12">
      <c r="A41" s="22"/>
      <c r="B41" s="22"/>
      <c r="C41" s="25"/>
      <c r="D41" s="22"/>
      <c r="E41" s="22"/>
      <c r="F41" s="22"/>
      <c r="G41" s="22"/>
      <c r="H41" s="22"/>
      <c r="I41" s="22"/>
      <c r="J41" s="22"/>
      <c r="K41" s="22"/>
      <c r="L41" s="22"/>
      <c r="M41" s="22"/>
      <c r="N41" s="23"/>
      <c r="O41" s="22"/>
      <c r="P41" s="22"/>
    </row>
    <row r="42" spans="1:16" s="13" customFormat="1" ht="12">
      <c r="A42" s="22"/>
      <c r="B42" s="22"/>
      <c r="C42" s="25"/>
      <c r="D42" s="22"/>
      <c r="E42" s="22"/>
      <c r="F42" s="22"/>
      <c r="G42" s="22"/>
      <c r="H42" s="22"/>
      <c r="I42" s="22"/>
      <c r="J42" s="22"/>
      <c r="K42" s="22"/>
      <c r="L42" s="22"/>
      <c r="M42" s="22"/>
      <c r="N42" s="23"/>
      <c r="O42" s="22"/>
      <c r="P42" s="22"/>
    </row>
    <row r="43" spans="1:16" s="13" customFormat="1" ht="12">
      <c r="A43" s="22"/>
      <c r="B43" s="22"/>
      <c r="C43" s="25"/>
      <c r="D43" s="22"/>
      <c r="E43" s="22"/>
      <c r="F43" s="22"/>
      <c r="G43" s="22"/>
      <c r="H43" s="22"/>
      <c r="I43" s="22"/>
      <c r="J43" s="22"/>
      <c r="K43" s="22"/>
      <c r="L43" s="22"/>
      <c r="M43" s="22"/>
      <c r="N43" s="23"/>
      <c r="O43" s="22"/>
      <c r="P43" s="22"/>
    </row>
    <row r="44" spans="1:16" s="13" customFormat="1" ht="12">
      <c r="A44" s="22"/>
      <c r="B44" s="22"/>
      <c r="C44" s="25"/>
      <c r="D44" s="22"/>
      <c r="E44" s="22"/>
      <c r="F44" s="22"/>
      <c r="G44" s="22"/>
      <c r="H44" s="22"/>
      <c r="I44" s="22"/>
      <c r="J44" s="22"/>
      <c r="K44" s="22"/>
      <c r="L44" s="22"/>
      <c r="M44" s="22"/>
      <c r="N44" s="23"/>
      <c r="O44" s="22"/>
      <c r="P44" s="22"/>
    </row>
    <row r="45" spans="1:16" s="13" customFormat="1" ht="12">
      <c r="A45" s="22"/>
      <c r="B45" s="22"/>
      <c r="C45" s="24"/>
      <c r="D45" s="22"/>
      <c r="E45" s="22"/>
      <c r="F45" s="22"/>
      <c r="G45" s="22"/>
      <c r="H45" s="22"/>
      <c r="I45" s="22"/>
      <c r="J45" s="22"/>
      <c r="K45" s="22"/>
      <c r="L45" s="22"/>
      <c r="M45" s="22"/>
      <c r="N45" s="23"/>
      <c r="O45" s="22"/>
      <c r="P45" s="22"/>
    </row>
    <row r="46" spans="1:16" s="13" customFormat="1" ht="12">
      <c r="A46" s="22"/>
      <c r="B46" s="22"/>
      <c r="C46" s="24"/>
      <c r="D46" s="22"/>
      <c r="E46" s="22"/>
      <c r="F46" s="22"/>
      <c r="G46" s="22"/>
      <c r="H46" s="22"/>
      <c r="I46" s="22"/>
      <c r="J46" s="22"/>
      <c r="K46" s="22"/>
      <c r="L46" s="22"/>
      <c r="M46" s="22"/>
      <c r="N46" s="23"/>
      <c r="O46" s="22"/>
      <c r="P46" s="22"/>
    </row>
    <row r="47" spans="1:16" s="13" customFormat="1" ht="12">
      <c r="A47" s="22"/>
      <c r="B47" s="22"/>
      <c r="C47" s="24"/>
      <c r="D47" s="22"/>
      <c r="E47" s="22"/>
      <c r="F47" s="22"/>
      <c r="G47" s="22"/>
      <c r="H47" s="22"/>
      <c r="I47" s="22"/>
      <c r="J47" s="22"/>
      <c r="K47" s="22"/>
      <c r="L47" s="22"/>
      <c r="M47" s="22"/>
      <c r="N47" s="23"/>
      <c r="O47" s="22"/>
      <c r="P47" s="22"/>
    </row>
    <row r="48" spans="1:16" s="13" customFormat="1" ht="12">
      <c r="A48" s="22"/>
      <c r="B48" s="22"/>
      <c r="C48" s="24"/>
      <c r="D48" s="22"/>
      <c r="E48" s="22"/>
      <c r="F48" s="22"/>
      <c r="G48" s="22"/>
      <c r="H48" s="22"/>
      <c r="I48" s="22"/>
      <c r="J48" s="22"/>
      <c r="K48" s="22"/>
      <c r="L48" s="22"/>
      <c r="M48" s="22"/>
      <c r="N48" s="23"/>
      <c r="O48" s="22"/>
      <c r="P48" s="22"/>
    </row>
    <row r="49" spans="1:16" s="13" customFormat="1" ht="12">
      <c r="A49" s="22"/>
      <c r="B49" s="22"/>
      <c r="C49" s="24"/>
      <c r="D49" s="22"/>
      <c r="E49" s="22"/>
      <c r="F49" s="22"/>
      <c r="G49" s="22"/>
      <c r="H49" s="22"/>
      <c r="I49" s="22"/>
      <c r="J49" s="22"/>
      <c r="K49" s="22"/>
      <c r="L49" s="22"/>
      <c r="M49" s="22"/>
      <c r="N49" s="23"/>
      <c r="O49" s="22"/>
      <c r="P49" s="22"/>
    </row>
    <row r="50" spans="1:16" s="13" customFormat="1" ht="12">
      <c r="A50" s="22"/>
      <c r="B50" s="22"/>
      <c r="C50" s="24"/>
      <c r="D50" s="22"/>
      <c r="E50" s="22"/>
      <c r="F50" s="22"/>
      <c r="G50" s="22"/>
      <c r="H50" s="22"/>
      <c r="I50" s="22"/>
      <c r="J50" s="22"/>
      <c r="K50" s="22"/>
      <c r="L50" s="22"/>
      <c r="M50" s="22"/>
      <c r="N50" s="23"/>
      <c r="O50" s="22"/>
      <c r="P50" s="22"/>
    </row>
    <row r="51" spans="1:16" s="13" customFormat="1" ht="12">
      <c r="A51" s="22"/>
      <c r="B51" s="22"/>
      <c r="C51" s="24"/>
      <c r="D51" s="22"/>
      <c r="E51" s="22"/>
      <c r="F51" s="22"/>
      <c r="G51" s="22"/>
      <c r="H51" s="22"/>
      <c r="I51" s="22"/>
      <c r="J51" s="22"/>
      <c r="K51" s="22"/>
      <c r="L51" s="22"/>
      <c r="M51" s="22"/>
      <c r="N51" s="23"/>
      <c r="O51" s="22"/>
      <c r="P51" s="22"/>
    </row>
    <row r="52" spans="1:16" s="13" customFormat="1" ht="12">
      <c r="A52" s="22"/>
      <c r="B52" s="22"/>
      <c r="C52" s="24"/>
      <c r="D52" s="22"/>
      <c r="E52" s="22"/>
      <c r="F52" s="22"/>
      <c r="G52" s="22"/>
      <c r="H52" s="22"/>
      <c r="I52" s="22"/>
      <c r="J52" s="22"/>
      <c r="K52" s="22"/>
      <c r="L52" s="22"/>
      <c r="M52" s="22"/>
      <c r="N52" s="23"/>
      <c r="O52" s="22"/>
      <c r="P52" s="22"/>
    </row>
    <row r="53" spans="1:16" s="13" customFormat="1" ht="12">
      <c r="A53" s="22"/>
      <c r="B53" s="22"/>
      <c r="C53" s="24"/>
      <c r="D53" s="22"/>
      <c r="E53" s="22"/>
      <c r="F53" s="22"/>
      <c r="G53" s="22"/>
      <c r="H53" s="22"/>
      <c r="I53" s="22"/>
      <c r="J53" s="22"/>
      <c r="K53" s="22"/>
      <c r="L53" s="22"/>
      <c r="M53" s="22"/>
      <c r="N53" s="23"/>
      <c r="O53" s="22"/>
      <c r="P53" s="22"/>
    </row>
    <row r="54" spans="1:16" s="13" customFormat="1" ht="12">
      <c r="A54" s="22"/>
      <c r="B54" s="22"/>
      <c r="C54" s="24"/>
      <c r="D54" s="22"/>
      <c r="E54" s="22"/>
      <c r="F54" s="22"/>
      <c r="G54" s="22"/>
      <c r="H54" s="22"/>
      <c r="I54" s="22"/>
      <c r="J54" s="22"/>
      <c r="K54" s="22"/>
      <c r="L54" s="22"/>
      <c r="M54" s="22"/>
      <c r="N54" s="23"/>
      <c r="O54" s="22"/>
      <c r="P54" s="22"/>
    </row>
    <row r="55" spans="1:16" s="13" customFormat="1" ht="12">
      <c r="A55" s="22"/>
      <c r="B55" s="22"/>
      <c r="C55" s="24"/>
      <c r="D55" s="22"/>
      <c r="E55" s="22"/>
      <c r="F55" s="22"/>
      <c r="G55" s="22"/>
      <c r="H55" s="22"/>
      <c r="I55" s="22"/>
      <c r="J55" s="22"/>
      <c r="K55" s="22"/>
      <c r="L55" s="22"/>
      <c r="M55" s="22"/>
      <c r="N55" s="23"/>
      <c r="O55" s="22"/>
      <c r="P55" s="22"/>
    </row>
    <row r="56" spans="1:16" s="13" customFormat="1" ht="12">
      <c r="A56" s="22"/>
      <c r="B56" s="22"/>
      <c r="C56" s="24"/>
      <c r="D56" s="22"/>
      <c r="E56" s="22"/>
      <c r="F56" s="22"/>
      <c r="G56" s="22"/>
      <c r="H56" s="22"/>
      <c r="I56" s="22"/>
      <c r="J56" s="22"/>
      <c r="K56" s="22"/>
      <c r="L56" s="22"/>
      <c r="M56" s="22"/>
      <c r="N56" s="23"/>
      <c r="O56" s="22"/>
      <c r="P56" s="22"/>
    </row>
    <row r="57" spans="1:16" s="13" customFormat="1" ht="12">
      <c r="A57" s="22"/>
      <c r="B57" s="22"/>
      <c r="C57" s="25"/>
      <c r="D57" s="22"/>
      <c r="E57" s="22"/>
      <c r="F57" s="22"/>
      <c r="G57" s="22"/>
      <c r="H57" s="22"/>
      <c r="I57" s="22"/>
      <c r="J57" s="22"/>
      <c r="K57" s="22"/>
      <c r="L57" s="22"/>
      <c r="M57" s="22"/>
      <c r="N57" s="23"/>
      <c r="O57" s="22"/>
      <c r="P57" s="22"/>
    </row>
    <row r="58" spans="1:16" s="13" customFormat="1" ht="12">
      <c r="A58" s="22"/>
      <c r="B58" s="22"/>
      <c r="C58" s="25"/>
      <c r="D58" s="22"/>
      <c r="E58" s="22"/>
      <c r="F58" s="22"/>
      <c r="G58" s="22"/>
      <c r="H58" s="22"/>
      <c r="I58" s="22"/>
      <c r="J58" s="22"/>
      <c r="K58" s="22"/>
      <c r="L58" s="22"/>
      <c r="M58" s="22"/>
      <c r="N58" s="23"/>
      <c r="O58" s="22"/>
      <c r="P58" s="22"/>
    </row>
    <row r="59" spans="1:16" s="13" customFormat="1" ht="12">
      <c r="A59" s="22"/>
      <c r="B59" s="22"/>
      <c r="C59" s="25"/>
      <c r="D59" s="22"/>
      <c r="E59" s="22"/>
      <c r="F59" s="22"/>
      <c r="G59" s="22"/>
      <c r="H59" s="22"/>
      <c r="I59" s="22"/>
      <c r="J59" s="22"/>
      <c r="K59" s="22"/>
      <c r="L59" s="22"/>
      <c r="M59" s="22"/>
      <c r="N59" s="23"/>
      <c r="O59" s="22"/>
      <c r="P59" s="22"/>
    </row>
    <row r="60" spans="1:16" ht="12">
      <c r="A60" s="22"/>
      <c r="B60" s="22"/>
      <c r="C60" s="25"/>
      <c r="D60" s="22"/>
      <c r="E60" s="22"/>
      <c r="F60" s="22"/>
      <c r="G60" s="22"/>
      <c r="H60" s="22"/>
      <c r="I60" s="22"/>
      <c r="J60" s="22"/>
      <c r="K60" s="22"/>
      <c r="L60" s="22"/>
      <c r="M60" s="22"/>
      <c r="N60" s="23"/>
      <c r="O60" s="22"/>
      <c r="P60" s="22"/>
    </row>
    <row r="61" spans="1:16" ht="12">
      <c r="A61" s="22"/>
      <c r="B61" s="22"/>
      <c r="C61" s="25"/>
      <c r="D61" s="22"/>
      <c r="E61" s="22"/>
      <c r="F61" s="22"/>
      <c r="G61" s="22"/>
      <c r="H61" s="22"/>
      <c r="I61" s="22"/>
      <c r="J61" s="22"/>
      <c r="K61" s="22"/>
      <c r="L61" s="22"/>
      <c r="M61" s="22"/>
      <c r="N61" s="23"/>
      <c r="O61" s="22"/>
      <c r="P61" s="22"/>
    </row>
    <row r="62" spans="1:16" ht="12">
      <c r="A62" s="22"/>
      <c r="B62" s="22"/>
      <c r="C62" s="25"/>
      <c r="D62" s="22"/>
      <c r="E62" s="22"/>
      <c r="F62" s="22"/>
      <c r="G62" s="22"/>
      <c r="H62" s="22"/>
      <c r="I62" s="22"/>
      <c r="J62" s="22"/>
      <c r="K62" s="22"/>
      <c r="L62" s="22"/>
      <c r="M62" s="22"/>
      <c r="N62" s="23"/>
      <c r="O62" s="22"/>
      <c r="P62" s="22"/>
    </row>
    <row r="63" spans="1:16" ht="12">
      <c r="A63" s="22"/>
      <c r="B63" s="22"/>
      <c r="C63" s="24"/>
      <c r="D63" s="22"/>
      <c r="E63" s="22"/>
      <c r="F63" s="22"/>
      <c r="G63" s="22"/>
      <c r="H63" s="22"/>
      <c r="I63" s="22"/>
      <c r="J63" s="22"/>
      <c r="K63" s="22"/>
      <c r="L63" s="22"/>
      <c r="M63" s="22"/>
      <c r="N63" s="23"/>
      <c r="O63" s="22"/>
      <c r="P63" s="22"/>
    </row>
    <row r="64" spans="1:16" ht="12">
      <c r="A64" s="22"/>
      <c r="B64" s="22"/>
      <c r="C64" s="24"/>
      <c r="D64" s="22"/>
      <c r="E64" s="22"/>
      <c r="F64" s="22"/>
      <c r="G64" s="22"/>
      <c r="H64" s="22"/>
      <c r="I64" s="22"/>
      <c r="J64" s="22"/>
      <c r="K64" s="22"/>
      <c r="L64" s="22"/>
      <c r="M64" s="22"/>
      <c r="N64" s="23"/>
      <c r="O64" s="22"/>
      <c r="P64" s="22"/>
    </row>
    <row r="65" spans="1:16" ht="12">
      <c r="A65" s="22"/>
      <c r="B65" s="22"/>
      <c r="C65" s="24"/>
      <c r="D65" s="22"/>
      <c r="E65" s="22"/>
      <c r="F65" s="22"/>
      <c r="G65" s="22"/>
      <c r="H65" s="22"/>
      <c r="I65" s="22"/>
      <c r="J65" s="22"/>
      <c r="K65" s="22"/>
      <c r="L65" s="22"/>
      <c r="M65" s="22"/>
      <c r="N65" s="23"/>
      <c r="O65" s="22"/>
      <c r="P65" s="22"/>
    </row>
    <row r="66" spans="1:16" ht="12">
      <c r="A66" s="22"/>
      <c r="B66" s="22"/>
      <c r="C66" s="24"/>
      <c r="D66" s="22"/>
      <c r="E66" s="22"/>
      <c r="F66" s="22"/>
      <c r="G66" s="22"/>
      <c r="H66" s="22"/>
      <c r="I66" s="22"/>
      <c r="J66" s="22"/>
      <c r="K66" s="22"/>
      <c r="L66" s="22"/>
      <c r="M66" s="22"/>
      <c r="N66" s="23"/>
      <c r="O66" s="22"/>
      <c r="P66" s="22"/>
    </row>
    <row r="67" spans="1:16" ht="12">
      <c r="A67" s="22"/>
      <c r="B67" s="22"/>
      <c r="C67" s="24"/>
      <c r="D67" s="22"/>
      <c r="E67" s="22"/>
      <c r="F67" s="22"/>
      <c r="G67" s="22"/>
      <c r="H67" s="22"/>
      <c r="I67" s="22"/>
      <c r="J67" s="22"/>
      <c r="K67" s="22"/>
      <c r="L67" s="22"/>
      <c r="M67" s="22"/>
      <c r="N67" s="23"/>
      <c r="O67" s="22"/>
      <c r="P67" s="22"/>
    </row>
    <row r="68" spans="1:16" ht="12">
      <c r="A68" s="22"/>
      <c r="B68" s="22"/>
      <c r="C68" s="24"/>
      <c r="D68" s="22"/>
      <c r="E68" s="22"/>
      <c r="F68" s="22"/>
      <c r="G68" s="22"/>
      <c r="H68" s="22"/>
      <c r="I68" s="22"/>
      <c r="J68" s="22"/>
      <c r="K68" s="22"/>
      <c r="L68" s="22"/>
      <c r="M68" s="22"/>
      <c r="N68" s="23"/>
      <c r="O68" s="22"/>
      <c r="P68" s="22"/>
    </row>
    <row r="69" spans="1:16" ht="12">
      <c r="A69" s="22"/>
      <c r="B69" s="22"/>
      <c r="C69" s="25"/>
      <c r="D69" s="22"/>
      <c r="E69" s="22"/>
      <c r="F69" s="22"/>
      <c r="G69" s="22"/>
      <c r="H69" s="22"/>
      <c r="I69" s="22"/>
      <c r="J69" s="22"/>
      <c r="K69" s="22"/>
      <c r="L69" s="22"/>
      <c r="M69" s="22"/>
      <c r="N69" s="23"/>
      <c r="O69" s="22"/>
      <c r="P69" s="22"/>
    </row>
    <row r="70" spans="1:16" ht="12">
      <c r="A70" s="22"/>
      <c r="B70" s="22"/>
      <c r="C70" s="25"/>
      <c r="D70" s="22"/>
      <c r="E70" s="22"/>
      <c r="F70" s="22"/>
      <c r="G70" s="22"/>
      <c r="H70" s="22"/>
      <c r="I70" s="22"/>
      <c r="J70" s="22"/>
      <c r="K70" s="22"/>
      <c r="L70" s="22"/>
      <c r="M70" s="22"/>
      <c r="N70" s="23"/>
      <c r="O70" s="22"/>
      <c r="P70" s="22"/>
    </row>
    <row r="71" spans="1:16" ht="12">
      <c r="A71" s="22"/>
      <c r="B71" s="22"/>
      <c r="C71" s="25"/>
      <c r="D71" s="22"/>
      <c r="E71" s="22"/>
      <c r="F71" s="22"/>
      <c r="G71" s="22"/>
      <c r="H71" s="22"/>
      <c r="I71" s="22"/>
      <c r="J71" s="22"/>
      <c r="K71" s="22"/>
      <c r="L71" s="22"/>
      <c r="M71" s="22"/>
      <c r="N71" s="23"/>
      <c r="O71" s="22"/>
      <c r="P71" s="22"/>
    </row>
    <row r="72" spans="1:16" ht="12">
      <c r="A72" s="22"/>
      <c r="B72" s="22"/>
      <c r="C72" s="25"/>
      <c r="D72" s="22"/>
      <c r="E72" s="22"/>
      <c r="F72" s="22"/>
      <c r="G72" s="22"/>
      <c r="H72" s="22"/>
      <c r="I72" s="22"/>
      <c r="J72" s="22"/>
      <c r="K72" s="22"/>
      <c r="L72" s="22"/>
      <c r="M72" s="22"/>
      <c r="N72" s="23"/>
      <c r="O72" s="22"/>
      <c r="P72" s="22"/>
    </row>
    <row r="73" spans="1:16" ht="12">
      <c r="A73" s="22"/>
      <c r="B73" s="22"/>
      <c r="C73" s="25"/>
      <c r="D73" s="22"/>
      <c r="E73" s="22"/>
      <c r="F73" s="22"/>
      <c r="G73" s="22"/>
      <c r="H73" s="22"/>
      <c r="I73" s="22"/>
      <c r="J73" s="22"/>
      <c r="K73" s="22"/>
      <c r="L73" s="22"/>
      <c r="M73" s="22"/>
      <c r="N73" s="23"/>
      <c r="O73" s="22"/>
      <c r="P73" s="22"/>
    </row>
    <row r="74" spans="1:16" ht="12">
      <c r="A74" s="22"/>
      <c r="B74" s="22"/>
      <c r="C74" s="25"/>
      <c r="D74" s="22"/>
      <c r="E74" s="22"/>
      <c r="F74" s="22"/>
      <c r="G74" s="22"/>
      <c r="H74" s="22"/>
      <c r="I74" s="22"/>
      <c r="J74" s="22"/>
      <c r="K74" s="22"/>
      <c r="L74" s="22"/>
      <c r="M74" s="22"/>
      <c r="N74" s="23"/>
      <c r="O74" s="22"/>
      <c r="P74" s="22"/>
    </row>
    <row r="75" spans="1:16" ht="12">
      <c r="A75" s="22"/>
      <c r="B75" s="22"/>
      <c r="C75" s="24"/>
      <c r="D75" s="22"/>
      <c r="E75" s="22"/>
      <c r="F75" s="22"/>
      <c r="G75" s="22"/>
      <c r="H75" s="22"/>
      <c r="I75" s="22"/>
      <c r="J75" s="22"/>
      <c r="K75" s="22"/>
      <c r="L75" s="22"/>
      <c r="M75" s="22"/>
      <c r="N75" s="23"/>
      <c r="O75" s="22"/>
      <c r="P75" s="22"/>
    </row>
    <row r="76" spans="1:16" ht="12">
      <c r="A76" s="22"/>
      <c r="B76" s="22"/>
      <c r="C76" s="24"/>
      <c r="D76" s="22"/>
      <c r="E76" s="22"/>
      <c r="F76" s="22"/>
      <c r="G76" s="22"/>
      <c r="H76" s="22"/>
      <c r="I76" s="22"/>
      <c r="J76" s="22"/>
      <c r="K76" s="22"/>
      <c r="L76" s="22"/>
      <c r="M76" s="22"/>
      <c r="N76" s="23"/>
      <c r="O76" s="22"/>
      <c r="P76" s="22"/>
    </row>
    <row r="77" spans="1:16" ht="12">
      <c r="A77" s="22"/>
      <c r="B77" s="22"/>
      <c r="C77" s="24"/>
      <c r="D77" s="22"/>
      <c r="E77" s="22"/>
      <c r="F77" s="22"/>
      <c r="G77" s="22"/>
      <c r="H77" s="22"/>
      <c r="I77" s="22"/>
      <c r="J77" s="22"/>
      <c r="K77" s="22"/>
      <c r="L77" s="22"/>
      <c r="M77" s="22"/>
      <c r="N77" s="23"/>
      <c r="O77" s="22"/>
      <c r="P77" s="22"/>
    </row>
    <row r="78" spans="1:16" ht="12">
      <c r="A78" s="22"/>
      <c r="B78" s="22"/>
      <c r="C78" s="24"/>
      <c r="D78" s="22"/>
      <c r="E78" s="22"/>
      <c r="F78" s="22"/>
      <c r="G78" s="22"/>
      <c r="H78" s="22"/>
      <c r="I78" s="22"/>
      <c r="J78" s="22"/>
      <c r="K78" s="22"/>
      <c r="L78" s="22"/>
      <c r="M78" s="22"/>
      <c r="N78" s="23"/>
      <c r="O78" s="22"/>
      <c r="P78" s="22"/>
    </row>
    <row r="79" spans="1:16" ht="12">
      <c r="A79" s="22"/>
      <c r="B79" s="22"/>
      <c r="C79" s="24"/>
      <c r="D79" s="22"/>
      <c r="E79" s="22"/>
      <c r="F79" s="22"/>
      <c r="G79" s="22"/>
      <c r="H79" s="22"/>
      <c r="I79" s="22"/>
      <c r="J79" s="22"/>
      <c r="K79" s="22"/>
      <c r="L79" s="22"/>
      <c r="M79" s="22"/>
      <c r="N79" s="23"/>
      <c r="O79" s="22"/>
      <c r="P79" s="22"/>
    </row>
    <row r="80" spans="1:16" ht="12">
      <c r="A80" s="22"/>
      <c r="B80" s="22"/>
      <c r="C80" s="24"/>
      <c r="D80" s="22"/>
      <c r="E80" s="22"/>
      <c r="F80" s="22"/>
      <c r="G80" s="22"/>
      <c r="H80" s="22"/>
      <c r="I80" s="22"/>
      <c r="J80" s="22"/>
      <c r="K80" s="22"/>
      <c r="L80" s="22"/>
      <c r="M80" s="22"/>
      <c r="N80" s="23"/>
      <c r="O80" s="22"/>
      <c r="P80" s="22"/>
    </row>
    <row r="81" spans="1:16" ht="12">
      <c r="A81" s="22"/>
      <c r="B81" s="22"/>
      <c r="C81" s="24"/>
      <c r="D81" s="22"/>
      <c r="E81" s="22"/>
      <c r="F81" s="22"/>
      <c r="G81" s="22"/>
      <c r="H81" s="22"/>
      <c r="I81" s="22"/>
      <c r="J81" s="22"/>
      <c r="K81" s="22"/>
      <c r="L81" s="22"/>
      <c r="M81" s="22"/>
      <c r="N81" s="23"/>
      <c r="O81" s="22"/>
      <c r="P81" s="22"/>
    </row>
    <row r="82" spans="1:16" ht="12">
      <c r="A82" s="22"/>
      <c r="B82" s="22"/>
      <c r="C82" s="24"/>
      <c r="D82" s="22"/>
      <c r="E82" s="22"/>
      <c r="F82" s="22"/>
      <c r="G82" s="22"/>
      <c r="H82" s="22"/>
      <c r="I82" s="22"/>
      <c r="J82" s="22"/>
      <c r="K82" s="22"/>
      <c r="L82" s="22"/>
      <c r="M82" s="22"/>
      <c r="N82" s="23"/>
      <c r="O82" s="22"/>
      <c r="P82" s="22"/>
    </row>
    <row r="83" spans="1:16" ht="12">
      <c r="A83" s="22"/>
      <c r="B83" s="22"/>
      <c r="C83" s="24"/>
      <c r="D83" s="22"/>
      <c r="E83" s="22"/>
      <c r="F83" s="22"/>
      <c r="G83" s="22"/>
      <c r="H83" s="22"/>
      <c r="I83" s="22"/>
      <c r="J83" s="22"/>
      <c r="K83" s="22"/>
      <c r="L83" s="22"/>
      <c r="M83" s="22"/>
      <c r="N83" s="23"/>
      <c r="O83" s="22"/>
      <c r="P83" s="22"/>
    </row>
    <row r="84" spans="1:16" ht="12">
      <c r="A84" s="22"/>
      <c r="B84" s="22"/>
      <c r="C84" s="24"/>
      <c r="D84" s="22"/>
      <c r="E84" s="22"/>
      <c r="F84" s="22"/>
      <c r="G84" s="22"/>
      <c r="H84" s="22"/>
      <c r="I84" s="22"/>
      <c r="J84" s="22"/>
      <c r="K84" s="22"/>
      <c r="L84" s="22"/>
      <c r="M84" s="22"/>
      <c r="N84" s="23"/>
      <c r="O84" s="22"/>
      <c r="P84" s="22"/>
    </row>
    <row r="85" spans="1:16" ht="12">
      <c r="A85" s="22"/>
      <c r="B85" s="22"/>
      <c r="C85" s="24"/>
      <c r="D85" s="22"/>
      <c r="E85" s="22"/>
      <c r="F85" s="22"/>
      <c r="G85" s="22"/>
      <c r="H85" s="22"/>
      <c r="I85" s="22"/>
      <c r="J85" s="22"/>
      <c r="K85" s="22"/>
      <c r="L85" s="22"/>
      <c r="M85" s="22"/>
      <c r="N85" s="23"/>
      <c r="O85" s="22"/>
      <c r="P85" s="22"/>
    </row>
    <row r="86" spans="1:16" ht="12">
      <c r="A86" s="22"/>
      <c r="B86" s="22"/>
      <c r="C86" s="24"/>
      <c r="D86" s="22"/>
      <c r="E86" s="22"/>
      <c r="F86" s="22"/>
      <c r="G86" s="22"/>
      <c r="H86" s="22"/>
      <c r="I86" s="22"/>
      <c r="J86" s="22"/>
      <c r="K86" s="22"/>
      <c r="L86" s="22"/>
      <c r="M86" s="22"/>
      <c r="N86" s="23"/>
      <c r="O86" s="22"/>
      <c r="P86" s="22"/>
    </row>
    <row r="87" spans="1:16" ht="12">
      <c r="A87" s="22"/>
      <c r="B87" s="22"/>
      <c r="C87" s="25"/>
      <c r="D87" s="22"/>
      <c r="E87" s="22"/>
      <c r="F87" s="22"/>
      <c r="G87" s="22"/>
      <c r="H87" s="22"/>
      <c r="I87" s="22"/>
      <c r="J87" s="22"/>
      <c r="K87" s="22"/>
      <c r="L87" s="22"/>
      <c r="M87" s="22"/>
      <c r="N87" s="23"/>
      <c r="O87" s="22"/>
      <c r="P87" s="22"/>
    </row>
    <row r="88" spans="1:16" ht="12">
      <c r="A88" s="22"/>
      <c r="B88" s="22"/>
      <c r="C88" s="25"/>
      <c r="D88" s="22"/>
      <c r="E88" s="22"/>
      <c r="F88" s="22"/>
      <c r="G88" s="22"/>
      <c r="H88" s="22"/>
      <c r="I88" s="22"/>
      <c r="J88" s="22"/>
      <c r="K88" s="22"/>
      <c r="L88" s="22"/>
      <c r="M88" s="22"/>
      <c r="N88" s="23"/>
      <c r="O88" s="22"/>
      <c r="P88" s="22"/>
    </row>
    <row r="89" spans="1:16" ht="12">
      <c r="A89" s="22"/>
      <c r="B89" s="22"/>
      <c r="C89" s="25"/>
      <c r="D89" s="22"/>
      <c r="E89" s="22"/>
      <c r="F89" s="22"/>
      <c r="G89" s="22"/>
      <c r="H89" s="22"/>
      <c r="I89" s="22"/>
      <c r="J89" s="22"/>
      <c r="K89" s="22"/>
      <c r="L89" s="22"/>
      <c r="M89" s="22"/>
      <c r="N89" s="23"/>
      <c r="O89" s="22"/>
      <c r="P89" s="22"/>
    </row>
    <row r="90" spans="1:16" ht="12">
      <c r="A90" s="22"/>
      <c r="B90" s="22"/>
      <c r="C90" s="25"/>
      <c r="D90" s="22"/>
      <c r="E90" s="22"/>
      <c r="F90" s="22"/>
      <c r="G90" s="22"/>
      <c r="H90" s="22"/>
      <c r="I90" s="22"/>
      <c r="J90" s="22"/>
      <c r="K90" s="22"/>
      <c r="L90" s="22"/>
      <c r="M90" s="22"/>
      <c r="N90" s="23"/>
      <c r="O90" s="22"/>
      <c r="P90" s="22"/>
    </row>
    <row r="91" spans="1:16" ht="12">
      <c r="A91" s="22"/>
      <c r="B91" s="22"/>
      <c r="C91" s="25"/>
      <c r="D91" s="22"/>
      <c r="E91" s="22"/>
      <c r="F91" s="22"/>
      <c r="G91" s="22"/>
      <c r="H91" s="22"/>
      <c r="I91" s="22"/>
      <c r="J91" s="22"/>
      <c r="K91" s="22"/>
      <c r="L91" s="22"/>
      <c r="M91" s="22"/>
      <c r="N91" s="23"/>
      <c r="O91" s="22"/>
      <c r="P91" s="22"/>
    </row>
    <row r="92" spans="1:16" ht="12">
      <c r="A92" s="22"/>
      <c r="B92" s="22"/>
      <c r="C92" s="25"/>
      <c r="D92" s="22"/>
      <c r="E92" s="22"/>
      <c r="F92" s="22"/>
      <c r="G92" s="22"/>
      <c r="H92" s="22"/>
      <c r="I92" s="22"/>
      <c r="J92" s="22"/>
      <c r="K92" s="22"/>
      <c r="L92" s="22"/>
      <c r="M92" s="22"/>
      <c r="N92" s="23"/>
      <c r="O92" s="22"/>
      <c r="P92" s="22"/>
    </row>
    <row r="93" spans="1:16">
      <c r="A93" s="22"/>
      <c r="B93" s="22"/>
      <c r="C93" s="22"/>
      <c r="D93" s="22"/>
      <c r="E93" s="22"/>
      <c r="F93" s="22"/>
      <c r="G93" s="22"/>
      <c r="H93" s="22"/>
      <c r="I93" s="26"/>
      <c r="J93" s="26"/>
      <c r="K93" s="22"/>
      <c r="L93" s="22"/>
      <c r="M93" s="22"/>
      <c r="N93" s="23"/>
      <c r="O93" s="22"/>
      <c r="P93" s="22"/>
    </row>
    <row r="94" spans="1:16">
      <c r="A94" s="22"/>
      <c r="B94" s="22"/>
      <c r="C94" s="22"/>
      <c r="D94" s="22"/>
      <c r="E94" s="22"/>
      <c r="F94" s="22"/>
      <c r="G94" s="22"/>
      <c r="H94" s="22"/>
      <c r="I94" s="26"/>
      <c r="J94" s="26"/>
      <c r="K94" s="22"/>
      <c r="L94" s="22"/>
      <c r="M94" s="22"/>
      <c r="N94" s="23"/>
      <c r="O94" s="22"/>
      <c r="P94" s="22"/>
    </row>
    <row r="95" spans="1:16">
      <c r="A95" s="22"/>
      <c r="B95" s="22"/>
      <c r="C95" s="22"/>
      <c r="D95" s="22"/>
      <c r="E95" s="22"/>
      <c r="F95" s="22"/>
      <c r="G95" s="22"/>
      <c r="H95" s="22"/>
      <c r="I95" s="26"/>
      <c r="J95" s="26"/>
      <c r="K95" s="22"/>
      <c r="L95" s="22"/>
      <c r="M95" s="22"/>
      <c r="N95" s="23"/>
      <c r="O95" s="22"/>
      <c r="P95" s="22"/>
    </row>
    <row r="96" spans="1:16">
      <c r="A96" s="22"/>
      <c r="B96" s="22"/>
      <c r="C96" s="22"/>
      <c r="D96" s="22"/>
      <c r="E96" s="22"/>
      <c r="F96" s="22"/>
      <c r="G96" s="22"/>
      <c r="H96" s="22"/>
      <c r="I96" s="26"/>
      <c r="J96" s="26"/>
      <c r="K96" s="22"/>
      <c r="L96" s="22"/>
      <c r="M96" s="22"/>
      <c r="N96" s="23"/>
      <c r="O96" s="22"/>
      <c r="P96" s="22"/>
    </row>
    <row r="97" spans="1:16">
      <c r="A97" s="22"/>
      <c r="B97" s="22"/>
      <c r="C97" s="22"/>
      <c r="D97" s="22"/>
      <c r="E97" s="22"/>
      <c r="F97" s="22"/>
      <c r="G97" s="22"/>
      <c r="H97" s="22"/>
      <c r="I97" s="26"/>
      <c r="J97" s="26"/>
      <c r="K97" s="22"/>
      <c r="L97" s="22"/>
      <c r="M97" s="22"/>
      <c r="N97" s="23"/>
      <c r="O97" s="22"/>
      <c r="P97" s="22"/>
    </row>
    <row r="98" spans="1:16">
      <c r="A98" s="22"/>
      <c r="B98" s="22"/>
      <c r="C98" s="22"/>
      <c r="D98" s="22"/>
      <c r="E98" s="22"/>
      <c r="F98" s="22"/>
      <c r="G98" s="22"/>
      <c r="H98" s="22"/>
      <c r="I98" s="26"/>
      <c r="J98" s="26"/>
      <c r="K98" s="22"/>
      <c r="L98" s="22"/>
      <c r="M98" s="22"/>
      <c r="N98" s="23"/>
      <c r="O98" s="22"/>
      <c r="P98" s="22"/>
    </row>
    <row r="99" spans="1:16">
      <c r="A99" s="22"/>
      <c r="B99" s="22"/>
      <c r="C99" s="22"/>
      <c r="D99" s="22"/>
      <c r="E99" s="22"/>
      <c r="F99" s="22"/>
      <c r="G99" s="22"/>
      <c r="H99" s="22"/>
      <c r="I99" s="26"/>
      <c r="J99" s="26"/>
      <c r="K99" s="22"/>
      <c r="L99" s="22"/>
      <c r="M99" s="22"/>
      <c r="N99" s="23"/>
      <c r="O99" s="22"/>
      <c r="P99" s="22"/>
    </row>
    <row r="100" spans="1:16">
      <c r="A100" s="22"/>
      <c r="B100" s="22"/>
      <c r="C100" s="22"/>
      <c r="D100" s="22"/>
      <c r="E100" s="22"/>
      <c r="F100" s="22"/>
      <c r="G100" s="22"/>
      <c r="H100" s="22"/>
      <c r="I100" s="26"/>
      <c r="J100" s="26"/>
      <c r="K100" s="22"/>
      <c r="L100" s="22"/>
      <c r="M100" s="22"/>
      <c r="N100" s="23"/>
      <c r="O100" s="22"/>
      <c r="P100" s="22"/>
    </row>
    <row r="101" spans="1:16">
      <c r="A101" s="22"/>
      <c r="B101" s="22"/>
      <c r="C101" s="22"/>
      <c r="D101" s="22"/>
      <c r="E101" s="22"/>
      <c r="F101" s="22"/>
      <c r="G101" s="22"/>
      <c r="H101" s="22"/>
      <c r="I101" s="26"/>
      <c r="J101" s="26"/>
      <c r="K101" s="22"/>
      <c r="L101" s="22"/>
      <c r="M101" s="22"/>
      <c r="N101" s="23"/>
      <c r="O101" s="22"/>
      <c r="P101" s="22"/>
    </row>
    <row r="102" spans="1:16">
      <c r="A102" s="22"/>
      <c r="B102" s="22"/>
      <c r="C102" s="22"/>
      <c r="D102" s="22"/>
      <c r="E102" s="22"/>
      <c r="F102" s="22"/>
      <c r="G102" s="22"/>
      <c r="H102" s="22"/>
      <c r="I102" s="26"/>
      <c r="J102" s="26"/>
      <c r="K102" s="22"/>
      <c r="L102" s="22"/>
      <c r="M102" s="22"/>
      <c r="N102" s="23"/>
      <c r="O102" s="22"/>
      <c r="P102" s="22"/>
    </row>
    <row r="103" spans="1:16">
      <c r="A103" s="22"/>
      <c r="B103" s="22"/>
      <c r="C103" s="22"/>
      <c r="D103" s="22"/>
      <c r="E103" s="22"/>
      <c r="F103" s="22"/>
      <c r="G103" s="22"/>
      <c r="H103" s="22"/>
      <c r="I103" s="26"/>
      <c r="J103" s="26"/>
      <c r="K103" s="22"/>
      <c r="L103" s="22"/>
      <c r="M103" s="22"/>
      <c r="N103" s="23"/>
      <c r="O103" s="22"/>
      <c r="P103" s="22"/>
    </row>
    <row r="104" spans="1:16">
      <c r="A104" s="22"/>
      <c r="B104" s="22"/>
      <c r="C104" s="22"/>
      <c r="D104" s="22"/>
      <c r="E104" s="22"/>
      <c r="F104" s="22"/>
      <c r="G104" s="22"/>
      <c r="H104" s="22"/>
      <c r="I104" s="26"/>
      <c r="J104" s="26"/>
      <c r="K104" s="22"/>
      <c r="L104" s="22"/>
      <c r="M104" s="22"/>
      <c r="N104" s="23"/>
      <c r="O104" s="22"/>
      <c r="P104" s="22"/>
    </row>
    <row r="105" spans="1:16">
      <c r="A105" s="22"/>
      <c r="B105" s="22"/>
      <c r="C105" s="22"/>
      <c r="D105" s="22"/>
      <c r="E105" s="22"/>
      <c r="F105" s="22"/>
      <c r="G105" s="22"/>
      <c r="H105" s="22"/>
      <c r="I105" s="26"/>
      <c r="J105" s="26"/>
      <c r="K105" s="22"/>
      <c r="L105" s="22"/>
      <c r="M105" s="22"/>
      <c r="N105" s="23"/>
      <c r="O105" s="22"/>
      <c r="P105" s="22"/>
    </row>
    <row r="106" spans="1:16">
      <c r="A106" s="22"/>
      <c r="B106" s="22"/>
      <c r="C106" s="22"/>
      <c r="D106" s="22"/>
      <c r="E106" s="22"/>
      <c r="F106" s="22"/>
      <c r="G106" s="22"/>
      <c r="H106" s="22"/>
      <c r="I106" s="26"/>
      <c r="J106" s="26"/>
      <c r="K106" s="22"/>
      <c r="L106" s="22"/>
      <c r="M106" s="22"/>
      <c r="N106" s="23"/>
      <c r="O106" s="22"/>
      <c r="P106" s="22"/>
    </row>
    <row r="107" spans="1:16">
      <c r="A107" s="22"/>
      <c r="B107" s="22"/>
      <c r="C107" s="22"/>
      <c r="D107" s="22"/>
      <c r="E107" s="22"/>
      <c r="F107" s="22"/>
      <c r="G107" s="22"/>
      <c r="H107" s="22"/>
      <c r="I107" s="26"/>
      <c r="J107" s="26"/>
      <c r="K107" s="22"/>
      <c r="L107" s="22"/>
      <c r="M107" s="22"/>
      <c r="N107" s="23"/>
      <c r="O107" s="22"/>
      <c r="P107" s="22"/>
    </row>
    <row r="108" spans="1:16">
      <c r="A108" s="22"/>
      <c r="B108" s="22"/>
      <c r="C108" s="22"/>
      <c r="D108" s="22"/>
      <c r="E108" s="22"/>
      <c r="F108" s="22"/>
      <c r="G108" s="22"/>
      <c r="H108" s="22"/>
      <c r="I108" s="26"/>
      <c r="J108" s="26"/>
      <c r="K108" s="22"/>
      <c r="L108" s="22"/>
      <c r="M108" s="22"/>
      <c r="N108" s="23"/>
      <c r="O108" s="22"/>
      <c r="P108" s="22"/>
    </row>
    <row r="109" spans="1:16">
      <c r="A109" s="22"/>
      <c r="B109" s="22"/>
      <c r="C109" s="22"/>
      <c r="D109" s="22"/>
      <c r="E109" s="22"/>
      <c r="F109" s="22"/>
      <c r="G109" s="22"/>
      <c r="H109" s="22"/>
      <c r="I109" s="26"/>
      <c r="J109" s="26"/>
      <c r="K109" s="22"/>
      <c r="L109" s="22"/>
      <c r="M109" s="22"/>
      <c r="N109" s="23"/>
      <c r="O109" s="22"/>
      <c r="P109" s="22"/>
    </row>
    <row r="110" spans="1:16">
      <c r="A110" s="22"/>
      <c r="B110" s="22"/>
      <c r="C110" s="22"/>
      <c r="D110" s="22"/>
      <c r="E110" s="22"/>
      <c r="F110" s="22"/>
      <c r="G110" s="22"/>
      <c r="H110" s="22"/>
      <c r="I110" s="26"/>
      <c r="J110" s="26"/>
      <c r="K110" s="22"/>
      <c r="L110" s="22"/>
      <c r="M110" s="22"/>
      <c r="N110" s="23"/>
      <c r="O110" s="22"/>
      <c r="P110" s="22"/>
    </row>
    <row r="111" spans="1:16">
      <c r="A111" s="22"/>
      <c r="B111" s="22"/>
      <c r="C111" s="22"/>
      <c r="D111" s="22"/>
      <c r="E111" s="22"/>
      <c r="F111" s="22"/>
      <c r="G111" s="22"/>
      <c r="H111" s="22"/>
      <c r="I111" s="26"/>
      <c r="J111" s="26"/>
      <c r="K111" s="22"/>
      <c r="L111" s="22"/>
      <c r="M111" s="22"/>
      <c r="N111" s="23"/>
      <c r="O111" s="22"/>
      <c r="P111" s="22"/>
    </row>
    <row r="112" spans="1:16">
      <c r="A112" s="22"/>
      <c r="B112" s="22"/>
      <c r="C112" s="22"/>
      <c r="D112" s="22"/>
      <c r="E112" s="22"/>
      <c r="F112" s="22"/>
      <c r="G112" s="22"/>
      <c r="H112" s="22"/>
      <c r="I112" s="26"/>
      <c r="J112" s="26"/>
      <c r="K112" s="22"/>
      <c r="L112" s="22"/>
      <c r="M112" s="22"/>
      <c r="N112" s="23"/>
      <c r="O112" s="22"/>
      <c r="P112" s="22"/>
    </row>
    <row r="113" spans="1:16">
      <c r="A113" s="22"/>
      <c r="B113" s="22"/>
      <c r="C113" s="22"/>
      <c r="D113" s="22"/>
      <c r="E113" s="22"/>
      <c r="F113" s="22"/>
      <c r="G113" s="22"/>
      <c r="H113" s="22"/>
      <c r="I113" s="26"/>
      <c r="J113" s="26"/>
      <c r="K113" s="22"/>
      <c r="L113" s="22"/>
      <c r="M113" s="22"/>
      <c r="N113" s="23"/>
      <c r="O113" s="22"/>
      <c r="P113" s="22"/>
    </row>
    <row r="114" spans="1:16">
      <c r="A114" s="22"/>
      <c r="B114" s="22"/>
      <c r="C114" s="22"/>
      <c r="D114" s="22"/>
      <c r="E114" s="22"/>
      <c r="F114" s="22"/>
      <c r="G114" s="22"/>
      <c r="H114" s="22"/>
      <c r="I114" s="26"/>
      <c r="J114" s="26"/>
      <c r="K114" s="22"/>
      <c r="L114" s="22"/>
      <c r="M114" s="22"/>
      <c r="N114" s="23"/>
      <c r="O114" s="22"/>
      <c r="P114" s="22"/>
    </row>
    <row r="115" spans="1:16">
      <c r="A115" s="22"/>
      <c r="B115" s="22"/>
      <c r="C115" s="22"/>
      <c r="D115" s="22"/>
      <c r="E115" s="22"/>
      <c r="F115" s="22"/>
      <c r="G115" s="22"/>
      <c r="H115" s="22"/>
      <c r="I115" s="26"/>
      <c r="J115" s="26"/>
      <c r="K115" s="22"/>
      <c r="L115" s="22"/>
      <c r="M115" s="22"/>
      <c r="N115" s="23"/>
      <c r="O115" s="22"/>
      <c r="P115" s="22"/>
    </row>
    <row r="116" spans="1:16">
      <c r="A116" s="22"/>
      <c r="B116" s="22"/>
      <c r="C116" s="22"/>
      <c r="D116" s="22"/>
      <c r="E116" s="22"/>
      <c r="F116" s="22"/>
      <c r="G116" s="22"/>
      <c r="H116" s="22"/>
      <c r="I116" s="26"/>
      <c r="J116" s="26"/>
      <c r="K116" s="22"/>
      <c r="L116" s="22"/>
      <c r="M116" s="22"/>
      <c r="N116" s="23"/>
      <c r="O116" s="22"/>
      <c r="P116" s="22"/>
    </row>
    <row r="117" spans="1:16">
      <c r="A117" s="22"/>
      <c r="B117" s="22"/>
      <c r="C117" s="22"/>
      <c r="D117" s="22"/>
      <c r="E117" s="22"/>
      <c r="F117" s="22"/>
      <c r="G117" s="22"/>
      <c r="H117" s="22"/>
      <c r="I117" s="26"/>
      <c r="J117" s="26"/>
      <c r="K117" s="22"/>
      <c r="L117" s="22"/>
      <c r="M117" s="22"/>
      <c r="N117" s="23"/>
      <c r="O117" s="22"/>
      <c r="P117" s="22"/>
    </row>
    <row r="118" spans="1:16">
      <c r="A118" s="22"/>
      <c r="B118" s="22"/>
      <c r="C118" s="22"/>
      <c r="D118" s="22"/>
      <c r="E118" s="22"/>
      <c r="F118" s="22"/>
      <c r="G118" s="22"/>
      <c r="H118" s="22"/>
      <c r="I118" s="26"/>
      <c r="J118" s="26"/>
      <c r="K118" s="22"/>
      <c r="L118" s="22"/>
      <c r="M118" s="22"/>
      <c r="N118" s="23"/>
      <c r="O118" s="22"/>
      <c r="P118" s="22"/>
    </row>
    <row r="119" spans="1:16">
      <c r="A119" s="22"/>
      <c r="B119" s="22"/>
      <c r="C119" s="22"/>
      <c r="D119" s="22"/>
      <c r="E119" s="22"/>
      <c r="F119" s="22"/>
      <c r="G119" s="22"/>
      <c r="H119" s="22"/>
      <c r="I119" s="26"/>
      <c r="J119" s="26"/>
      <c r="K119" s="22"/>
      <c r="L119" s="22"/>
      <c r="M119" s="22"/>
      <c r="N119" s="23"/>
      <c r="O119" s="22"/>
      <c r="P119" s="22"/>
    </row>
    <row r="120" spans="1:16">
      <c r="A120" s="22"/>
      <c r="B120" s="22"/>
      <c r="C120" s="22"/>
      <c r="D120" s="22"/>
      <c r="E120" s="22"/>
      <c r="F120" s="22"/>
      <c r="G120" s="22"/>
      <c r="H120" s="22"/>
      <c r="I120" s="26"/>
      <c r="J120" s="26"/>
      <c r="K120" s="22"/>
      <c r="L120" s="22"/>
      <c r="M120" s="22"/>
      <c r="N120" s="23"/>
      <c r="O120" s="22"/>
      <c r="P120" s="22"/>
    </row>
    <row r="121" spans="1:16">
      <c r="A121" s="22"/>
      <c r="B121" s="22"/>
      <c r="C121" s="22"/>
      <c r="D121" s="22"/>
      <c r="E121" s="22"/>
      <c r="F121" s="22"/>
      <c r="G121" s="22"/>
      <c r="H121" s="22"/>
      <c r="I121" s="26"/>
      <c r="J121" s="26"/>
      <c r="K121" s="22"/>
      <c r="L121" s="22"/>
      <c r="M121" s="22"/>
      <c r="N121" s="23"/>
      <c r="O121" s="22"/>
      <c r="P121" s="22"/>
    </row>
    <row r="122" spans="1:16">
      <c r="A122" s="22"/>
      <c r="B122" s="22"/>
      <c r="C122" s="22"/>
      <c r="D122" s="22"/>
      <c r="E122" s="22"/>
      <c r="F122" s="22"/>
      <c r="G122" s="22"/>
      <c r="H122" s="22"/>
      <c r="I122" s="26"/>
      <c r="J122" s="26"/>
      <c r="K122" s="22"/>
      <c r="L122" s="22"/>
      <c r="M122" s="22"/>
      <c r="N122" s="23"/>
      <c r="O122" s="22"/>
      <c r="P122" s="22"/>
    </row>
    <row r="123" spans="1:16">
      <c r="A123" s="22"/>
      <c r="B123" s="22"/>
      <c r="C123" s="22"/>
      <c r="D123" s="22"/>
      <c r="E123" s="22"/>
      <c r="F123" s="22"/>
      <c r="G123" s="22"/>
      <c r="H123" s="22"/>
      <c r="I123" s="26"/>
      <c r="J123" s="26"/>
      <c r="K123" s="22"/>
      <c r="L123" s="22"/>
      <c r="M123" s="22"/>
      <c r="N123" s="23"/>
      <c r="O123" s="22"/>
      <c r="P123" s="22"/>
    </row>
    <row r="124" spans="1:16">
      <c r="A124" s="22"/>
      <c r="B124" s="22"/>
      <c r="C124" s="22"/>
      <c r="D124" s="22"/>
      <c r="E124" s="22"/>
      <c r="F124" s="22"/>
      <c r="G124" s="22"/>
      <c r="H124" s="22"/>
      <c r="I124" s="26"/>
      <c r="J124" s="26"/>
      <c r="K124" s="22"/>
      <c r="L124" s="22"/>
      <c r="M124" s="22"/>
      <c r="N124" s="23"/>
      <c r="O124" s="22"/>
      <c r="P124" s="22"/>
    </row>
    <row r="125" spans="1:16">
      <c r="A125" s="22"/>
      <c r="B125" s="22"/>
      <c r="C125" s="22"/>
      <c r="D125" s="22"/>
      <c r="E125" s="22"/>
      <c r="F125" s="22"/>
      <c r="G125" s="22"/>
      <c r="H125" s="22"/>
      <c r="I125" s="26"/>
      <c r="J125" s="26"/>
      <c r="K125" s="22"/>
      <c r="L125" s="22"/>
      <c r="M125" s="22"/>
      <c r="N125" s="23"/>
      <c r="O125" s="22"/>
      <c r="P125" s="22"/>
    </row>
    <row r="126" spans="1:16">
      <c r="A126" s="22"/>
      <c r="B126" s="22"/>
      <c r="C126" s="22"/>
      <c r="D126" s="22"/>
      <c r="E126" s="22"/>
      <c r="F126" s="22"/>
      <c r="G126" s="22"/>
      <c r="H126" s="22"/>
      <c r="I126" s="26"/>
      <c r="J126" s="26"/>
      <c r="K126" s="22"/>
      <c r="L126" s="22"/>
      <c r="M126" s="22"/>
      <c r="N126" s="23"/>
      <c r="O126" s="22"/>
      <c r="P126" s="22"/>
    </row>
    <row r="127" spans="1:16">
      <c r="A127" s="22"/>
      <c r="B127" s="22"/>
      <c r="C127" s="22"/>
      <c r="D127" s="22"/>
      <c r="E127" s="22"/>
      <c r="F127" s="22"/>
      <c r="G127" s="22"/>
      <c r="H127" s="22"/>
      <c r="I127" s="26"/>
      <c r="J127" s="26"/>
      <c r="K127" s="22"/>
      <c r="L127" s="22"/>
      <c r="M127" s="22"/>
      <c r="N127" s="23"/>
      <c r="O127" s="22"/>
      <c r="P127" s="22"/>
    </row>
    <row r="128" spans="1:16">
      <c r="A128" s="22"/>
      <c r="B128" s="22"/>
      <c r="C128" s="22"/>
      <c r="D128" s="22"/>
      <c r="E128" s="22"/>
      <c r="F128" s="22"/>
      <c r="G128" s="22"/>
      <c r="H128" s="22"/>
      <c r="I128" s="26"/>
      <c r="J128" s="26"/>
      <c r="K128" s="22"/>
      <c r="L128" s="22"/>
      <c r="M128" s="22"/>
      <c r="N128" s="23"/>
      <c r="O128" s="22"/>
      <c r="P128" s="22"/>
    </row>
    <row r="129" spans="1:16">
      <c r="A129" s="22"/>
      <c r="B129" s="22"/>
      <c r="C129" s="22"/>
      <c r="D129" s="22"/>
      <c r="E129" s="22"/>
      <c r="F129" s="29"/>
      <c r="G129" s="22"/>
      <c r="H129" s="22"/>
      <c r="I129" s="22"/>
      <c r="J129" s="22"/>
      <c r="K129" s="22"/>
      <c r="L129" s="22"/>
      <c r="M129" s="22"/>
      <c r="N129" s="23"/>
      <c r="O129" s="22"/>
      <c r="P129" s="22"/>
    </row>
    <row r="130" spans="1:16">
      <c r="A130" s="22"/>
      <c r="B130" s="22"/>
      <c r="C130" s="22"/>
      <c r="D130" s="22"/>
      <c r="E130" s="22"/>
      <c r="F130" s="29"/>
      <c r="G130" s="22"/>
      <c r="H130" s="22"/>
      <c r="I130" s="22"/>
      <c r="J130" s="22"/>
      <c r="K130" s="22"/>
      <c r="L130" s="22"/>
      <c r="M130" s="22"/>
      <c r="N130" s="23"/>
      <c r="O130" s="22"/>
      <c r="P130" s="22"/>
    </row>
    <row r="131" spans="1:16">
      <c r="A131" s="22"/>
      <c r="B131" s="22"/>
      <c r="C131" s="22"/>
      <c r="D131" s="22"/>
      <c r="E131" s="22"/>
      <c r="F131" s="29"/>
      <c r="G131" s="22"/>
      <c r="H131" s="22"/>
      <c r="I131" s="22"/>
      <c r="J131" s="22"/>
      <c r="K131" s="22"/>
      <c r="L131" s="22"/>
      <c r="M131" s="22"/>
      <c r="N131" s="23"/>
      <c r="O131" s="22"/>
      <c r="P131" s="22"/>
    </row>
    <row r="132" spans="1:16">
      <c r="A132" s="22"/>
      <c r="B132" s="22"/>
      <c r="C132" s="22"/>
      <c r="D132" s="22"/>
      <c r="E132" s="22"/>
      <c r="F132" s="29"/>
      <c r="G132" s="22"/>
      <c r="H132" s="22"/>
      <c r="I132" s="22"/>
      <c r="J132" s="22"/>
      <c r="K132" s="22"/>
      <c r="L132" s="22"/>
      <c r="M132" s="22"/>
      <c r="N132" s="23"/>
      <c r="O132" s="22"/>
      <c r="P132" s="22"/>
    </row>
    <row r="133" spans="1:16" ht="13.5">
      <c r="A133" s="22"/>
      <c r="B133" s="22"/>
      <c r="C133" s="22"/>
      <c r="D133" s="22"/>
      <c r="E133" s="22"/>
      <c r="F133" s="29"/>
      <c r="G133" s="22"/>
      <c r="H133" s="22"/>
      <c r="I133" s="22"/>
      <c r="J133" s="22"/>
      <c r="K133" s="22"/>
      <c r="L133" s="22"/>
      <c r="M133" s="22"/>
      <c r="N133" s="23"/>
      <c r="O133" s="27"/>
      <c r="P133" s="22"/>
    </row>
    <row r="134" spans="1:16" ht="13.5">
      <c r="A134" s="22"/>
      <c r="B134" s="22"/>
      <c r="C134" s="22"/>
      <c r="D134" s="22"/>
      <c r="E134" s="22"/>
      <c r="F134" s="22"/>
      <c r="G134" s="22"/>
      <c r="H134" s="22"/>
      <c r="I134" s="22"/>
      <c r="J134" s="22"/>
      <c r="K134" s="27"/>
      <c r="L134" s="27"/>
      <c r="M134" s="27"/>
      <c r="N134" s="23"/>
      <c r="O134" s="22"/>
      <c r="P134" s="28"/>
    </row>
    <row r="135" spans="1:16" ht="13.5">
      <c r="A135" s="22"/>
      <c r="B135" s="22"/>
      <c r="C135" s="22"/>
      <c r="D135" s="22"/>
      <c r="E135" s="22"/>
      <c r="F135" s="22"/>
      <c r="G135" s="22"/>
      <c r="H135" s="22"/>
      <c r="I135" s="22"/>
      <c r="J135" s="22"/>
      <c r="K135" s="27"/>
      <c r="L135" s="27"/>
      <c r="M135" s="27"/>
      <c r="N135" s="23"/>
      <c r="O135" s="22"/>
      <c r="P135" s="28"/>
    </row>
    <row r="136" spans="1:16" ht="13.5">
      <c r="A136" s="22"/>
      <c r="B136" s="22"/>
      <c r="C136" s="22"/>
      <c r="D136" s="22"/>
      <c r="E136" s="22"/>
      <c r="F136" s="22"/>
      <c r="G136" s="22"/>
      <c r="H136" s="22"/>
      <c r="I136" s="22"/>
      <c r="J136" s="22"/>
      <c r="K136" s="27"/>
      <c r="L136" s="27"/>
      <c r="M136" s="27"/>
      <c r="N136" s="23"/>
      <c r="O136" s="22"/>
      <c r="P136" s="28"/>
    </row>
    <row r="137" spans="1:16" ht="13.5">
      <c r="A137" s="22"/>
      <c r="B137" s="22"/>
      <c r="C137" s="22"/>
      <c r="D137" s="22"/>
      <c r="E137" s="22"/>
      <c r="F137" s="22"/>
      <c r="G137" s="22"/>
      <c r="H137" s="22"/>
      <c r="I137" s="22"/>
      <c r="J137" s="22"/>
      <c r="K137" s="27"/>
      <c r="L137" s="27"/>
      <c r="M137" s="27"/>
      <c r="N137" s="23"/>
      <c r="O137" s="22"/>
      <c r="P137" s="28"/>
    </row>
    <row r="138" spans="1:16" ht="13.5">
      <c r="A138" s="22"/>
      <c r="B138" s="22"/>
      <c r="C138" s="22"/>
      <c r="D138" s="22"/>
      <c r="E138" s="22"/>
      <c r="F138" s="22"/>
      <c r="G138" s="22"/>
      <c r="H138" s="22"/>
      <c r="I138" s="22"/>
      <c r="J138" s="22"/>
      <c r="K138" s="27"/>
      <c r="L138" s="27"/>
      <c r="M138" s="27"/>
      <c r="N138" s="23"/>
      <c r="O138" s="27"/>
      <c r="P138" s="28"/>
    </row>
    <row r="139" spans="1:16" ht="13.5">
      <c r="A139" s="22"/>
      <c r="B139" s="22"/>
      <c r="C139" s="22"/>
      <c r="D139" s="22"/>
      <c r="E139" s="22"/>
      <c r="F139" s="22"/>
      <c r="G139" s="22"/>
      <c r="H139" s="22"/>
      <c r="I139" s="22"/>
      <c r="J139" s="22"/>
      <c r="K139" s="27"/>
      <c r="L139" s="27"/>
      <c r="M139" s="27"/>
      <c r="N139" s="23"/>
      <c r="O139" s="22"/>
      <c r="P139" s="28"/>
    </row>
    <row r="140" spans="1:16" ht="13.5">
      <c r="A140" s="22"/>
      <c r="B140" s="22"/>
      <c r="C140" s="22"/>
      <c r="D140" s="22"/>
      <c r="E140" s="22"/>
      <c r="F140" s="22"/>
      <c r="G140" s="22"/>
      <c r="H140" s="22"/>
      <c r="I140" s="22"/>
      <c r="J140" s="22"/>
      <c r="K140" s="27"/>
      <c r="L140" s="27"/>
      <c r="M140" s="27"/>
      <c r="N140" s="23"/>
      <c r="O140" s="22"/>
      <c r="P140" s="28"/>
    </row>
    <row r="141" spans="1:16" ht="13.5">
      <c r="A141" s="22"/>
      <c r="B141" s="22"/>
      <c r="C141" s="22"/>
      <c r="D141" s="22"/>
      <c r="E141" s="22"/>
      <c r="F141" s="22"/>
      <c r="G141" s="22"/>
      <c r="H141" s="22"/>
      <c r="I141" s="22"/>
      <c r="J141" s="22"/>
      <c r="K141" s="27"/>
      <c r="L141" s="27"/>
      <c r="M141" s="27"/>
      <c r="N141" s="23"/>
      <c r="O141" s="22"/>
      <c r="P141" s="28"/>
    </row>
    <row r="142" spans="1:16" ht="13.5">
      <c r="A142" s="22"/>
      <c r="B142" s="22"/>
      <c r="C142" s="22"/>
      <c r="D142" s="22"/>
      <c r="E142" s="22"/>
      <c r="F142" s="22"/>
      <c r="G142" s="22"/>
      <c r="H142" s="22"/>
      <c r="I142" s="22"/>
      <c r="J142" s="22"/>
      <c r="K142" s="27"/>
      <c r="L142" s="27"/>
      <c r="M142" s="27"/>
      <c r="N142" s="23"/>
      <c r="O142" s="22"/>
      <c r="P142" s="28"/>
    </row>
    <row r="143" spans="1:16" ht="13.5">
      <c r="A143" s="22"/>
      <c r="B143" s="22"/>
      <c r="C143" s="22"/>
      <c r="D143" s="22"/>
      <c r="E143" s="22"/>
      <c r="F143" s="22"/>
      <c r="G143" s="22"/>
      <c r="H143" s="22"/>
      <c r="I143" s="22"/>
      <c r="J143" s="22"/>
      <c r="K143" s="27"/>
      <c r="L143" s="27"/>
      <c r="M143" s="27"/>
      <c r="N143" s="23"/>
      <c r="O143" s="22"/>
      <c r="P143" s="28"/>
    </row>
    <row r="144" spans="1:16" ht="13.5">
      <c r="A144" s="22"/>
      <c r="B144" s="22"/>
      <c r="C144" s="22"/>
      <c r="D144" s="22"/>
      <c r="E144" s="22"/>
      <c r="F144" s="22"/>
      <c r="G144" s="22"/>
      <c r="H144" s="22"/>
      <c r="I144" s="22"/>
      <c r="J144" s="22"/>
      <c r="K144" s="27"/>
      <c r="L144" s="27"/>
      <c r="M144" s="27"/>
      <c r="N144" s="23"/>
      <c r="O144" s="27"/>
      <c r="P144" s="28"/>
    </row>
    <row r="145" spans="1:16" ht="13.5">
      <c r="A145" s="22"/>
      <c r="B145" s="22"/>
      <c r="C145" s="22"/>
      <c r="D145" s="22"/>
      <c r="E145" s="22"/>
      <c r="F145" s="22"/>
      <c r="G145" s="22"/>
      <c r="H145" s="22"/>
      <c r="I145" s="22"/>
      <c r="J145" s="22"/>
      <c r="K145" s="27"/>
      <c r="L145" s="27"/>
      <c r="M145" s="27"/>
      <c r="N145" s="23"/>
      <c r="O145" s="22"/>
      <c r="P145" s="28"/>
    </row>
    <row r="146" spans="1:16" ht="13.5">
      <c r="A146" s="22"/>
      <c r="B146" s="22"/>
      <c r="C146" s="22"/>
      <c r="D146" s="22"/>
      <c r="E146" s="22"/>
      <c r="F146" s="22"/>
      <c r="G146" s="22"/>
      <c r="H146" s="22"/>
      <c r="I146" s="22"/>
      <c r="J146" s="22"/>
      <c r="K146" s="27"/>
      <c r="L146" s="27"/>
      <c r="M146" s="27"/>
      <c r="N146" s="23"/>
      <c r="O146" s="22"/>
      <c r="P146" s="28"/>
    </row>
    <row r="147" spans="1:16" ht="13.5">
      <c r="A147" s="22"/>
      <c r="B147" s="22"/>
      <c r="C147" s="22"/>
      <c r="D147" s="22"/>
      <c r="E147" s="22"/>
      <c r="F147" s="22"/>
      <c r="G147" s="22"/>
      <c r="H147" s="22"/>
      <c r="I147" s="22"/>
      <c r="J147" s="22"/>
      <c r="K147" s="27"/>
      <c r="L147" s="27"/>
      <c r="M147" s="27"/>
      <c r="N147" s="23"/>
      <c r="O147" s="22"/>
      <c r="P147" s="28"/>
    </row>
    <row r="148" spans="1:16" ht="13.5">
      <c r="A148" s="22"/>
      <c r="B148" s="22"/>
      <c r="C148" s="22"/>
      <c r="D148" s="22"/>
      <c r="E148" s="22"/>
      <c r="F148" s="22"/>
      <c r="G148" s="22"/>
      <c r="H148" s="22"/>
      <c r="I148" s="22"/>
      <c r="J148" s="22"/>
      <c r="K148" s="27"/>
      <c r="L148" s="27"/>
      <c r="M148" s="27"/>
      <c r="N148" s="23"/>
      <c r="O148" s="22"/>
      <c r="P148" s="28"/>
    </row>
    <row r="149" spans="1:16" ht="13.5">
      <c r="A149" s="22"/>
      <c r="B149" s="22"/>
      <c r="C149" s="22"/>
      <c r="D149" s="22"/>
      <c r="E149" s="22"/>
      <c r="F149" s="22"/>
      <c r="G149" s="22"/>
      <c r="H149" s="22"/>
      <c r="I149" s="22"/>
      <c r="J149" s="22"/>
      <c r="K149" s="27"/>
      <c r="L149" s="27"/>
      <c r="M149" s="27"/>
      <c r="N149" s="23"/>
      <c r="O149" s="22"/>
      <c r="P149" s="28"/>
    </row>
    <row r="150" spans="1:16" ht="13.5">
      <c r="A150" s="22"/>
      <c r="B150" s="22"/>
      <c r="C150" s="22"/>
      <c r="D150" s="22"/>
      <c r="E150" s="22"/>
      <c r="F150" s="22"/>
      <c r="G150" s="22"/>
      <c r="H150" s="22"/>
      <c r="I150" s="22"/>
      <c r="J150" s="22"/>
      <c r="K150" s="27"/>
      <c r="L150" s="27"/>
      <c r="M150" s="27"/>
      <c r="N150" s="23"/>
      <c r="O150" s="22"/>
      <c r="P150" s="28"/>
    </row>
    <row r="151" spans="1:16">
      <c r="A151" s="22"/>
      <c r="B151" s="22"/>
      <c r="C151" s="22"/>
      <c r="D151" s="22"/>
      <c r="E151" s="22"/>
      <c r="F151" s="22"/>
      <c r="G151" s="22"/>
      <c r="H151" s="22"/>
      <c r="I151" s="22"/>
      <c r="J151" s="22"/>
      <c r="K151" s="22"/>
      <c r="L151" s="22"/>
      <c r="M151" s="22"/>
      <c r="N151" s="23"/>
      <c r="O151" s="22"/>
      <c r="P151" s="28"/>
    </row>
    <row r="152" spans="1:16">
      <c r="A152" s="22"/>
      <c r="B152" s="22"/>
      <c r="C152" s="22"/>
      <c r="D152" s="22"/>
      <c r="E152" s="22"/>
      <c r="F152" s="22"/>
      <c r="G152" s="22"/>
      <c r="H152" s="22"/>
      <c r="I152" s="22"/>
      <c r="J152" s="22"/>
      <c r="K152" s="22"/>
      <c r="L152" s="22"/>
      <c r="M152" s="22"/>
      <c r="N152" s="23"/>
      <c r="O152" s="22"/>
      <c r="P152" s="28"/>
    </row>
    <row r="153" spans="1:16">
      <c r="A153" s="22"/>
      <c r="B153" s="22"/>
      <c r="C153" s="22"/>
      <c r="D153" s="22"/>
      <c r="E153" s="22"/>
      <c r="F153" s="22"/>
      <c r="G153" s="22"/>
      <c r="H153" s="22"/>
      <c r="I153" s="22"/>
      <c r="J153" s="22"/>
      <c r="K153" s="22"/>
      <c r="L153" s="22"/>
      <c r="M153" s="22"/>
      <c r="N153" s="23"/>
      <c r="O153" s="22"/>
      <c r="P153" s="28"/>
    </row>
    <row r="154" spans="1:16">
      <c r="A154" s="22"/>
      <c r="B154" s="22"/>
      <c r="C154" s="22"/>
      <c r="D154" s="22"/>
      <c r="E154" s="22"/>
      <c r="F154" s="22"/>
      <c r="G154" s="22"/>
      <c r="H154" s="22"/>
      <c r="I154" s="22"/>
      <c r="J154" s="22"/>
      <c r="K154" s="22"/>
      <c r="L154" s="22"/>
      <c r="M154" s="22"/>
      <c r="N154" s="23"/>
      <c r="O154" s="22"/>
      <c r="P154" s="28"/>
    </row>
    <row r="155" spans="1:16">
      <c r="A155" s="22"/>
      <c r="B155" s="22"/>
      <c r="C155" s="22"/>
      <c r="D155" s="22"/>
      <c r="E155" s="22"/>
      <c r="F155" s="22"/>
      <c r="G155" s="22"/>
      <c r="H155" s="22"/>
      <c r="I155" s="22"/>
      <c r="J155" s="22"/>
      <c r="K155" s="22"/>
      <c r="L155" s="22"/>
      <c r="M155" s="22"/>
      <c r="N155" s="23"/>
      <c r="O155" s="22"/>
      <c r="P155" s="28"/>
    </row>
    <row r="156" spans="1:16">
      <c r="A156" s="22"/>
      <c r="B156" s="22"/>
      <c r="C156" s="22"/>
      <c r="D156" s="22"/>
      <c r="E156" s="22"/>
      <c r="F156" s="22"/>
      <c r="G156" s="22"/>
      <c r="H156" s="22"/>
      <c r="I156" s="22"/>
      <c r="J156" s="22"/>
      <c r="K156" s="22"/>
      <c r="L156" s="22"/>
      <c r="M156" s="22"/>
      <c r="N156" s="23"/>
      <c r="O156" s="22"/>
      <c r="P156" s="28"/>
    </row>
    <row r="157" spans="1:16">
      <c r="A157" s="22"/>
      <c r="B157" s="22"/>
      <c r="C157" s="22"/>
      <c r="D157" s="22"/>
      <c r="E157" s="22"/>
      <c r="F157" s="22"/>
      <c r="G157" s="22"/>
      <c r="H157" s="22"/>
      <c r="I157" s="22"/>
      <c r="J157" s="22"/>
      <c r="K157" s="22"/>
      <c r="L157" s="22"/>
      <c r="M157" s="22"/>
      <c r="N157" s="23"/>
      <c r="O157" s="22"/>
      <c r="P157" s="28"/>
    </row>
    <row r="158" spans="1:16">
      <c r="A158" s="22"/>
      <c r="B158" s="22"/>
      <c r="C158" s="22"/>
      <c r="D158" s="22"/>
      <c r="E158" s="22"/>
      <c r="F158" s="22"/>
      <c r="G158" s="22"/>
      <c r="H158" s="22"/>
      <c r="I158" s="22"/>
      <c r="J158" s="22"/>
      <c r="K158" s="22"/>
      <c r="L158" s="22"/>
      <c r="M158" s="22"/>
      <c r="N158" s="23"/>
      <c r="O158" s="22"/>
      <c r="P158" s="28"/>
    </row>
    <row r="159" spans="1:16">
      <c r="A159" s="22"/>
      <c r="B159" s="22"/>
      <c r="C159" s="22"/>
      <c r="D159" s="22"/>
      <c r="E159" s="22"/>
      <c r="F159" s="22"/>
      <c r="G159" s="22"/>
      <c r="H159" s="22"/>
      <c r="I159" s="22"/>
      <c r="J159" s="22"/>
      <c r="K159" s="22"/>
      <c r="L159" s="22"/>
      <c r="M159" s="22"/>
      <c r="N159" s="23"/>
      <c r="O159" s="22"/>
      <c r="P159" s="28"/>
    </row>
    <row r="160" spans="1:16">
      <c r="A160" s="22"/>
      <c r="B160" s="22"/>
      <c r="C160" s="22"/>
      <c r="D160" s="22"/>
      <c r="E160" s="22"/>
      <c r="F160" s="22"/>
      <c r="G160" s="22"/>
      <c r="H160" s="22"/>
      <c r="I160" s="22"/>
      <c r="J160" s="22"/>
      <c r="K160" s="22"/>
      <c r="L160" s="22"/>
      <c r="M160" s="22"/>
      <c r="N160" s="23"/>
      <c r="O160" s="22"/>
      <c r="P160" s="28"/>
    </row>
    <row r="161" spans="1:16">
      <c r="A161" s="22"/>
      <c r="B161" s="20"/>
      <c r="C161" s="20"/>
      <c r="D161" s="22"/>
      <c r="E161" s="22"/>
      <c r="F161" s="22"/>
      <c r="G161" s="20"/>
      <c r="H161" s="22"/>
      <c r="I161" s="20"/>
      <c r="J161" s="20"/>
      <c r="K161" s="20"/>
      <c r="L161" s="20"/>
      <c r="M161" s="20"/>
      <c r="N161" s="23"/>
      <c r="O161" s="20"/>
      <c r="P161" s="20"/>
    </row>
    <row r="162" spans="1:16">
      <c r="A162" s="22"/>
      <c r="B162" s="20"/>
      <c r="C162" s="20"/>
      <c r="D162" s="20"/>
      <c r="E162" s="20"/>
      <c r="F162" s="22"/>
      <c r="G162" s="20"/>
      <c r="H162" s="20"/>
      <c r="I162" s="20"/>
      <c r="J162" s="20"/>
      <c r="K162" s="20"/>
      <c r="L162" s="20"/>
      <c r="M162" s="20"/>
      <c r="N162" s="23"/>
      <c r="O162" s="22"/>
      <c r="P162" s="20"/>
    </row>
    <row r="163" spans="1:16">
      <c r="A163" s="22"/>
      <c r="B163" s="20"/>
      <c r="C163" s="20"/>
      <c r="D163" s="20"/>
      <c r="E163" s="20"/>
      <c r="F163" s="22"/>
      <c r="G163" s="20"/>
      <c r="H163" s="20"/>
      <c r="I163" s="20"/>
      <c r="J163" s="20"/>
      <c r="K163" s="20"/>
      <c r="L163" s="20"/>
      <c r="M163" s="20"/>
      <c r="N163" s="23"/>
      <c r="O163" s="22"/>
      <c r="P163" s="20"/>
    </row>
    <row r="164" spans="1:16">
      <c r="A164" s="22"/>
      <c r="B164" s="20"/>
      <c r="C164" s="20"/>
      <c r="D164" s="20"/>
      <c r="E164" s="20"/>
      <c r="F164" s="22"/>
      <c r="G164" s="20"/>
      <c r="H164" s="20"/>
      <c r="I164" s="20"/>
      <c r="J164" s="20"/>
      <c r="K164" s="20"/>
      <c r="L164" s="20"/>
      <c r="M164" s="20"/>
      <c r="N164" s="23"/>
      <c r="O164" s="22"/>
      <c r="P164" s="20"/>
    </row>
    <row r="165" spans="1:16">
      <c r="A165" s="22"/>
      <c r="B165" s="20"/>
      <c r="C165" s="20"/>
      <c r="D165" s="20"/>
      <c r="E165" s="20"/>
      <c r="F165" s="22"/>
      <c r="G165" s="20"/>
      <c r="H165" s="20"/>
      <c r="I165" s="20"/>
      <c r="J165" s="20"/>
      <c r="K165" s="20"/>
      <c r="L165" s="20"/>
      <c r="M165" s="20"/>
      <c r="N165" s="23"/>
      <c r="O165" s="22"/>
      <c r="P165" s="20"/>
    </row>
    <row r="166" spans="1:16">
      <c r="A166" s="22"/>
      <c r="B166" s="20"/>
      <c r="C166" s="20"/>
      <c r="D166" s="20"/>
      <c r="E166" s="20"/>
      <c r="F166" s="22"/>
      <c r="G166" s="20"/>
      <c r="H166" s="20"/>
      <c r="I166" s="20"/>
      <c r="J166" s="20"/>
      <c r="K166" s="20"/>
      <c r="L166" s="20"/>
      <c r="M166" s="20"/>
      <c r="N166" s="23"/>
      <c r="O166" s="22"/>
      <c r="P166" s="20"/>
    </row>
    <row r="167" spans="1:16">
      <c r="A167" s="22"/>
      <c r="B167" s="20"/>
      <c r="C167" s="20"/>
      <c r="D167" s="20"/>
      <c r="E167" s="20"/>
      <c r="F167" s="22"/>
      <c r="G167" s="20"/>
      <c r="H167" s="20"/>
      <c r="I167" s="20"/>
      <c r="J167" s="20"/>
      <c r="K167" s="20"/>
      <c r="L167" s="20"/>
      <c r="M167" s="20"/>
      <c r="N167" s="23"/>
      <c r="O167" s="22"/>
      <c r="P167" s="20"/>
    </row>
    <row r="168" spans="1:16">
      <c r="A168" s="22"/>
      <c r="B168" s="20"/>
      <c r="C168" s="20"/>
      <c r="D168" s="20"/>
      <c r="E168" s="20"/>
      <c r="F168" s="22"/>
      <c r="G168" s="20"/>
      <c r="H168" s="20"/>
      <c r="I168" s="20"/>
      <c r="J168" s="20"/>
      <c r="K168" s="20"/>
      <c r="L168" s="20"/>
      <c r="M168" s="20"/>
      <c r="N168" s="23"/>
      <c r="O168" s="22"/>
      <c r="P168" s="20"/>
    </row>
    <row r="169" spans="1:16">
      <c r="A169" s="22"/>
      <c r="B169" s="20"/>
      <c r="C169" s="20"/>
      <c r="D169" s="20"/>
      <c r="E169" s="20"/>
      <c r="F169" s="22"/>
      <c r="G169" s="20"/>
      <c r="H169" s="20"/>
      <c r="I169" s="20"/>
      <c r="J169" s="20"/>
      <c r="K169" s="20"/>
      <c r="L169" s="20"/>
      <c r="M169" s="20"/>
      <c r="N169" s="23"/>
      <c r="O169" s="22"/>
      <c r="P169" s="20"/>
    </row>
    <row r="170" spans="1:16">
      <c r="A170" s="22"/>
      <c r="B170" s="20"/>
      <c r="C170" s="20"/>
      <c r="D170" s="20"/>
      <c r="E170" s="20"/>
      <c r="F170" s="22"/>
      <c r="G170" s="20"/>
      <c r="H170" s="20"/>
      <c r="I170" s="20"/>
      <c r="J170" s="20"/>
      <c r="K170" s="20"/>
      <c r="L170" s="20"/>
      <c r="M170" s="20"/>
      <c r="N170" s="23"/>
      <c r="O170" s="22"/>
      <c r="P170" s="20"/>
    </row>
    <row r="171" spans="1:16">
      <c r="A171" s="22"/>
      <c r="B171" s="20"/>
      <c r="C171" s="20"/>
      <c r="D171" s="20"/>
      <c r="E171" s="20"/>
      <c r="F171" s="22"/>
      <c r="G171" s="20"/>
      <c r="H171" s="20"/>
      <c r="I171" s="20"/>
      <c r="J171" s="20"/>
      <c r="K171" s="20"/>
      <c r="L171" s="20"/>
      <c r="M171" s="20"/>
      <c r="N171" s="23"/>
      <c r="O171" s="22"/>
      <c r="P171" s="20"/>
    </row>
    <row r="172" spans="1:16">
      <c r="A172" s="22"/>
      <c r="B172" s="20"/>
      <c r="C172" s="20"/>
      <c r="D172" s="20"/>
      <c r="E172" s="20"/>
      <c r="F172" s="22"/>
      <c r="G172" s="20"/>
      <c r="H172" s="20"/>
      <c r="I172" s="20"/>
      <c r="J172" s="20"/>
      <c r="K172" s="20"/>
      <c r="L172" s="20"/>
      <c r="M172" s="20"/>
      <c r="N172" s="23"/>
      <c r="O172" s="22"/>
      <c r="P172" s="20"/>
    </row>
    <row r="173" spans="1:16">
      <c r="A173" s="22"/>
      <c r="B173" s="20"/>
      <c r="C173" s="20"/>
      <c r="D173" s="20"/>
      <c r="E173" s="20"/>
      <c r="F173" s="22"/>
      <c r="G173" s="20"/>
      <c r="H173" s="20"/>
      <c r="I173" s="20"/>
      <c r="J173" s="20"/>
      <c r="K173" s="20"/>
      <c r="L173" s="20"/>
      <c r="M173" s="20"/>
      <c r="N173" s="23"/>
      <c r="O173" s="22"/>
      <c r="P173" s="20"/>
    </row>
    <row r="174" spans="1:16">
      <c r="A174" s="22"/>
      <c r="B174" s="20"/>
      <c r="C174" s="20"/>
      <c r="D174" s="20"/>
      <c r="E174" s="20"/>
      <c r="F174" s="22"/>
      <c r="G174" s="20"/>
      <c r="H174" s="20"/>
      <c r="I174" s="20"/>
      <c r="J174" s="20"/>
      <c r="K174" s="20"/>
      <c r="L174" s="20"/>
      <c r="M174" s="20"/>
      <c r="N174" s="23"/>
      <c r="O174" s="22"/>
      <c r="P174" s="20"/>
    </row>
    <row r="175" spans="1:16">
      <c r="A175" s="22"/>
      <c r="B175" s="20"/>
      <c r="C175" s="20"/>
      <c r="D175" s="20"/>
      <c r="E175" s="20"/>
      <c r="F175" s="22"/>
      <c r="G175" s="20"/>
      <c r="H175" s="20"/>
      <c r="I175" s="20"/>
      <c r="J175" s="20"/>
      <c r="K175" s="20"/>
      <c r="L175" s="20"/>
      <c r="M175" s="20"/>
      <c r="N175" s="23"/>
      <c r="O175" s="22"/>
      <c r="P175" s="20"/>
    </row>
    <row r="176" spans="1:16">
      <c r="A176" s="22"/>
      <c r="B176" s="20"/>
      <c r="C176" s="20"/>
      <c r="D176" s="20"/>
      <c r="E176" s="20"/>
      <c r="F176" s="22"/>
      <c r="G176" s="20"/>
      <c r="H176" s="20"/>
      <c r="I176" s="20"/>
      <c r="J176" s="20"/>
      <c r="K176" s="20"/>
      <c r="L176" s="20"/>
      <c r="M176" s="20"/>
      <c r="N176" s="23"/>
      <c r="O176" s="22"/>
      <c r="P176" s="20"/>
    </row>
    <row r="177" spans="1:16">
      <c r="A177" s="22"/>
      <c r="B177" s="20"/>
      <c r="C177" s="20"/>
      <c r="D177" s="20"/>
      <c r="E177" s="20"/>
      <c r="F177" s="22"/>
      <c r="G177" s="20"/>
      <c r="H177" s="20"/>
      <c r="I177" s="20"/>
      <c r="J177" s="20"/>
      <c r="K177" s="20"/>
      <c r="L177" s="20"/>
      <c r="M177" s="20"/>
      <c r="N177" s="23"/>
      <c r="O177" s="22"/>
      <c r="P177" s="20"/>
    </row>
    <row r="178" spans="1:16">
      <c r="A178" s="22"/>
      <c r="B178" s="20"/>
      <c r="C178" s="20"/>
      <c r="D178" s="20"/>
      <c r="E178" s="20"/>
      <c r="F178" s="22"/>
      <c r="G178" s="20"/>
      <c r="H178" s="20"/>
      <c r="I178" s="20"/>
      <c r="J178" s="20"/>
      <c r="K178" s="20"/>
      <c r="L178" s="20"/>
      <c r="M178" s="20"/>
      <c r="N178" s="23"/>
      <c r="O178" s="22"/>
      <c r="P178" s="20"/>
    </row>
    <row r="179" spans="1:16">
      <c r="A179" s="22"/>
      <c r="B179" s="20"/>
      <c r="C179" s="20"/>
      <c r="D179" s="20"/>
      <c r="E179" s="20"/>
      <c r="F179" s="22"/>
      <c r="G179" s="20"/>
      <c r="H179" s="20"/>
      <c r="I179" s="20"/>
      <c r="J179" s="20"/>
      <c r="K179" s="20"/>
      <c r="L179" s="20"/>
      <c r="M179" s="20"/>
      <c r="N179" s="23"/>
      <c r="O179" s="22"/>
      <c r="P179" s="20"/>
    </row>
    <row r="180" spans="1:16">
      <c r="A180" s="22"/>
      <c r="B180" s="20"/>
      <c r="C180" s="20"/>
      <c r="D180" s="20"/>
      <c r="E180" s="20"/>
      <c r="F180" s="22"/>
      <c r="G180" s="20"/>
      <c r="H180" s="20"/>
      <c r="I180" s="20"/>
      <c r="J180" s="20"/>
      <c r="K180" s="20"/>
      <c r="L180" s="20"/>
      <c r="M180" s="20"/>
      <c r="N180" s="23"/>
      <c r="O180" s="22"/>
      <c r="P180" s="20"/>
    </row>
    <row r="181" spans="1:16">
      <c r="A181" s="22"/>
      <c r="B181" s="20"/>
      <c r="C181" s="20"/>
      <c r="D181" s="20"/>
      <c r="E181" s="20"/>
      <c r="F181" s="22"/>
      <c r="G181" s="20"/>
      <c r="H181" s="20"/>
      <c r="I181" s="20"/>
      <c r="J181" s="20"/>
      <c r="K181" s="20"/>
      <c r="L181" s="20"/>
      <c r="M181" s="20"/>
      <c r="N181" s="23"/>
      <c r="O181" s="22"/>
      <c r="P181" s="20"/>
    </row>
    <row r="182" spans="1:16">
      <c r="A182" s="22"/>
      <c r="B182" s="20"/>
      <c r="C182" s="20"/>
      <c r="D182" s="20"/>
      <c r="E182" s="20"/>
      <c r="F182" s="22"/>
      <c r="G182" s="20"/>
      <c r="H182" s="20"/>
      <c r="I182" s="20"/>
      <c r="J182" s="20"/>
      <c r="K182" s="20"/>
      <c r="L182" s="20"/>
      <c r="M182" s="20"/>
      <c r="N182" s="23"/>
      <c r="O182" s="22"/>
      <c r="P182" s="20"/>
    </row>
    <row r="183" spans="1:16">
      <c r="A183" s="22"/>
      <c r="B183" s="20"/>
      <c r="C183" s="20"/>
      <c r="D183" s="20"/>
      <c r="E183" s="20"/>
      <c r="F183" s="22"/>
      <c r="G183" s="20"/>
      <c r="H183" s="20"/>
      <c r="I183" s="20"/>
      <c r="J183" s="20"/>
      <c r="K183" s="20"/>
      <c r="L183" s="20"/>
      <c r="M183" s="20"/>
      <c r="N183" s="23"/>
      <c r="O183" s="22"/>
      <c r="P183" s="20"/>
    </row>
    <row r="184" spans="1:16">
      <c r="A184" s="22"/>
      <c r="B184" s="20"/>
      <c r="C184" s="20"/>
      <c r="D184" s="20"/>
      <c r="E184" s="20"/>
      <c r="F184" s="22"/>
      <c r="G184" s="20"/>
      <c r="H184" s="20"/>
      <c r="I184" s="20"/>
      <c r="J184" s="20"/>
      <c r="K184" s="20"/>
      <c r="L184" s="20"/>
      <c r="M184" s="20"/>
      <c r="N184" s="23"/>
      <c r="O184" s="22"/>
      <c r="P184" s="20"/>
    </row>
    <row r="185" spans="1:16">
      <c r="A185" s="22"/>
      <c r="B185" s="20"/>
      <c r="C185" s="20"/>
      <c r="D185" s="20"/>
      <c r="E185" s="20"/>
      <c r="F185" s="22"/>
      <c r="G185" s="20"/>
      <c r="H185" s="20"/>
      <c r="I185" s="20"/>
      <c r="J185" s="20"/>
      <c r="K185" s="20"/>
      <c r="L185" s="20"/>
      <c r="M185" s="20"/>
      <c r="N185" s="23"/>
      <c r="O185" s="20"/>
      <c r="P185" s="20"/>
    </row>
    <row r="186" spans="1:16">
      <c r="A186" s="22"/>
      <c r="B186" s="20"/>
      <c r="C186" s="20"/>
      <c r="D186" s="20"/>
      <c r="E186" s="20"/>
      <c r="F186" s="29"/>
      <c r="G186" s="20"/>
      <c r="H186" s="20"/>
      <c r="I186" s="20"/>
      <c r="J186" s="20"/>
      <c r="K186" s="20"/>
      <c r="L186" s="20"/>
      <c r="M186" s="20"/>
      <c r="N186" s="23"/>
      <c r="O186" s="22"/>
      <c r="P186" s="20"/>
    </row>
    <row r="187" spans="1:16">
      <c r="A187" s="22"/>
      <c r="B187" s="20"/>
      <c r="C187" s="20"/>
      <c r="D187" s="20"/>
      <c r="E187" s="20"/>
      <c r="F187" s="29"/>
      <c r="G187" s="20"/>
      <c r="H187" s="20"/>
      <c r="I187" s="20"/>
      <c r="J187" s="20"/>
      <c r="K187" s="20"/>
      <c r="L187" s="20"/>
      <c r="M187" s="20"/>
      <c r="N187" s="23"/>
      <c r="O187" s="22"/>
      <c r="P187" s="20"/>
    </row>
    <row r="188" spans="1:16">
      <c r="A188" s="22"/>
      <c r="B188" s="20"/>
      <c r="C188" s="20"/>
      <c r="D188" s="20"/>
      <c r="E188" s="20"/>
      <c r="F188" s="29"/>
      <c r="G188" s="20"/>
      <c r="H188" s="20"/>
      <c r="I188" s="20"/>
      <c r="J188" s="20"/>
      <c r="K188" s="20"/>
      <c r="L188" s="20"/>
      <c r="M188" s="20"/>
      <c r="N188" s="23"/>
      <c r="O188" s="22"/>
      <c r="P188" s="20"/>
    </row>
    <row r="189" spans="1:16">
      <c r="A189" s="22"/>
      <c r="B189" s="20"/>
      <c r="C189" s="20"/>
      <c r="D189" s="20"/>
      <c r="E189" s="20"/>
      <c r="F189" s="29"/>
      <c r="G189" s="20"/>
      <c r="H189" s="20"/>
      <c r="I189" s="20"/>
      <c r="J189" s="20"/>
      <c r="K189" s="20"/>
      <c r="L189" s="20"/>
      <c r="M189" s="20"/>
      <c r="N189" s="23"/>
      <c r="O189" s="22"/>
      <c r="P189" s="20"/>
    </row>
    <row r="190" spans="1:16">
      <c r="A190" s="22"/>
      <c r="B190" s="20"/>
      <c r="C190" s="20"/>
      <c r="D190" s="20"/>
      <c r="E190" s="20"/>
      <c r="F190" s="29"/>
      <c r="G190" s="20"/>
      <c r="H190" s="20"/>
      <c r="I190" s="20"/>
      <c r="J190" s="20"/>
      <c r="K190" s="20"/>
      <c r="L190" s="20"/>
      <c r="M190" s="20"/>
      <c r="N190" s="23"/>
      <c r="O190" s="22"/>
      <c r="P190" s="20"/>
    </row>
    <row r="191" spans="1:16">
      <c r="A191" s="22"/>
      <c r="B191" s="20"/>
      <c r="C191" s="20"/>
      <c r="D191" s="20"/>
      <c r="E191" s="20"/>
      <c r="F191" s="29"/>
      <c r="G191" s="20"/>
      <c r="H191" s="20"/>
      <c r="I191" s="20"/>
      <c r="J191" s="20"/>
      <c r="K191" s="20"/>
      <c r="L191" s="20"/>
      <c r="M191" s="20"/>
      <c r="N191" s="23"/>
      <c r="O191" s="22"/>
      <c r="P191" s="20"/>
    </row>
    <row r="192" spans="1:16">
      <c r="A192" s="22"/>
      <c r="B192" s="20"/>
      <c r="C192" s="20"/>
      <c r="D192" s="20"/>
      <c r="E192" s="20"/>
      <c r="F192" s="29"/>
      <c r="G192" s="20"/>
      <c r="H192" s="20"/>
      <c r="I192" s="20"/>
      <c r="J192" s="20"/>
      <c r="K192" s="20"/>
      <c r="L192" s="20"/>
      <c r="M192" s="20"/>
      <c r="N192" s="23"/>
      <c r="O192" s="22"/>
      <c r="P192" s="20"/>
    </row>
    <row r="193" spans="1:16">
      <c r="A193" s="22"/>
      <c r="B193" s="20"/>
      <c r="C193" s="20"/>
      <c r="D193" s="20"/>
      <c r="E193" s="20"/>
      <c r="F193" s="29"/>
      <c r="G193" s="20"/>
      <c r="H193" s="20"/>
      <c r="I193" s="20"/>
      <c r="J193" s="20"/>
      <c r="K193" s="20"/>
      <c r="L193" s="20"/>
      <c r="M193" s="20"/>
      <c r="N193" s="23"/>
      <c r="O193" s="22"/>
      <c r="P193" s="20"/>
    </row>
    <row r="194" spans="1:16">
      <c r="A194" s="22"/>
      <c r="B194" s="20"/>
      <c r="C194" s="20"/>
      <c r="D194" s="20"/>
      <c r="E194" s="20"/>
      <c r="F194" s="29"/>
      <c r="G194" s="20"/>
      <c r="H194" s="20"/>
      <c r="I194" s="20"/>
      <c r="J194" s="20"/>
      <c r="K194" s="20"/>
      <c r="L194" s="20"/>
      <c r="M194" s="20"/>
      <c r="N194" s="23"/>
      <c r="O194" s="22"/>
      <c r="P194" s="20"/>
    </row>
    <row r="195" spans="1:16">
      <c r="A195" s="22"/>
      <c r="B195" s="20"/>
      <c r="C195" s="20"/>
      <c r="D195" s="20"/>
      <c r="E195" s="20"/>
      <c r="F195" s="29"/>
      <c r="G195" s="20"/>
      <c r="H195" s="20"/>
      <c r="I195" s="20"/>
      <c r="J195" s="20"/>
      <c r="K195" s="20"/>
      <c r="L195" s="20"/>
      <c r="M195" s="20"/>
      <c r="N195" s="23"/>
      <c r="O195" s="22"/>
      <c r="P195" s="20"/>
    </row>
    <row r="196" spans="1:16">
      <c r="A196" s="22"/>
      <c r="B196" s="20"/>
      <c r="C196" s="20"/>
      <c r="D196" s="20"/>
      <c r="E196" s="20"/>
      <c r="F196" s="29"/>
      <c r="G196" s="20"/>
      <c r="H196" s="20"/>
      <c r="I196" s="20"/>
      <c r="J196" s="20"/>
      <c r="K196" s="20"/>
      <c r="L196" s="20"/>
      <c r="M196" s="20"/>
      <c r="N196" s="23"/>
      <c r="O196" s="22"/>
      <c r="P196" s="20"/>
    </row>
    <row r="197" spans="1:16">
      <c r="A197" s="22"/>
      <c r="B197" s="20"/>
      <c r="C197" s="20"/>
      <c r="D197" s="20"/>
      <c r="E197" s="20"/>
      <c r="F197" s="29"/>
      <c r="G197" s="20"/>
      <c r="H197" s="20"/>
      <c r="I197" s="20"/>
      <c r="J197" s="20"/>
      <c r="K197" s="20"/>
      <c r="L197" s="20"/>
      <c r="M197" s="20"/>
      <c r="N197" s="23"/>
      <c r="O197" s="22"/>
      <c r="P197" s="20"/>
    </row>
    <row r="198" spans="1:16">
      <c r="A198" s="22"/>
      <c r="B198" s="20"/>
      <c r="C198" s="20"/>
      <c r="D198" s="20"/>
      <c r="E198" s="20"/>
      <c r="F198" s="29"/>
      <c r="G198" s="20"/>
      <c r="H198" s="20"/>
      <c r="I198" s="20"/>
      <c r="J198" s="20"/>
      <c r="K198" s="20"/>
      <c r="L198" s="20"/>
      <c r="M198" s="20"/>
      <c r="N198" s="23"/>
      <c r="O198" s="22"/>
      <c r="P198" s="20"/>
    </row>
    <row r="199" spans="1:16">
      <c r="A199" s="22"/>
      <c r="B199" s="20"/>
      <c r="C199" s="20"/>
      <c r="D199" s="20"/>
      <c r="E199" s="20"/>
      <c r="F199" s="29"/>
      <c r="G199" s="20"/>
      <c r="H199" s="20"/>
      <c r="I199" s="20"/>
      <c r="J199" s="20"/>
      <c r="K199" s="20"/>
      <c r="L199" s="20"/>
      <c r="M199" s="20"/>
      <c r="N199" s="23"/>
      <c r="O199" s="22"/>
      <c r="P199" s="20"/>
    </row>
    <row r="200" spans="1:16">
      <c r="A200" s="22"/>
      <c r="B200" s="20"/>
      <c r="C200" s="20"/>
      <c r="D200" s="20"/>
      <c r="E200" s="20"/>
      <c r="F200" s="29"/>
      <c r="G200" s="20"/>
      <c r="H200" s="20"/>
      <c r="I200" s="20"/>
      <c r="J200" s="20"/>
      <c r="K200" s="20"/>
      <c r="L200" s="20"/>
      <c r="M200" s="20"/>
      <c r="N200" s="23"/>
      <c r="O200" s="22"/>
      <c r="P200" s="20"/>
    </row>
    <row r="201" spans="1:16">
      <c r="A201" s="22"/>
      <c r="B201" s="20"/>
      <c r="C201" s="20"/>
      <c r="D201" s="20"/>
      <c r="E201" s="20"/>
      <c r="F201" s="29"/>
      <c r="G201" s="20"/>
      <c r="H201" s="20"/>
      <c r="I201" s="20"/>
      <c r="J201" s="20"/>
      <c r="K201" s="20"/>
      <c r="L201" s="20"/>
      <c r="M201" s="20"/>
      <c r="N201" s="23"/>
      <c r="O201" s="22"/>
      <c r="P201" s="20"/>
    </row>
    <row r="202" spans="1:16">
      <c r="A202" s="22"/>
      <c r="B202" s="20"/>
      <c r="C202" s="20"/>
      <c r="D202" s="20"/>
      <c r="E202" s="20"/>
      <c r="F202" s="29"/>
      <c r="G202" s="20"/>
      <c r="H202" s="20"/>
      <c r="I202" s="20"/>
      <c r="J202" s="20"/>
      <c r="K202" s="20"/>
      <c r="L202" s="20"/>
      <c r="M202" s="20"/>
      <c r="N202" s="23"/>
      <c r="O202" s="22"/>
      <c r="P202" s="20"/>
    </row>
    <row r="203" spans="1:16">
      <c r="A203" s="22"/>
      <c r="B203" s="20"/>
      <c r="C203" s="20"/>
      <c r="D203" s="20"/>
      <c r="E203" s="20"/>
      <c r="F203" s="29"/>
      <c r="G203" s="20"/>
      <c r="H203" s="20"/>
      <c r="I203" s="20"/>
      <c r="J203" s="20"/>
      <c r="K203" s="20"/>
      <c r="L203" s="20"/>
      <c r="M203" s="20"/>
      <c r="N203" s="23"/>
      <c r="O203" s="22"/>
      <c r="P203" s="20"/>
    </row>
    <row r="204" spans="1:16">
      <c r="A204" s="22"/>
      <c r="B204" s="20"/>
      <c r="C204" s="20"/>
      <c r="D204" s="20"/>
      <c r="E204" s="20"/>
      <c r="F204" s="29"/>
      <c r="G204" s="20"/>
      <c r="H204" s="20"/>
      <c r="I204" s="20"/>
      <c r="J204" s="20"/>
      <c r="K204" s="20"/>
      <c r="L204" s="20"/>
      <c r="M204" s="20"/>
      <c r="N204" s="23"/>
      <c r="O204" s="22"/>
      <c r="P204" s="20"/>
    </row>
    <row r="205" spans="1:16">
      <c r="A205" s="22"/>
      <c r="B205" s="20"/>
      <c r="C205" s="20"/>
      <c r="D205" s="20"/>
      <c r="E205" s="20"/>
      <c r="F205" s="29"/>
      <c r="G205" s="20"/>
      <c r="H205" s="20"/>
      <c r="I205" s="20"/>
      <c r="J205" s="20"/>
      <c r="K205" s="20"/>
      <c r="L205" s="20"/>
      <c r="M205" s="20"/>
      <c r="N205" s="23"/>
      <c r="O205" s="22"/>
      <c r="P205" s="20"/>
    </row>
    <row r="206" spans="1:16">
      <c r="A206" s="22"/>
      <c r="B206" s="20"/>
      <c r="C206" s="20"/>
      <c r="D206" s="20"/>
      <c r="E206" s="20"/>
      <c r="F206" s="29"/>
      <c r="G206" s="20"/>
      <c r="H206" s="20"/>
      <c r="I206" s="20"/>
      <c r="J206" s="20"/>
      <c r="K206" s="20"/>
      <c r="L206" s="20"/>
      <c r="M206" s="20"/>
      <c r="N206" s="23"/>
      <c r="O206" s="22"/>
      <c r="P206" s="20"/>
    </row>
    <row r="207" spans="1:16">
      <c r="A207" s="22"/>
      <c r="B207" s="20"/>
      <c r="C207" s="20"/>
      <c r="D207" s="20"/>
      <c r="E207" s="20"/>
      <c r="F207" s="29"/>
      <c r="G207" s="20"/>
      <c r="H207" s="20"/>
      <c r="I207" s="20"/>
      <c r="J207" s="20"/>
      <c r="K207" s="20"/>
      <c r="L207" s="20"/>
      <c r="M207" s="20"/>
      <c r="N207" s="23"/>
      <c r="O207" s="22"/>
      <c r="P207" s="20"/>
    </row>
    <row r="208" spans="1:16">
      <c r="A208" s="22"/>
      <c r="B208" s="20"/>
      <c r="C208" s="20"/>
      <c r="D208" s="20"/>
      <c r="E208" s="20"/>
      <c r="F208" s="29"/>
      <c r="G208" s="20"/>
      <c r="H208" s="20"/>
      <c r="I208" s="20"/>
      <c r="J208" s="20"/>
      <c r="K208" s="20"/>
      <c r="L208" s="20"/>
      <c r="M208" s="20"/>
      <c r="N208" s="23"/>
      <c r="O208" s="22"/>
      <c r="P208" s="20"/>
    </row>
    <row r="209" spans="1:16">
      <c r="A209" s="22"/>
      <c r="B209" s="20"/>
      <c r="C209" s="20"/>
      <c r="D209" s="20"/>
      <c r="E209" s="20"/>
      <c r="F209" s="29"/>
      <c r="G209" s="20"/>
      <c r="H209" s="20"/>
      <c r="I209" s="20"/>
      <c r="J209" s="20"/>
      <c r="K209" s="20"/>
      <c r="L209" s="20"/>
      <c r="M209" s="20"/>
      <c r="N209" s="23"/>
      <c r="O209" s="22"/>
      <c r="P209" s="20"/>
    </row>
    <row r="210" spans="1:16">
      <c r="A210" s="22"/>
      <c r="B210" s="20"/>
      <c r="C210" s="20"/>
      <c r="D210" s="20"/>
      <c r="E210" s="20"/>
      <c r="F210" s="29"/>
      <c r="G210" s="20"/>
      <c r="H210" s="20"/>
      <c r="I210" s="20"/>
      <c r="J210" s="20"/>
      <c r="K210" s="20"/>
      <c r="L210" s="20"/>
      <c r="M210" s="20"/>
      <c r="N210" s="23"/>
      <c r="O210" s="22"/>
      <c r="P210" s="20"/>
    </row>
    <row r="211" spans="1:16">
      <c r="A211" s="22"/>
      <c r="B211" s="20"/>
      <c r="C211" s="20"/>
      <c r="D211" s="20"/>
      <c r="E211" s="20"/>
      <c r="F211" s="29"/>
      <c r="G211" s="20"/>
      <c r="H211" s="20"/>
      <c r="I211" s="20"/>
      <c r="J211" s="20"/>
      <c r="K211" s="20"/>
      <c r="L211" s="20"/>
      <c r="M211" s="20"/>
      <c r="N211" s="23"/>
      <c r="O211" s="22"/>
      <c r="P211" s="20"/>
    </row>
    <row r="212" spans="1:16">
      <c r="A212" s="22"/>
      <c r="B212" s="20"/>
      <c r="C212" s="20"/>
      <c r="D212" s="20"/>
      <c r="E212" s="20"/>
      <c r="F212" s="29"/>
      <c r="G212" s="20"/>
      <c r="H212" s="20"/>
      <c r="I212" s="20"/>
      <c r="J212" s="20"/>
      <c r="K212" s="20"/>
      <c r="L212" s="20"/>
      <c r="M212" s="20"/>
      <c r="N212" s="23"/>
      <c r="O212" s="22"/>
      <c r="P212" s="20"/>
    </row>
    <row r="213" spans="1:16">
      <c r="A213" s="22"/>
      <c r="B213" s="20"/>
      <c r="C213" s="20"/>
      <c r="D213" s="20"/>
      <c r="E213" s="20"/>
      <c r="F213" s="29"/>
      <c r="G213" s="20"/>
      <c r="H213" s="20"/>
      <c r="I213" s="20"/>
      <c r="J213" s="20"/>
      <c r="K213" s="20"/>
      <c r="L213" s="20"/>
      <c r="M213" s="20"/>
      <c r="N213" s="23"/>
      <c r="O213" s="22"/>
      <c r="P213" s="20"/>
    </row>
    <row r="214" spans="1:16">
      <c r="A214" s="22"/>
      <c r="B214" s="20"/>
      <c r="C214" s="20"/>
      <c r="D214" s="20"/>
      <c r="E214" s="20"/>
      <c r="F214" s="29"/>
      <c r="G214" s="20"/>
      <c r="H214" s="20"/>
      <c r="I214" s="20"/>
      <c r="J214" s="20"/>
      <c r="K214" s="20"/>
      <c r="L214" s="20"/>
      <c r="M214" s="20"/>
      <c r="N214" s="23"/>
      <c r="O214" s="22"/>
      <c r="P214" s="20"/>
    </row>
    <row r="215" spans="1:16">
      <c r="A215" s="22"/>
      <c r="B215" s="20"/>
      <c r="C215" s="20"/>
      <c r="D215" s="20"/>
      <c r="E215" s="20"/>
      <c r="F215" s="29"/>
      <c r="G215" s="20"/>
      <c r="H215" s="20"/>
      <c r="I215" s="20"/>
      <c r="J215" s="20"/>
      <c r="K215" s="20"/>
      <c r="L215" s="20"/>
      <c r="M215" s="20"/>
      <c r="N215" s="23"/>
      <c r="O215" s="22"/>
      <c r="P215" s="20"/>
    </row>
    <row r="216" spans="1:16">
      <c r="A216" s="22"/>
      <c r="B216" s="20"/>
      <c r="C216" s="20"/>
      <c r="D216" s="20"/>
      <c r="E216" s="20"/>
      <c r="F216" s="29"/>
      <c r="G216" s="20"/>
      <c r="H216" s="20"/>
      <c r="I216" s="20"/>
      <c r="J216" s="20"/>
      <c r="K216" s="20"/>
      <c r="L216" s="20"/>
      <c r="M216" s="20"/>
      <c r="N216" s="23"/>
      <c r="O216" s="22"/>
      <c r="P216" s="20"/>
    </row>
    <row r="217" spans="1:16">
      <c r="A217" s="22"/>
      <c r="B217" s="20"/>
      <c r="C217" s="20"/>
      <c r="D217" s="20"/>
      <c r="E217" s="20"/>
      <c r="F217" s="29"/>
      <c r="G217" s="20"/>
      <c r="H217" s="20"/>
      <c r="I217" s="20"/>
      <c r="J217" s="20"/>
      <c r="K217" s="20"/>
      <c r="L217" s="20"/>
      <c r="M217" s="20"/>
      <c r="N217" s="23"/>
      <c r="O217" s="22"/>
      <c r="P217" s="20"/>
    </row>
    <row r="218" spans="1:16">
      <c r="A218" s="22"/>
      <c r="B218" s="20"/>
      <c r="C218" s="20"/>
      <c r="D218" s="20"/>
      <c r="E218" s="20"/>
      <c r="F218" s="29"/>
      <c r="G218" s="20"/>
      <c r="H218" s="20"/>
      <c r="I218" s="20"/>
      <c r="J218" s="20"/>
      <c r="K218" s="20"/>
      <c r="L218" s="20"/>
      <c r="M218" s="20"/>
      <c r="N218" s="23"/>
      <c r="O218" s="22"/>
      <c r="P218" s="20"/>
    </row>
    <row r="219" spans="1:16">
      <c r="A219" s="22"/>
      <c r="B219" s="20"/>
      <c r="C219" s="20"/>
      <c r="D219" s="20"/>
      <c r="E219" s="20"/>
      <c r="F219" s="29"/>
      <c r="G219" s="20"/>
      <c r="H219" s="20"/>
      <c r="I219" s="20"/>
      <c r="J219" s="20"/>
      <c r="K219" s="20"/>
      <c r="L219" s="20"/>
      <c r="M219" s="20"/>
      <c r="N219" s="23"/>
      <c r="O219" s="22"/>
      <c r="P219" s="20"/>
    </row>
    <row r="220" spans="1:16">
      <c r="A220" s="22"/>
      <c r="B220" s="20"/>
      <c r="C220" s="20"/>
      <c r="D220" s="20"/>
      <c r="E220" s="20"/>
      <c r="F220" s="29"/>
      <c r="G220" s="20"/>
      <c r="H220" s="20"/>
      <c r="I220" s="20"/>
      <c r="J220" s="20"/>
      <c r="K220" s="20"/>
      <c r="L220" s="20"/>
      <c r="M220" s="20"/>
      <c r="N220" s="23"/>
      <c r="O220" s="22"/>
      <c r="P220" s="20"/>
    </row>
    <row r="221" spans="1:16">
      <c r="A221" s="22"/>
      <c r="B221" s="20"/>
      <c r="C221" s="20"/>
      <c r="D221" s="20"/>
      <c r="E221" s="20"/>
      <c r="F221" s="29"/>
      <c r="G221" s="20"/>
      <c r="H221" s="20"/>
      <c r="I221" s="20"/>
      <c r="J221" s="20"/>
      <c r="K221" s="20"/>
      <c r="L221" s="20"/>
      <c r="M221" s="20"/>
      <c r="N221" s="23"/>
      <c r="O221" s="22"/>
      <c r="P221" s="20"/>
    </row>
    <row r="222" spans="1:16">
      <c r="A222" s="22"/>
      <c r="B222" s="20"/>
      <c r="C222" s="20"/>
      <c r="D222" s="20"/>
      <c r="E222" s="20"/>
      <c r="F222" s="29"/>
      <c r="G222" s="20"/>
      <c r="H222" s="20"/>
      <c r="I222" s="20"/>
      <c r="J222" s="20"/>
      <c r="K222" s="20"/>
      <c r="L222" s="20"/>
      <c r="M222" s="20"/>
      <c r="N222" s="23"/>
      <c r="O222" s="22"/>
      <c r="P222" s="20"/>
    </row>
    <row r="223" spans="1:16">
      <c r="A223" s="22"/>
      <c r="B223" s="20"/>
      <c r="C223" s="20"/>
      <c r="D223" s="20"/>
      <c r="E223" s="20"/>
      <c r="F223" s="29"/>
      <c r="G223" s="20"/>
      <c r="H223" s="20"/>
      <c r="I223" s="20"/>
      <c r="J223" s="20"/>
      <c r="K223" s="20"/>
      <c r="L223" s="20"/>
      <c r="M223" s="20"/>
      <c r="N223" s="23"/>
      <c r="O223" s="22"/>
      <c r="P223" s="20"/>
    </row>
    <row r="224" spans="1:16">
      <c r="A224" s="22"/>
      <c r="B224" s="20"/>
      <c r="C224" s="20"/>
      <c r="D224" s="20"/>
      <c r="E224" s="20"/>
      <c r="F224" s="29"/>
      <c r="G224" s="20"/>
      <c r="H224" s="20"/>
      <c r="I224" s="20"/>
      <c r="J224" s="20"/>
      <c r="K224" s="20"/>
      <c r="L224" s="20"/>
      <c r="M224" s="20"/>
      <c r="N224" s="23"/>
      <c r="O224" s="22"/>
      <c r="P224" s="20"/>
    </row>
    <row r="225" spans="1:16">
      <c r="A225" s="22"/>
      <c r="B225" s="20"/>
      <c r="C225" s="20"/>
      <c r="D225" s="20"/>
      <c r="E225" s="20"/>
      <c r="F225" s="29"/>
      <c r="G225" s="20"/>
      <c r="H225" s="20"/>
      <c r="I225" s="20"/>
      <c r="J225" s="20"/>
      <c r="K225" s="20"/>
      <c r="L225" s="20"/>
      <c r="M225" s="20"/>
      <c r="N225" s="23"/>
      <c r="O225" s="22"/>
      <c r="P225" s="20"/>
    </row>
    <row r="226" spans="1:16">
      <c r="A226" s="22"/>
      <c r="B226" s="20"/>
      <c r="C226" s="20"/>
      <c r="D226" s="20"/>
      <c r="E226" s="20"/>
      <c r="F226" s="29"/>
      <c r="G226" s="20"/>
      <c r="H226" s="20"/>
      <c r="I226" s="20"/>
      <c r="J226" s="20"/>
      <c r="K226" s="20"/>
      <c r="L226" s="20"/>
      <c r="M226" s="20"/>
      <c r="N226" s="23"/>
      <c r="O226" s="22"/>
      <c r="P226" s="20"/>
    </row>
    <row r="227" spans="1:16">
      <c r="A227" s="22"/>
      <c r="B227" s="20"/>
      <c r="C227" s="20"/>
      <c r="D227" s="20"/>
      <c r="E227" s="20"/>
      <c r="F227" s="29"/>
      <c r="G227" s="20"/>
      <c r="H227" s="20"/>
      <c r="I227" s="20"/>
      <c r="J227" s="20"/>
      <c r="K227" s="20"/>
      <c r="L227" s="20"/>
      <c r="M227" s="20"/>
      <c r="N227" s="23"/>
      <c r="O227" s="22"/>
      <c r="P227" s="20"/>
    </row>
    <row r="228" spans="1:16">
      <c r="A228" s="22"/>
      <c r="B228" s="20"/>
      <c r="C228" s="20"/>
      <c r="D228" s="20"/>
      <c r="E228" s="20"/>
      <c r="F228" s="29"/>
      <c r="G228" s="20"/>
      <c r="H228" s="20"/>
      <c r="I228" s="20"/>
      <c r="J228" s="20"/>
      <c r="K228" s="20"/>
      <c r="L228" s="20"/>
      <c r="M228" s="20"/>
      <c r="N228" s="23"/>
      <c r="O228" s="22"/>
      <c r="P228" s="20"/>
    </row>
    <row r="229" spans="1:16">
      <c r="A229" s="22"/>
      <c r="B229" s="20"/>
      <c r="C229" s="20"/>
      <c r="D229" s="20"/>
      <c r="E229" s="20"/>
      <c r="F229" s="29"/>
      <c r="G229" s="20"/>
      <c r="H229" s="20"/>
      <c r="I229" s="20"/>
      <c r="J229" s="20"/>
      <c r="K229" s="20"/>
      <c r="L229" s="20"/>
      <c r="M229" s="20"/>
      <c r="N229" s="23"/>
      <c r="O229" s="22"/>
      <c r="P229" s="20"/>
    </row>
    <row r="230" spans="1:16">
      <c r="A230" s="22"/>
      <c r="B230" s="20"/>
      <c r="C230" s="20"/>
      <c r="D230" s="20"/>
      <c r="E230" s="20"/>
      <c r="F230" s="29"/>
      <c r="G230" s="20"/>
      <c r="H230" s="20"/>
      <c r="I230" s="20"/>
      <c r="J230" s="20"/>
      <c r="K230" s="20"/>
      <c r="L230" s="20"/>
      <c r="M230" s="20"/>
      <c r="N230" s="23"/>
      <c r="O230" s="22"/>
      <c r="P230" s="20"/>
    </row>
    <row r="231" spans="1:16">
      <c r="A231" s="22"/>
      <c r="B231" s="20"/>
      <c r="C231" s="20"/>
      <c r="D231" s="20"/>
      <c r="E231" s="20"/>
      <c r="F231" s="29"/>
      <c r="G231" s="20"/>
      <c r="H231" s="20"/>
      <c r="I231" s="20"/>
      <c r="J231" s="20"/>
      <c r="K231" s="20"/>
      <c r="L231" s="20"/>
      <c r="M231" s="20"/>
      <c r="N231" s="23"/>
      <c r="O231" s="22"/>
      <c r="P231" s="20"/>
    </row>
    <row r="232" spans="1:16">
      <c r="A232" s="22"/>
      <c r="B232" s="20"/>
      <c r="C232" s="20"/>
      <c r="D232" s="20"/>
      <c r="E232" s="20"/>
      <c r="F232" s="29"/>
      <c r="G232" s="20"/>
      <c r="H232" s="20"/>
      <c r="I232" s="20"/>
      <c r="J232" s="20"/>
      <c r="K232" s="20"/>
      <c r="L232" s="20"/>
      <c r="M232" s="20"/>
      <c r="N232" s="23"/>
      <c r="O232" s="20"/>
      <c r="P232" s="20"/>
    </row>
    <row r="233" spans="1:16">
      <c r="A233" s="22"/>
      <c r="B233" s="20"/>
      <c r="C233" s="20"/>
      <c r="D233" s="20"/>
      <c r="E233" s="20"/>
      <c r="F233" s="29"/>
      <c r="G233" s="20"/>
      <c r="H233" s="20"/>
      <c r="I233" s="20"/>
      <c r="J233" s="20"/>
      <c r="K233" s="20"/>
      <c r="L233" s="20"/>
      <c r="M233" s="20"/>
      <c r="N233" s="23"/>
      <c r="O233" s="22"/>
      <c r="P233" s="20"/>
    </row>
    <row r="234" spans="1:16">
      <c r="A234" s="22"/>
      <c r="B234" s="20"/>
      <c r="C234" s="20"/>
      <c r="D234" s="20"/>
      <c r="E234" s="20"/>
      <c r="F234" s="29"/>
      <c r="G234" s="20"/>
      <c r="H234" s="20"/>
      <c r="I234" s="20"/>
      <c r="J234" s="20"/>
      <c r="K234" s="20"/>
      <c r="L234" s="20"/>
      <c r="M234" s="20"/>
      <c r="N234" s="23"/>
      <c r="O234" s="22"/>
      <c r="P234" s="20"/>
    </row>
    <row r="235" spans="1:16">
      <c r="A235" s="22"/>
      <c r="B235" s="20"/>
      <c r="C235" s="20"/>
      <c r="D235" s="20"/>
      <c r="E235" s="20"/>
      <c r="F235" s="29"/>
      <c r="G235" s="20"/>
      <c r="H235" s="20"/>
      <c r="I235" s="20"/>
      <c r="J235" s="20"/>
      <c r="K235" s="20"/>
      <c r="L235" s="20"/>
      <c r="M235" s="20"/>
      <c r="N235" s="23"/>
      <c r="O235" s="22"/>
      <c r="P235" s="20"/>
    </row>
    <row r="236" spans="1:16">
      <c r="A236" s="22"/>
      <c r="B236" s="20"/>
      <c r="C236" s="20"/>
      <c r="D236" s="20"/>
      <c r="E236" s="20"/>
      <c r="F236" s="29"/>
      <c r="G236" s="20"/>
      <c r="H236" s="20"/>
      <c r="I236" s="20"/>
      <c r="J236" s="20"/>
      <c r="K236" s="20"/>
      <c r="L236" s="20"/>
      <c r="M236" s="20"/>
      <c r="N236" s="23"/>
      <c r="O236" s="22"/>
      <c r="P236" s="20"/>
    </row>
    <row r="237" spans="1:16">
      <c r="A237" s="22"/>
      <c r="B237" s="20"/>
      <c r="C237" s="20"/>
      <c r="D237" s="20"/>
      <c r="E237" s="20"/>
      <c r="F237" s="29"/>
      <c r="G237" s="20"/>
      <c r="H237" s="20"/>
      <c r="I237" s="20"/>
      <c r="J237" s="20"/>
      <c r="K237" s="20"/>
      <c r="L237" s="20"/>
      <c r="M237" s="20"/>
      <c r="N237" s="23"/>
      <c r="O237" s="22"/>
      <c r="P237" s="20"/>
    </row>
    <row r="238" spans="1:16">
      <c r="A238" s="22"/>
      <c r="B238" s="20"/>
      <c r="C238" s="20"/>
      <c r="D238" s="20"/>
      <c r="E238" s="20"/>
      <c r="F238" s="29"/>
      <c r="G238" s="20"/>
      <c r="H238" s="20"/>
      <c r="I238" s="20"/>
      <c r="J238" s="20"/>
      <c r="K238" s="20"/>
      <c r="L238" s="20"/>
      <c r="M238" s="20"/>
      <c r="N238" s="23"/>
      <c r="O238" s="22"/>
      <c r="P238" s="20"/>
    </row>
    <row r="239" spans="1:16">
      <c r="A239" s="22"/>
      <c r="B239" s="20"/>
      <c r="C239" s="20"/>
      <c r="D239" s="20"/>
      <c r="E239" s="20"/>
      <c r="F239" s="29"/>
      <c r="G239" s="20"/>
      <c r="H239" s="20"/>
      <c r="I239" s="20"/>
      <c r="J239" s="20"/>
      <c r="K239" s="20"/>
      <c r="L239" s="20"/>
      <c r="M239" s="20"/>
      <c r="N239" s="23"/>
      <c r="O239" s="22"/>
      <c r="P239" s="20"/>
    </row>
    <row r="240" spans="1:16">
      <c r="A240" s="22"/>
      <c r="B240" s="20"/>
      <c r="C240" s="20"/>
      <c r="D240" s="20"/>
      <c r="E240" s="20"/>
      <c r="F240" s="29"/>
      <c r="G240" s="20"/>
      <c r="H240" s="20"/>
      <c r="I240" s="20"/>
      <c r="J240" s="20"/>
      <c r="K240" s="20"/>
      <c r="L240" s="20"/>
      <c r="M240" s="20"/>
      <c r="N240" s="23"/>
      <c r="O240" s="22"/>
      <c r="P240" s="20"/>
    </row>
    <row r="241" spans="1:16">
      <c r="A241" s="22"/>
      <c r="B241" s="20"/>
      <c r="C241" s="20"/>
      <c r="D241" s="20"/>
      <c r="E241" s="20"/>
      <c r="F241" s="29"/>
      <c r="G241" s="20"/>
      <c r="H241" s="20"/>
      <c r="I241" s="20"/>
      <c r="J241" s="20"/>
      <c r="K241" s="20"/>
      <c r="L241" s="20"/>
      <c r="M241" s="20"/>
      <c r="N241" s="23"/>
      <c r="O241" s="22"/>
      <c r="P241" s="20"/>
    </row>
    <row r="242" spans="1:16">
      <c r="A242" s="22"/>
      <c r="B242" s="20"/>
      <c r="C242" s="20"/>
      <c r="D242" s="20"/>
      <c r="E242" s="20"/>
      <c r="F242" s="29"/>
      <c r="G242" s="20"/>
      <c r="H242" s="20"/>
      <c r="I242" s="20"/>
      <c r="J242" s="20"/>
      <c r="K242" s="20"/>
      <c r="L242" s="20"/>
      <c r="M242" s="20"/>
      <c r="N242" s="23"/>
      <c r="O242" s="22"/>
      <c r="P242" s="20"/>
    </row>
    <row r="243" spans="1:16">
      <c r="A243" s="22"/>
      <c r="B243" s="20"/>
      <c r="C243" s="20"/>
      <c r="D243" s="20"/>
      <c r="E243" s="20"/>
      <c r="F243" s="29"/>
      <c r="G243" s="20"/>
      <c r="H243" s="20"/>
      <c r="I243" s="20"/>
      <c r="J243" s="20"/>
      <c r="K243" s="20"/>
      <c r="L243" s="20"/>
      <c r="M243" s="20"/>
      <c r="N243" s="23"/>
      <c r="O243" s="22"/>
      <c r="P243" s="20"/>
    </row>
    <row r="244" spans="1:16">
      <c r="A244" s="22"/>
      <c r="B244" s="20"/>
      <c r="C244" s="20"/>
      <c r="D244" s="20"/>
      <c r="E244" s="20"/>
      <c r="F244" s="29"/>
      <c r="G244" s="20"/>
      <c r="H244" s="20"/>
      <c r="I244" s="20"/>
      <c r="J244" s="20"/>
      <c r="K244" s="20"/>
      <c r="L244" s="20"/>
      <c r="M244" s="20"/>
      <c r="N244" s="23"/>
      <c r="O244" s="22"/>
      <c r="P244" s="20"/>
    </row>
    <row r="245" spans="1:16">
      <c r="A245" s="22"/>
      <c r="B245" s="20"/>
      <c r="C245" s="20"/>
      <c r="D245" s="20"/>
      <c r="E245" s="20"/>
      <c r="F245" s="29"/>
      <c r="G245" s="20"/>
      <c r="H245" s="20"/>
      <c r="I245" s="20"/>
      <c r="J245" s="20"/>
      <c r="K245" s="20"/>
      <c r="L245" s="20"/>
      <c r="M245" s="20"/>
      <c r="N245" s="23"/>
      <c r="O245" s="22"/>
      <c r="P245" s="20"/>
    </row>
    <row r="246" spans="1:16">
      <c r="A246" s="22"/>
      <c r="B246" s="20"/>
      <c r="C246" s="20"/>
      <c r="D246" s="20"/>
      <c r="E246" s="20"/>
      <c r="F246" s="29"/>
      <c r="G246" s="20"/>
      <c r="H246" s="20"/>
      <c r="I246" s="20"/>
      <c r="J246" s="20"/>
      <c r="K246" s="20"/>
      <c r="L246" s="20"/>
      <c r="M246" s="20"/>
      <c r="N246" s="23"/>
      <c r="O246" s="22"/>
      <c r="P246" s="20"/>
    </row>
    <row r="247" spans="1:16">
      <c r="A247" s="22"/>
      <c r="B247" s="20"/>
      <c r="C247" s="20"/>
      <c r="D247" s="20"/>
      <c r="E247" s="20"/>
      <c r="F247" s="29"/>
      <c r="G247" s="20"/>
      <c r="H247" s="20"/>
      <c r="I247" s="20"/>
      <c r="J247" s="20"/>
      <c r="K247" s="20"/>
      <c r="L247" s="20"/>
      <c r="M247" s="20"/>
      <c r="N247" s="23"/>
      <c r="O247" s="22"/>
      <c r="P247" s="20"/>
    </row>
    <row r="248" spans="1:16">
      <c r="A248" s="22"/>
      <c r="B248" s="20"/>
      <c r="C248" s="20"/>
      <c r="D248" s="20"/>
      <c r="E248" s="20"/>
      <c r="F248" s="29"/>
      <c r="G248" s="20"/>
      <c r="H248" s="20"/>
      <c r="I248" s="20"/>
      <c r="J248" s="20"/>
      <c r="K248" s="20"/>
      <c r="L248" s="20"/>
      <c r="M248" s="20"/>
      <c r="N248" s="23"/>
      <c r="O248" s="22"/>
      <c r="P248" s="20"/>
    </row>
    <row r="249" spans="1:16">
      <c r="A249" s="22"/>
      <c r="B249" s="20"/>
      <c r="C249" s="20"/>
      <c r="D249" s="20"/>
      <c r="E249" s="20"/>
      <c r="F249" s="29"/>
      <c r="G249" s="20"/>
      <c r="H249" s="20"/>
      <c r="I249" s="20"/>
      <c r="J249" s="20"/>
      <c r="K249" s="20"/>
      <c r="L249" s="20"/>
      <c r="M249" s="20"/>
      <c r="N249" s="23"/>
      <c r="O249" s="22"/>
      <c r="P249" s="20"/>
    </row>
    <row r="250" spans="1:16">
      <c r="A250" s="22"/>
      <c r="B250" s="20"/>
      <c r="C250" s="20"/>
      <c r="D250" s="20"/>
      <c r="E250" s="20"/>
      <c r="F250" s="29"/>
      <c r="G250" s="20"/>
      <c r="H250" s="20"/>
      <c r="I250" s="20"/>
      <c r="J250" s="20"/>
      <c r="K250" s="20"/>
      <c r="L250" s="20"/>
      <c r="M250" s="20"/>
      <c r="N250" s="23"/>
      <c r="O250" s="22"/>
      <c r="P250" s="20"/>
    </row>
    <row r="251" spans="1:16">
      <c r="A251" s="22"/>
      <c r="B251" s="20"/>
      <c r="C251" s="20"/>
      <c r="D251" s="20"/>
      <c r="E251" s="20"/>
      <c r="F251" s="29"/>
      <c r="G251" s="20"/>
      <c r="H251" s="20"/>
      <c r="I251" s="20"/>
      <c r="J251" s="20"/>
      <c r="K251" s="20"/>
      <c r="L251" s="20"/>
      <c r="M251" s="20"/>
      <c r="N251" s="23"/>
      <c r="O251" s="22"/>
      <c r="P251" s="20"/>
    </row>
    <row r="252" spans="1:16">
      <c r="A252" s="22"/>
      <c r="B252" s="20"/>
      <c r="C252" s="20"/>
      <c r="D252" s="20"/>
      <c r="E252" s="20"/>
      <c r="F252" s="29"/>
      <c r="G252" s="20"/>
      <c r="H252" s="20"/>
      <c r="I252" s="20"/>
      <c r="J252" s="20"/>
      <c r="K252" s="20"/>
      <c r="L252" s="20"/>
      <c r="M252" s="20"/>
      <c r="N252" s="23"/>
      <c r="O252" s="22"/>
      <c r="P252" s="20"/>
    </row>
    <row r="253" spans="1:16">
      <c r="A253" s="22"/>
      <c r="B253" s="20"/>
      <c r="C253" s="20"/>
      <c r="D253" s="20"/>
      <c r="E253" s="20"/>
      <c r="F253" s="29"/>
      <c r="G253" s="20"/>
      <c r="H253" s="20"/>
      <c r="I253" s="20"/>
      <c r="J253" s="20"/>
      <c r="K253" s="20"/>
      <c r="L253" s="20"/>
      <c r="M253" s="20"/>
      <c r="N253" s="23"/>
      <c r="O253" s="22"/>
      <c r="P253" s="20"/>
    </row>
    <row r="254" spans="1:16">
      <c r="A254" s="22"/>
      <c r="B254" s="20"/>
      <c r="C254" s="20"/>
      <c r="D254" s="20"/>
      <c r="E254" s="20"/>
      <c r="F254" s="29"/>
      <c r="G254" s="20"/>
      <c r="H254" s="20"/>
      <c r="I254" s="20"/>
      <c r="J254" s="20"/>
      <c r="K254" s="20"/>
      <c r="L254" s="20"/>
      <c r="M254" s="20"/>
      <c r="N254" s="23"/>
      <c r="O254" s="22"/>
      <c r="P254" s="20"/>
    </row>
    <row r="255" spans="1:16">
      <c r="A255" s="22"/>
      <c r="B255" s="20"/>
      <c r="C255" s="20"/>
      <c r="D255" s="20"/>
      <c r="E255" s="20"/>
      <c r="F255" s="29"/>
      <c r="G255" s="20"/>
      <c r="H255" s="20"/>
      <c r="I255" s="20"/>
      <c r="J255" s="20"/>
      <c r="K255" s="20"/>
      <c r="L255" s="20"/>
      <c r="M255" s="20"/>
      <c r="N255" s="23"/>
      <c r="O255" s="22"/>
      <c r="P255" s="20"/>
    </row>
    <row r="256" spans="1:16">
      <c r="A256" s="22"/>
      <c r="B256" s="20"/>
      <c r="C256" s="20"/>
      <c r="D256" s="20"/>
      <c r="E256" s="20"/>
      <c r="F256" s="22"/>
      <c r="G256" s="20"/>
      <c r="H256" s="20"/>
      <c r="I256" s="20"/>
      <c r="J256" s="20"/>
      <c r="K256" s="20"/>
      <c r="L256" s="20"/>
      <c r="M256" s="20"/>
      <c r="N256" s="23"/>
      <c r="O256" s="22"/>
      <c r="P256" s="20"/>
    </row>
    <row r="257" spans="1:16">
      <c r="A257" s="22"/>
      <c r="B257" s="20"/>
      <c r="C257" s="20"/>
      <c r="D257" s="20"/>
      <c r="E257" s="20"/>
      <c r="F257" s="22"/>
      <c r="G257" s="20"/>
      <c r="H257" s="20"/>
      <c r="I257" s="20"/>
      <c r="J257" s="20"/>
      <c r="K257" s="20"/>
      <c r="L257" s="20"/>
      <c r="M257" s="20"/>
      <c r="N257" s="23"/>
      <c r="O257" s="22"/>
      <c r="P257" s="20"/>
    </row>
    <row r="258" spans="1:16">
      <c r="A258" s="22"/>
      <c r="B258" s="20"/>
      <c r="C258" s="20"/>
      <c r="D258" s="20"/>
      <c r="E258" s="20"/>
      <c r="F258" s="22"/>
      <c r="G258" s="20"/>
      <c r="H258" s="20"/>
      <c r="I258" s="20"/>
      <c r="J258" s="20"/>
      <c r="K258" s="20"/>
      <c r="L258" s="20"/>
      <c r="M258" s="20"/>
      <c r="N258" s="23"/>
      <c r="O258" s="22"/>
      <c r="P258" s="20"/>
    </row>
    <row r="259" spans="1:16">
      <c r="A259" s="22"/>
      <c r="B259" s="20"/>
      <c r="C259" s="20"/>
      <c r="D259" s="20"/>
      <c r="E259" s="20"/>
      <c r="F259" s="22"/>
      <c r="G259" s="20"/>
      <c r="H259" s="20"/>
      <c r="I259" s="20"/>
      <c r="J259" s="20"/>
      <c r="K259" s="20"/>
      <c r="L259" s="20"/>
      <c r="M259" s="20"/>
      <c r="N259" s="23"/>
      <c r="O259" s="22"/>
      <c r="P259" s="20"/>
    </row>
    <row r="260" spans="1:16">
      <c r="A260" s="22"/>
      <c r="B260" s="20"/>
      <c r="C260" s="20"/>
      <c r="D260" s="20"/>
      <c r="E260" s="20"/>
      <c r="F260" s="22"/>
      <c r="G260" s="20"/>
      <c r="H260" s="20"/>
      <c r="I260" s="20"/>
      <c r="J260" s="20"/>
      <c r="K260" s="20"/>
      <c r="L260" s="20"/>
      <c r="M260" s="20"/>
      <c r="N260" s="23"/>
      <c r="O260" s="22"/>
      <c r="P260" s="20"/>
    </row>
    <row r="261" spans="1:16">
      <c r="A261" s="22"/>
      <c r="B261" s="20"/>
      <c r="C261" s="20"/>
      <c r="D261" s="20"/>
      <c r="E261" s="20"/>
      <c r="F261" s="22"/>
      <c r="G261" s="20"/>
      <c r="H261" s="20"/>
      <c r="I261" s="20"/>
      <c r="J261" s="20"/>
      <c r="K261" s="20"/>
      <c r="L261" s="20"/>
      <c r="M261" s="20"/>
      <c r="N261" s="23"/>
      <c r="O261" s="22"/>
      <c r="P261" s="20"/>
    </row>
    <row r="262" spans="1:16">
      <c r="A262" s="22"/>
      <c r="B262" s="20"/>
      <c r="C262" s="20"/>
      <c r="D262" s="20"/>
      <c r="E262" s="20"/>
      <c r="F262" s="22"/>
      <c r="G262" s="20"/>
      <c r="H262" s="20"/>
      <c r="I262" s="20"/>
      <c r="J262" s="20"/>
      <c r="K262" s="20"/>
      <c r="L262" s="20"/>
      <c r="M262" s="20"/>
      <c r="N262" s="23"/>
      <c r="O262" s="22"/>
      <c r="P262" s="20"/>
    </row>
    <row r="263" spans="1:16">
      <c r="A263" s="22"/>
      <c r="B263" s="20"/>
      <c r="C263" s="20"/>
      <c r="D263" s="20"/>
      <c r="E263" s="20"/>
      <c r="F263" s="22"/>
      <c r="G263" s="20"/>
      <c r="H263" s="20"/>
      <c r="I263" s="20"/>
      <c r="J263" s="20"/>
      <c r="K263" s="20"/>
      <c r="L263" s="20"/>
      <c r="M263" s="20"/>
      <c r="N263" s="23"/>
      <c r="O263" s="22"/>
      <c r="P263" s="20"/>
    </row>
    <row r="264" spans="1:16">
      <c r="A264" s="22"/>
      <c r="B264" s="20"/>
      <c r="C264" s="20"/>
      <c r="D264" s="20"/>
      <c r="E264" s="20"/>
      <c r="F264" s="22"/>
      <c r="G264" s="20"/>
      <c r="H264" s="20"/>
      <c r="I264" s="20"/>
      <c r="J264" s="20"/>
      <c r="K264" s="20"/>
      <c r="L264" s="20"/>
      <c r="M264" s="20"/>
      <c r="N264" s="23"/>
      <c r="O264" s="22"/>
      <c r="P264" s="20"/>
    </row>
    <row r="265" spans="1:16">
      <c r="A265" s="22"/>
      <c r="B265" s="20"/>
      <c r="C265" s="20"/>
      <c r="D265" s="20"/>
      <c r="E265" s="20"/>
      <c r="F265" s="22"/>
      <c r="G265" s="20"/>
      <c r="H265" s="20"/>
      <c r="I265" s="20"/>
      <c r="J265" s="20"/>
      <c r="K265" s="20"/>
      <c r="L265" s="20"/>
      <c r="M265" s="20"/>
      <c r="N265" s="23"/>
      <c r="O265" s="22"/>
      <c r="P265" s="20"/>
    </row>
    <row r="266" spans="1:16">
      <c r="A266" s="22"/>
      <c r="B266" s="20"/>
      <c r="C266" s="20"/>
      <c r="D266" s="20"/>
      <c r="E266" s="20"/>
      <c r="F266" s="22"/>
      <c r="G266" s="20"/>
      <c r="H266" s="20"/>
      <c r="I266" s="20"/>
      <c r="J266" s="20"/>
      <c r="K266" s="20"/>
      <c r="L266" s="20"/>
      <c r="M266" s="20"/>
      <c r="N266" s="23"/>
      <c r="O266" s="22"/>
      <c r="P266" s="20"/>
    </row>
    <row r="267" spans="1:16">
      <c r="A267" s="22"/>
      <c r="B267" s="20"/>
      <c r="C267" s="20"/>
      <c r="D267" s="20"/>
      <c r="E267" s="20"/>
      <c r="F267" s="22"/>
      <c r="G267" s="20"/>
      <c r="H267" s="20"/>
      <c r="I267" s="20"/>
      <c r="J267" s="20"/>
      <c r="K267" s="20"/>
      <c r="L267" s="20"/>
      <c r="M267" s="20"/>
      <c r="N267" s="23"/>
      <c r="O267" s="22"/>
      <c r="P267" s="20"/>
    </row>
    <row r="268" spans="1:16">
      <c r="A268" s="22"/>
      <c r="B268" s="20"/>
      <c r="C268" s="20"/>
      <c r="D268" s="20"/>
      <c r="E268" s="20"/>
      <c r="F268" s="22"/>
      <c r="G268" s="20"/>
      <c r="H268" s="20"/>
      <c r="I268" s="20"/>
      <c r="J268" s="20"/>
      <c r="K268" s="20"/>
      <c r="L268" s="20"/>
      <c r="M268" s="20"/>
      <c r="N268" s="23"/>
      <c r="O268" s="22"/>
      <c r="P268" s="20"/>
    </row>
    <row r="269" spans="1:16">
      <c r="A269" s="22"/>
      <c r="B269" s="20"/>
      <c r="C269" s="20"/>
      <c r="D269" s="20"/>
      <c r="E269" s="20"/>
      <c r="F269" s="22"/>
      <c r="G269" s="20"/>
      <c r="H269" s="20"/>
      <c r="I269" s="20"/>
      <c r="J269" s="20"/>
      <c r="K269" s="20"/>
      <c r="L269" s="20"/>
      <c r="M269" s="20"/>
      <c r="N269" s="23"/>
      <c r="O269" s="22"/>
      <c r="P269" s="20"/>
    </row>
    <row r="270" spans="1:16">
      <c r="A270" s="22"/>
      <c r="B270" s="20"/>
      <c r="C270" s="20"/>
      <c r="D270" s="20"/>
      <c r="E270" s="20"/>
      <c r="F270" s="22"/>
      <c r="G270" s="20"/>
      <c r="H270" s="20"/>
      <c r="I270" s="20"/>
      <c r="J270" s="20"/>
      <c r="K270" s="20"/>
      <c r="L270" s="20"/>
      <c r="M270" s="20"/>
      <c r="N270" s="23"/>
      <c r="O270" s="22"/>
      <c r="P270" s="20"/>
    </row>
    <row r="271" spans="1:16">
      <c r="A271" s="22"/>
      <c r="B271" s="20"/>
      <c r="C271" s="20"/>
      <c r="D271" s="20"/>
      <c r="E271" s="20"/>
      <c r="F271" s="22"/>
      <c r="G271" s="20"/>
      <c r="H271" s="20"/>
      <c r="I271" s="20"/>
      <c r="J271" s="20"/>
      <c r="K271" s="20"/>
      <c r="L271" s="20"/>
      <c r="M271" s="20"/>
      <c r="N271" s="23"/>
      <c r="O271" s="22"/>
      <c r="P271" s="20"/>
    </row>
    <row r="272" spans="1:16">
      <c r="A272" s="22"/>
      <c r="B272" s="20"/>
      <c r="C272" s="20"/>
      <c r="D272" s="20"/>
      <c r="E272" s="20"/>
      <c r="F272" s="22"/>
      <c r="G272" s="20"/>
      <c r="H272" s="20"/>
      <c r="I272" s="20"/>
      <c r="J272" s="20"/>
      <c r="K272" s="20"/>
      <c r="L272" s="20"/>
      <c r="M272" s="20"/>
      <c r="N272" s="23"/>
      <c r="O272" s="20"/>
      <c r="P272" s="20"/>
    </row>
  </sheetData>
  <phoneticPr fontId="11"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0"/>
  <sheetViews>
    <sheetView workbookViewId="0">
      <selection activeCell="A45" sqref="A45"/>
    </sheetView>
  </sheetViews>
  <sheetFormatPr defaultColWidth="9" defaultRowHeight="13.5"/>
  <cols>
    <col min="1" max="1" width="7.5" customWidth="1"/>
    <col min="2" max="2" width="10.5" customWidth="1"/>
    <col min="4" max="4" width="7.5" customWidth="1"/>
    <col min="5" max="5" width="9" customWidth="1"/>
    <col min="8" max="8" width="7.5" customWidth="1"/>
    <col min="9" max="9" width="10.5" customWidth="1"/>
    <col min="11" max="11" width="7.5" customWidth="1"/>
    <col min="12" max="12" width="10.5" customWidth="1"/>
  </cols>
  <sheetData>
    <row r="1" spans="1:12">
      <c r="A1" s="2">
        <v>18010201</v>
      </c>
      <c r="B1" s="3" t="s">
        <v>7</v>
      </c>
      <c r="D1" s="4">
        <f ca="1">INDIRECT("A"&amp;ROW()*4)</f>
        <v>18010204</v>
      </c>
      <c r="E1" s="4" t="str">
        <f ca="1">INDIRECT("B"&amp;ROW()*4)</f>
        <v>团战可以输</v>
      </c>
      <c r="H1" s="2" t="s">
        <v>8</v>
      </c>
      <c r="I1" s="2" t="s">
        <v>9</v>
      </c>
      <c r="K1" s="4" t="str">
        <f ca="1">INDIRECT("H"&amp;ROW()*2)</f>
        <v>18020102</v>
      </c>
      <c r="L1" s="4" t="str">
        <f ca="1">INDIRECT("I"&amp;ROW()*2)</f>
        <v>蒙氏菜刀</v>
      </c>
    </row>
    <row r="2" spans="1:12">
      <c r="A2" s="2">
        <v>18010202</v>
      </c>
      <c r="B2" s="3" t="s">
        <v>10</v>
      </c>
      <c r="D2" s="4" t="str">
        <f ca="1">INDIRECT("A"&amp;ROW()*4)</f>
        <v>18010208</v>
      </c>
      <c r="E2" s="4" t="str">
        <f ca="1">INDIRECT("B"&amp;ROW()*4)</f>
        <v>BIU~BIU~</v>
      </c>
      <c r="H2" s="2" t="s">
        <v>11</v>
      </c>
      <c r="I2" s="2" t="s">
        <v>12</v>
      </c>
      <c r="K2" s="4" t="str">
        <f ca="1">INDIRECT("H"&amp;ROW()*2)</f>
        <v>18020104</v>
      </c>
      <c r="L2" s="4" t="str">
        <f ca="1">INDIRECT("I"&amp;ROW()*2)</f>
        <v>发抖的小喵喵</v>
      </c>
    </row>
    <row r="3" spans="1:12">
      <c r="A3" s="2">
        <v>18010203</v>
      </c>
      <c r="B3" s="3" t="s">
        <v>13</v>
      </c>
      <c r="D3" s="4" t="str">
        <f ca="1">INDIRECT("A"&amp;ROW()*4)</f>
        <v>18010304</v>
      </c>
      <c r="E3" s="4" t="str">
        <f t="shared" ref="E3:E26" ca="1" si="0">INDIRECT("B"&amp;ROW()*4)</f>
        <v>奶妈给你爱</v>
      </c>
      <c r="H3" s="2" t="s">
        <v>14</v>
      </c>
      <c r="I3" s="2" t="s">
        <v>15</v>
      </c>
      <c r="K3" s="4" t="str">
        <f t="shared" ref="K3:K34" ca="1" si="1">INDIRECT("H"&amp;ROW()*2)</f>
        <v>18020106</v>
      </c>
      <c r="L3" s="4" t="str">
        <f t="shared" ref="L3:L34" ca="1" si="2">INDIRECT("I"&amp;ROW()*2)</f>
        <v>宿命的旋转</v>
      </c>
    </row>
    <row r="4" spans="1:12">
      <c r="A4" s="2">
        <v>18010204</v>
      </c>
      <c r="B4" s="3" t="s">
        <v>16</v>
      </c>
      <c r="D4" s="4" t="str">
        <f t="shared" ref="D4:D26" ca="1" si="3">INDIRECT("A"&amp;ROW()*4)</f>
        <v>18010308</v>
      </c>
      <c r="E4" s="4" t="str">
        <f t="shared" ca="1" si="0"/>
        <v>空间传送</v>
      </c>
      <c r="H4" s="2" t="s">
        <v>17</v>
      </c>
      <c r="I4" s="2" t="s">
        <v>18</v>
      </c>
      <c r="K4" s="4" t="str">
        <f t="shared" ca="1" si="1"/>
        <v>18020202</v>
      </c>
      <c r="L4" s="4" t="str">
        <f t="shared" ca="1" si="2"/>
        <v>十薇九坑</v>
      </c>
    </row>
    <row r="5" spans="1:12">
      <c r="A5" s="2">
        <v>18010205</v>
      </c>
      <c r="B5" s="3" t="s">
        <v>19</v>
      </c>
      <c r="D5" s="4" t="str">
        <f t="shared" ca="1" si="3"/>
        <v>18010404</v>
      </c>
      <c r="E5" s="4" t="str">
        <f t="shared" ca="1" si="0"/>
        <v>瞬步</v>
      </c>
      <c r="H5" s="2" t="s">
        <v>20</v>
      </c>
      <c r="I5" s="2" t="s">
        <v>21</v>
      </c>
      <c r="K5" s="4" t="str">
        <f t="shared" ca="1" si="1"/>
        <v>18020204</v>
      </c>
      <c r="L5" s="4" t="str">
        <f t="shared" ca="1" si="2"/>
        <v>团战可以输</v>
      </c>
    </row>
    <row r="6" spans="1:12">
      <c r="A6" s="2">
        <v>18010206</v>
      </c>
      <c r="B6" s="3" t="s">
        <v>22</v>
      </c>
      <c r="D6" s="4" t="str">
        <f t="shared" ca="1" si="3"/>
        <v>18010408</v>
      </c>
      <c r="E6" s="4" t="str">
        <f t="shared" ca="1" si="0"/>
        <v>灵魂榨汁机</v>
      </c>
      <c r="H6" s="2" t="s">
        <v>23</v>
      </c>
      <c r="I6" s="2" t="s">
        <v>24</v>
      </c>
      <c r="K6" s="4" t="str">
        <f t="shared" ca="1" si="1"/>
        <v>18020206</v>
      </c>
      <c r="L6" s="4" t="str">
        <f t="shared" ca="1" si="2"/>
        <v>女郎光杀炮</v>
      </c>
    </row>
    <row r="7" spans="1:12">
      <c r="A7" s="2" t="s">
        <v>25</v>
      </c>
      <c r="B7" s="5" t="s">
        <v>26</v>
      </c>
      <c r="D7" s="4" t="str">
        <f t="shared" ca="1" si="3"/>
        <v>18010504</v>
      </c>
      <c r="E7" s="4" t="str">
        <f t="shared" ca="1" si="0"/>
        <v>鸡蛋碰石头</v>
      </c>
      <c r="H7" s="2" t="s">
        <v>27</v>
      </c>
      <c r="I7" s="2" t="s">
        <v>7</v>
      </c>
      <c r="K7" s="4" t="str">
        <f t="shared" ca="1" si="1"/>
        <v>18020208</v>
      </c>
      <c r="L7" s="4" t="str">
        <f t="shared" ca="1" si="2"/>
        <v>BIU~BIU~</v>
      </c>
    </row>
    <row r="8" spans="1:12">
      <c r="A8" s="2" t="s">
        <v>28</v>
      </c>
      <c r="B8" s="5" t="s">
        <v>29</v>
      </c>
      <c r="D8" s="4" t="str">
        <f t="shared" ca="1" si="3"/>
        <v>18010508</v>
      </c>
      <c r="E8" s="4" t="str">
        <f t="shared" ca="1" si="0"/>
        <v>悲伤的绷带</v>
      </c>
      <c r="H8" s="2" t="s">
        <v>30</v>
      </c>
      <c r="I8" s="2" t="s">
        <v>10</v>
      </c>
      <c r="K8" s="4" t="str">
        <f t="shared" ca="1" si="1"/>
        <v>18020302</v>
      </c>
      <c r="L8" s="4" t="str">
        <f t="shared" ca="1" si="2"/>
        <v>易剑连</v>
      </c>
    </row>
    <row r="9" spans="1:12">
      <c r="A9" s="2" t="s">
        <v>31</v>
      </c>
      <c r="B9" s="5" t="s">
        <v>32</v>
      </c>
      <c r="D9" s="4" t="str">
        <f t="shared" ca="1" si="3"/>
        <v>18010604</v>
      </c>
      <c r="E9" s="4" t="str">
        <f t="shared" ca="1" si="0"/>
        <v>兄弟</v>
      </c>
      <c r="H9" s="2" t="s">
        <v>33</v>
      </c>
      <c r="I9" s="2" t="s">
        <v>13</v>
      </c>
      <c r="K9" s="4" t="str">
        <f t="shared" ca="1" si="1"/>
        <v>18020304</v>
      </c>
      <c r="L9" s="4" t="str">
        <f t="shared" ca="1" si="2"/>
        <v>奶妈给你爱</v>
      </c>
    </row>
    <row r="10" spans="1:12">
      <c r="A10" s="2" t="s">
        <v>34</v>
      </c>
      <c r="B10" s="5" t="s">
        <v>35</v>
      </c>
      <c r="D10" s="4" t="str">
        <f t="shared" ca="1" si="3"/>
        <v>18010608</v>
      </c>
      <c r="E10" s="4" t="str">
        <f t="shared" ca="1" si="0"/>
        <v>铁手拦江</v>
      </c>
      <c r="H10" s="2" t="s">
        <v>36</v>
      </c>
      <c r="I10" s="2" t="s">
        <v>16</v>
      </c>
      <c r="K10" s="4" t="str">
        <f t="shared" ca="1" si="1"/>
        <v>18020306</v>
      </c>
      <c r="L10" s="4" t="str">
        <f t="shared" ca="1" si="2"/>
        <v>手术菜刀</v>
      </c>
    </row>
    <row r="11" spans="1:12">
      <c r="A11" s="2" t="s">
        <v>37</v>
      </c>
      <c r="B11" s="3" t="s">
        <v>38</v>
      </c>
      <c r="D11" s="4" t="str">
        <f t="shared" ca="1" si="3"/>
        <v>18010704</v>
      </c>
      <c r="E11" s="4" t="str">
        <f t="shared" ca="1" si="0"/>
        <v>迷雾</v>
      </c>
      <c r="H11" s="2" t="s">
        <v>39</v>
      </c>
      <c r="I11" s="2" t="s">
        <v>19</v>
      </c>
      <c r="K11" s="4" t="str">
        <f t="shared" ca="1" si="1"/>
        <v>18020308</v>
      </c>
      <c r="L11" s="4" t="str">
        <f t="shared" ca="1" si="2"/>
        <v>空间传送</v>
      </c>
    </row>
    <row r="12" spans="1:12">
      <c r="A12" s="2" t="s">
        <v>40</v>
      </c>
      <c r="B12" s="3" t="s">
        <v>41</v>
      </c>
      <c r="D12" s="4" t="str">
        <f t="shared" ca="1" si="3"/>
        <v>18010708</v>
      </c>
      <c r="E12" s="4" t="str">
        <f t="shared" ca="1" si="0"/>
        <v>穿云箭</v>
      </c>
      <c r="H12" s="2" t="s">
        <v>42</v>
      </c>
      <c r="I12" s="2" t="s">
        <v>22</v>
      </c>
      <c r="K12" s="4" t="str">
        <f t="shared" ca="1" si="1"/>
        <v>18020402</v>
      </c>
      <c r="L12" s="4" t="str">
        <f t="shared" ca="1" si="2"/>
        <v>横冲直撞</v>
      </c>
    </row>
    <row r="13" spans="1:12">
      <c r="A13" s="2" t="s">
        <v>43</v>
      </c>
      <c r="B13" s="5" t="s">
        <v>44</v>
      </c>
      <c r="D13" s="4" t="str">
        <f t="shared" ca="1" si="3"/>
        <v>18010804</v>
      </c>
      <c r="E13" s="4" t="str">
        <f t="shared" ca="1" si="0"/>
        <v>焦背熊</v>
      </c>
      <c r="H13" s="2" t="s">
        <v>45</v>
      </c>
      <c r="I13" s="2" t="s">
        <v>26</v>
      </c>
      <c r="K13" s="4" t="str">
        <f t="shared" ca="1" si="1"/>
        <v>18020404</v>
      </c>
      <c r="L13" s="4" t="str">
        <f t="shared" ca="1" si="2"/>
        <v>瞬步</v>
      </c>
    </row>
    <row r="14" spans="1:12">
      <c r="A14" s="2" t="s">
        <v>46</v>
      </c>
      <c r="B14" s="5" t="s">
        <v>47</v>
      </c>
      <c r="D14" s="4" t="str">
        <f t="shared" ca="1" si="3"/>
        <v>18010808</v>
      </c>
      <c r="E14" s="4" t="str">
        <f t="shared" ca="1" si="0"/>
        <v>健忘萌医</v>
      </c>
      <c r="H14" s="2" t="s">
        <v>48</v>
      </c>
      <c r="I14" s="2" t="s">
        <v>29</v>
      </c>
      <c r="K14" s="4" t="str">
        <f t="shared" ca="1" si="1"/>
        <v>18020406</v>
      </c>
      <c r="L14" s="4" t="str">
        <f t="shared" ca="1" si="2"/>
        <v>大杀四方</v>
      </c>
    </row>
    <row r="15" spans="1:12">
      <c r="A15" s="2" t="s">
        <v>49</v>
      </c>
      <c r="B15" s="5" t="s">
        <v>50</v>
      </c>
      <c r="D15" s="4" t="str">
        <f t="shared" ca="1" si="3"/>
        <v>18010904</v>
      </c>
      <c r="E15" s="4" t="str">
        <f t="shared" ca="1" si="0"/>
        <v>α与β</v>
      </c>
      <c r="H15" s="2" t="s">
        <v>51</v>
      </c>
      <c r="I15" s="2" t="s">
        <v>32</v>
      </c>
      <c r="K15" s="4" t="str">
        <f t="shared" ca="1" si="1"/>
        <v>18020408</v>
      </c>
      <c r="L15" s="4" t="str">
        <f t="shared" ca="1" si="2"/>
        <v>灵魂榨汁机</v>
      </c>
    </row>
    <row r="16" spans="1:12">
      <c r="A16" s="2" t="s">
        <v>52</v>
      </c>
      <c r="B16" s="5" t="s">
        <v>53</v>
      </c>
      <c r="D16" s="4" t="str">
        <f t="shared" ca="1" si="3"/>
        <v>18010908</v>
      </c>
      <c r="E16" s="4" t="str">
        <f t="shared" ca="1" si="0"/>
        <v>队长在送命</v>
      </c>
      <c r="H16" s="2" t="s">
        <v>54</v>
      </c>
      <c r="I16" s="2" t="s">
        <v>35</v>
      </c>
      <c r="K16" s="4" t="str">
        <f t="shared" ca="1" si="1"/>
        <v>18020502</v>
      </c>
      <c r="L16" s="4" t="str">
        <f t="shared" ca="1" si="2"/>
        <v>真银箭</v>
      </c>
    </row>
    <row r="17" spans="1:12">
      <c r="A17" s="2" t="s">
        <v>55</v>
      </c>
      <c r="B17" s="3" t="s">
        <v>56</v>
      </c>
      <c r="D17" s="4" t="str">
        <f t="shared" ca="1" si="3"/>
        <v>18011004</v>
      </c>
      <c r="E17" s="4" t="str">
        <f t="shared" ca="1" si="0"/>
        <v>蛮石</v>
      </c>
      <c r="H17" s="2" t="s">
        <v>57</v>
      </c>
      <c r="I17" s="2" t="s">
        <v>38</v>
      </c>
      <c r="K17" s="4" t="str">
        <f t="shared" ca="1" si="1"/>
        <v>18020504</v>
      </c>
      <c r="L17" s="4" t="str">
        <f t="shared" ca="1" si="2"/>
        <v>鸡蛋碰石头</v>
      </c>
    </row>
    <row r="18" spans="1:12">
      <c r="A18" s="2" t="s">
        <v>58</v>
      </c>
      <c r="B18" s="3" t="s">
        <v>59</v>
      </c>
      <c r="D18" s="4" t="str">
        <f t="shared" ca="1" si="3"/>
        <v>18011008</v>
      </c>
      <c r="E18" s="4" t="str">
        <f t="shared" ca="1" si="0"/>
        <v>剑刃与意志</v>
      </c>
      <c r="H18" s="2" t="s">
        <v>60</v>
      </c>
      <c r="I18" s="2" t="s">
        <v>41</v>
      </c>
      <c r="K18" s="4" t="str">
        <f t="shared" ca="1" si="1"/>
        <v>18020506</v>
      </c>
      <c r="L18" s="4" t="str">
        <f t="shared" ca="1" si="2"/>
        <v>技术流</v>
      </c>
    </row>
    <row r="19" spans="1:12">
      <c r="A19" s="2" t="s">
        <v>61</v>
      </c>
      <c r="B19" s="5" t="s">
        <v>62</v>
      </c>
      <c r="D19" s="4" t="str">
        <f t="shared" ca="1" si="3"/>
        <v>18011104</v>
      </c>
      <c r="E19" s="4" t="str">
        <f t="shared" ca="1" si="0"/>
        <v>跃动</v>
      </c>
      <c r="H19" s="2" t="s">
        <v>63</v>
      </c>
      <c r="I19" s="2" t="s">
        <v>44</v>
      </c>
      <c r="K19" s="4" t="str">
        <f t="shared" ca="1" si="1"/>
        <v>18020508</v>
      </c>
      <c r="L19" s="4" t="str">
        <f t="shared" ca="1" si="2"/>
        <v>悲伤的绷带</v>
      </c>
    </row>
    <row r="20" spans="1:12">
      <c r="A20" s="2" t="s">
        <v>64</v>
      </c>
      <c r="B20" s="5" t="s">
        <v>65</v>
      </c>
      <c r="D20" s="4" t="str">
        <f t="shared" ca="1" si="3"/>
        <v>18011108</v>
      </c>
      <c r="E20" s="4" t="str">
        <f t="shared" ca="1" si="0"/>
        <v>草丛王者</v>
      </c>
      <c r="H20" s="2" t="s">
        <v>66</v>
      </c>
      <c r="I20" s="2" t="s">
        <v>47</v>
      </c>
      <c r="K20" s="4" t="str">
        <f t="shared" ca="1" si="1"/>
        <v>18020602</v>
      </c>
      <c r="L20" s="4" t="str">
        <f t="shared" ca="1" si="2"/>
        <v>星语聆听</v>
      </c>
    </row>
    <row r="21" spans="1:12">
      <c r="A21" s="2" t="s">
        <v>67</v>
      </c>
      <c r="B21" s="5" t="s">
        <v>68</v>
      </c>
      <c r="D21" s="4" t="str">
        <f t="shared" ca="1" si="3"/>
        <v>18011204</v>
      </c>
      <c r="E21" s="4" t="str">
        <f t="shared" ca="1" si="0"/>
        <v>灌铅骰子</v>
      </c>
      <c r="H21" s="2" t="s">
        <v>69</v>
      </c>
      <c r="I21" s="2" t="s">
        <v>50</v>
      </c>
      <c r="K21" s="4" t="str">
        <f t="shared" ca="1" si="1"/>
        <v>18020604</v>
      </c>
      <c r="L21" s="4" t="str">
        <f t="shared" ca="1" si="2"/>
        <v>兄弟</v>
      </c>
    </row>
    <row r="22" spans="1:12">
      <c r="A22" s="2" t="s">
        <v>70</v>
      </c>
      <c r="B22" s="5" t="s">
        <v>71</v>
      </c>
      <c r="D22" s="4" t="str">
        <f t="shared" ca="1" si="3"/>
        <v>18011208</v>
      </c>
      <c r="E22" s="4" t="str">
        <f t="shared" ca="1" si="0"/>
        <v>姐姐是杀手</v>
      </c>
      <c r="H22" s="2" t="s">
        <v>72</v>
      </c>
      <c r="I22" s="2" t="s">
        <v>53</v>
      </c>
      <c r="K22" s="4" t="str">
        <f t="shared" ca="1" si="1"/>
        <v>18020606</v>
      </c>
      <c r="L22" s="4" t="str">
        <f t="shared" ca="1" si="2"/>
        <v>汪汪汪</v>
      </c>
    </row>
    <row r="23" spans="1:12">
      <c r="A23" s="2" t="s">
        <v>73</v>
      </c>
      <c r="B23" s="3" t="s">
        <v>74</v>
      </c>
      <c r="D23" s="4" t="str">
        <f t="shared" ca="1" si="3"/>
        <v>18011304</v>
      </c>
      <c r="E23" s="4" t="str">
        <f t="shared" ca="1" si="0"/>
        <v>咏叹</v>
      </c>
      <c r="H23" s="2" t="s">
        <v>75</v>
      </c>
      <c r="I23" s="2" t="s">
        <v>56</v>
      </c>
      <c r="K23" s="4" t="str">
        <f t="shared" ca="1" si="1"/>
        <v>18020608</v>
      </c>
      <c r="L23" s="4" t="str">
        <f t="shared" ca="1" si="2"/>
        <v>铁手拦江</v>
      </c>
    </row>
    <row r="24" spans="1:12">
      <c r="A24" s="2" t="s">
        <v>76</v>
      </c>
      <c r="B24" s="3" t="s">
        <v>77</v>
      </c>
      <c r="D24" s="4" t="str">
        <f t="shared" ca="1" si="3"/>
        <v>18011308</v>
      </c>
      <c r="E24" s="4" t="str">
        <f t="shared" ca="1" si="0"/>
        <v>矮矬穷</v>
      </c>
      <c r="H24" s="2" t="s">
        <v>78</v>
      </c>
      <c r="I24" s="2" t="s">
        <v>59</v>
      </c>
      <c r="K24" s="4" t="str">
        <f t="shared" ca="1" si="1"/>
        <v>18020702</v>
      </c>
      <c r="L24" s="4" t="str">
        <f t="shared" ca="1" si="2"/>
        <v>千王之王</v>
      </c>
    </row>
    <row r="25" spans="1:12">
      <c r="A25" s="2" t="s">
        <v>79</v>
      </c>
      <c r="B25" s="5" t="s">
        <v>80</v>
      </c>
      <c r="D25" s="4" t="str">
        <f t="shared" ca="1" si="3"/>
        <v>18011404</v>
      </c>
      <c r="E25" s="4" t="str">
        <f t="shared" ca="1" si="0"/>
        <v>罪与罚</v>
      </c>
      <c r="H25" s="2" t="s">
        <v>81</v>
      </c>
      <c r="I25" s="2" t="s">
        <v>62</v>
      </c>
      <c r="K25" s="4" t="str">
        <f t="shared" ca="1" si="1"/>
        <v>18020704</v>
      </c>
      <c r="L25" s="4" t="str">
        <f t="shared" ca="1" si="2"/>
        <v>迷雾</v>
      </c>
    </row>
    <row r="26" spans="1:12">
      <c r="A26" s="2" t="s">
        <v>82</v>
      </c>
      <c r="B26" s="5" t="s">
        <v>83</v>
      </c>
      <c r="D26" s="4" t="str">
        <f t="shared" ca="1" si="3"/>
        <v>18011408</v>
      </c>
      <c r="E26" s="4" t="str">
        <f t="shared" ca="1" si="0"/>
        <v>无极之道</v>
      </c>
      <c r="H26" s="2" t="s">
        <v>84</v>
      </c>
      <c r="I26" s="2" t="s">
        <v>65</v>
      </c>
      <c r="K26" s="4" t="str">
        <f t="shared" ca="1" si="1"/>
        <v>18020706</v>
      </c>
      <c r="L26" s="4" t="str">
        <f t="shared" ca="1" si="2"/>
        <v>双生彩虹</v>
      </c>
    </row>
    <row r="27" spans="1:12">
      <c r="A27" s="2" t="s">
        <v>85</v>
      </c>
      <c r="B27" s="5" t="s">
        <v>86</v>
      </c>
      <c r="D27" s="4"/>
      <c r="E27" s="4"/>
      <c r="H27" s="2" t="s">
        <v>87</v>
      </c>
      <c r="I27" s="2" t="s">
        <v>68</v>
      </c>
      <c r="K27" s="4" t="str">
        <f t="shared" ca="1" si="1"/>
        <v>18020708</v>
      </c>
      <c r="L27" s="4" t="str">
        <f t="shared" ca="1" si="2"/>
        <v>穿云箭</v>
      </c>
    </row>
    <row r="28" spans="1:12">
      <c r="A28" s="2" t="s">
        <v>88</v>
      </c>
      <c r="B28" s="5" t="s">
        <v>89</v>
      </c>
      <c r="D28" s="4"/>
      <c r="E28" s="4"/>
      <c r="H28" s="2" t="s">
        <v>90</v>
      </c>
      <c r="I28" s="2" t="s">
        <v>71</v>
      </c>
      <c r="K28" s="4" t="str">
        <f t="shared" ca="1" si="1"/>
        <v>18020802</v>
      </c>
      <c r="L28" s="4" t="str">
        <f t="shared" ca="1" si="2"/>
        <v>陷阵</v>
      </c>
    </row>
    <row r="29" spans="1:12">
      <c r="A29" s="2" t="s">
        <v>91</v>
      </c>
      <c r="B29" s="3" t="s">
        <v>92</v>
      </c>
      <c r="D29" s="4"/>
      <c r="E29" s="4"/>
      <c r="H29" s="2" t="s">
        <v>93</v>
      </c>
      <c r="I29" s="2" t="s">
        <v>74</v>
      </c>
      <c r="K29" s="4" t="str">
        <f t="shared" ca="1" si="1"/>
        <v>18020804</v>
      </c>
      <c r="L29" s="4" t="str">
        <f t="shared" ca="1" si="2"/>
        <v>焦背熊</v>
      </c>
    </row>
    <row r="30" spans="1:12">
      <c r="A30" s="2" t="s">
        <v>94</v>
      </c>
      <c r="B30" s="3" t="s">
        <v>95</v>
      </c>
      <c r="D30" s="4"/>
      <c r="E30" s="4"/>
      <c r="H30" s="2" t="s">
        <v>96</v>
      </c>
      <c r="I30" s="2" t="s">
        <v>77</v>
      </c>
      <c r="K30" s="4" t="str">
        <f t="shared" ca="1" si="1"/>
        <v>18020806</v>
      </c>
      <c r="L30" s="4" t="str">
        <f t="shared" ca="1" si="2"/>
        <v>符文草席</v>
      </c>
    </row>
    <row r="31" spans="1:12">
      <c r="A31" s="2" t="s">
        <v>97</v>
      </c>
      <c r="B31" s="5" t="s">
        <v>98</v>
      </c>
      <c r="D31" s="4"/>
      <c r="E31" s="4"/>
      <c r="H31" s="2" t="s">
        <v>99</v>
      </c>
      <c r="I31" s="2" t="s">
        <v>80</v>
      </c>
      <c r="K31" s="4" t="str">
        <f t="shared" ca="1" si="1"/>
        <v>18020808</v>
      </c>
      <c r="L31" s="4" t="str">
        <f t="shared" ca="1" si="2"/>
        <v>健忘萌医</v>
      </c>
    </row>
    <row r="32" spans="1:12">
      <c r="A32" s="2" t="s">
        <v>100</v>
      </c>
      <c r="B32" s="5" t="s">
        <v>101</v>
      </c>
      <c r="D32" s="4"/>
      <c r="E32" s="4"/>
      <c r="H32" s="2" t="s">
        <v>102</v>
      </c>
      <c r="I32" s="2" t="s">
        <v>83</v>
      </c>
      <c r="K32" s="4" t="str">
        <f t="shared" ca="1" si="1"/>
        <v>18020902</v>
      </c>
      <c r="L32" s="4" t="str">
        <f t="shared" ca="1" si="2"/>
        <v>戈壁暴君</v>
      </c>
    </row>
    <row r="33" spans="1:12">
      <c r="A33" s="2" t="s">
        <v>103</v>
      </c>
      <c r="B33" s="5" t="s">
        <v>104</v>
      </c>
      <c r="D33" s="4"/>
      <c r="E33" s="4"/>
      <c r="H33" s="2" t="s">
        <v>105</v>
      </c>
      <c r="I33" s="2" t="s">
        <v>86</v>
      </c>
      <c r="K33" s="4" t="str">
        <f t="shared" ca="1" si="1"/>
        <v>18020904</v>
      </c>
      <c r="L33" s="4" t="str">
        <f t="shared" ca="1" si="2"/>
        <v>α与β</v>
      </c>
    </row>
    <row r="34" spans="1:12">
      <c r="A34" s="2" t="s">
        <v>106</v>
      </c>
      <c r="B34" s="5" t="s">
        <v>107</v>
      </c>
      <c r="D34" s="4"/>
      <c r="E34" s="4"/>
      <c r="H34" s="2" t="s">
        <v>108</v>
      </c>
      <c r="I34" s="2" t="s">
        <v>89</v>
      </c>
      <c r="K34" s="4" t="str">
        <f t="shared" ca="1" si="1"/>
        <v>18020906</v>
      </c>
      <c r="L34" s="4" t="str">
        <f t="shared" ca="1" si="2"/>
        <v>鹰击长空</v>
      </c>
    </row>
    <row r="35" spans="1:12">
      <c r="A35" s="2" t="s">
        <v>109</v>
      </c>
      <c r="B35" s="3" t="s">
        <v>110</v>
      </c>
      <c r="D35" s="4"/>
      <c r="E35" s="4"/>
      <c r="H35" s="2" t="s">
        <v>111</v>
      </c>
      <c r="I35" s="2" t="s">
        <v>92</v>
      </c>
      <c r="K35" s="4" t="str">
        <f t="shared" ref="K35:K55" ca="1" si="4">INDIRECT("H"&amp;ROW()*2)</f>
        <v>18020908</v>
      </c>
      <c r="L35" s="4" t="str">
        <f t="shared" ref="L35:L55" ca="1" si="5">INDIRECT("I"&amp;ROW()*2)</f>
        <v>队长在送命</v>
      </c>
    </row>
    <row r="36" spans="1:12">
      <c r="A36" s="2" t="s">
        <v>112</v>
      </c>
      <c r="B36" s="3" t="s">
        <v>113</v>
      </c>
      <c r="D36" s="4"/>
      <c r="E36" s="4"/>
      <c r="H36" s="2" t="s">
        <v>114</v>
      </c>
      <c r="I36" s="2" t="s">
        <v>95</v>
      </c>
      <c r="K36" s="4" t="str">
        <f t="shared" ca="1" si="4"/>
        <v>18021002</v>
      </c>
      <c r="L36" s="4" t="str">
        <f t="shared" ca="1" si="5"/>
        <v>星界祝福</v>
      </c>
    </row>
    <row r="37" spans="1:12">
      <c r="A37" s="2" t="s">
        <v>115</v>
      </c>
      <c r="B37" s="2" t="s">
        <v>116</v>
      </c>
      <c r="D37" s="4"/>
      <c r="E37" s="4"/>
      <c r="H37" s="2" t="s">
        <v>117</v>
      </c>
      <c r="I37" s="2" t="s">
        <v>98</v>
      </c>
      <c r="K37" s="4" t="str">
        <f t="shared" ca="1" si="4"/>
        <v>18021004</v>
      </c>
      <c r="L37" s="4" t="str">
        <f t="shared" ca="1" si="5"/>
        <v>蛮石</v>
      </c>
    </row>
    <row r="38" spans="1:12">
      <c r="A38" s="2" t="s">
        <v>118</v>
      </c>
      <c r="B38" s="2" t="s">
        <v>119</v>
      </c>
      <c r="D38" s="4"/>
      <c r="E38" s="4"/>
      <c r="H38" s="2" t="s">
        <v>120</v>
      </c>
      <c r="I38" s="2" t="s">
        <v>101</v>
      </c>
      <c r="K38" s="4" t="str">
        <f t="shared" ca="1" si="4"/>
        <v>18021006</v>
      </c>
      <c r="L38" s="4" t="str">
        <f t="shared" ca="1" si="5"/>
        <v>暗黑小学生</v>
      </c>
    </row>
    <row r="39" spans="1:12">
      <c r="A39" s="2" t="s">
        <v>121</v>
      </c>
      <c r="B39" s="2" t="s">
        <v>122</v>
      </c>
      <c r="D39" s="4"/>
      <c r="E39" s="4"/>
      <c r="H39" s="2" t="s">
        <v>123</v>
      </c>
      <c r="I39" s="2" t="s">
        <v>104</v>
      </c>
      <c r="K39" s="4" t="str">
        <f t="shared" ca="1" si="4"/>
        <v>18021008</v>
      </c>
      <c r="L39" s="4" t="str">
        <f t="shared" ca="1" si="5"/>
        <v>剑刃与意志</v>
      </c>
    </row>
    <row r="40" spans="1:12">
      <c r="A40" s="2" t="s">
        <v>124</v>
      </c>
      <c r="B40" s="2" t="s">
        <v>125</v>
      </c>
      <c r="D40" s="4"/>
      <c r="E40" s="4"/>
      <c r="H40" s="2" t="s">
        <v>126</v>
      </c>
      <c r="I40" s="2" t="s">
        <v>107</v>
      </c>
      <c r="K40" s="4" t="str">
        <f t="shared" ca="1" si="4"/>
        <v>18021102</v>
      </c>
      <c r="L40" s="4" t="str">
        <f t="shared" ca="1" si="5"/>
        <v>二重唱</v>
      </c>
    </row>
    <row r="41" spans="1:12">
      <c r="A41" s="2" t="s">
        <v>127</v>
      </c>
      <c r="B41" s="2" t="s">
        <v>128</v>
      </c>
      <c r="D41" s="6"/>
      <c r="E41" s="6"/>
      <c r="H41" s="2" t="s">
        <v>129</v>
      </c>
      <c r="I41" s="2" t="s">
        <v>110</v>
      </c>
      <c r="K41" s="4" t="str">
        <f t="shared" ca="1" si="4"/>
        <v>18021104</v>
      </c>
      <c r="L41" s="4" t="str">
        <f t="shared" ca="1" si="5"/>
        <v>跃动</v>
      </c>
    </row>
    <row r="42" spans="1:12">
      <c r="A42" s="2" t="s">
        <v>130</v>
      </c>
      <c r="B42" s="2" t="s">
        <v>131</v>
      </c>
      <c r="D42" s="6"/>
      <c r="E42" s="6"/>
      <c r="H42" s="2" t="s">
        <v>132</v>
      </c>
      <c r="I42" s="2" t="s">
        <v>113</v>
      </c>
      <c r="K42" s="4" t="str">
        <f t="shared" ca="1" si="4"/>
        <v>18021106</v>
      </c>
      <c r="L42" s="4" t="str">
        <f t="shared" ca="1" si="5"/>
        <v>审判圣焰</v>
      </c>
    </row>
    <row r="43" spans="1:12">
      <c r="A43" s="2" t="s">
        <v>133</v>
      </c>
      <c r="B43" s="2" t="s">
        <v>134</v>
      </c>
      <c r="D43" s="6"/>
      <c r="E43" s="6"/>
      <c r="H43" s="2" t="s">
        <v>135</v>
      </c>
      <c r="I43" s="2" t="s">
        <v>116</v>
      </c>
      <c r="K43" s="4" t="str">
        <f t="shared" ca="1" si="4"/>
        <v>18021108</v>
      </c>
      <c r="L43" s="4" t="str">
        <f t="shared" ca="1" si="5"/>
        <v>草丛王者</v>
      </c>
    </row>
    <row r="44" spans="1:12">
      <c r="A44" s="2" t="s">
        <v>136</v>
      </c>
      <c r="B44" s="2" t="s">
        <v>137</v>
      </c>
      <c r="D44" s="6"/>
      <c r="E44" s="6"/>
      <c r="H44" s="2" t="s">
        <v>138</v>
      </c>
      <c r="I44" s="2" t="s">
        <v>119</v>
      </c>
      <c r="K44" s="4" t="str">
        <f t="shared" ca="1" si="4"/>
        <v>18021202</v>
      </c>
      <c r="L44" s="4" t="str">
        <f t="shared" ca="1" si="5"/>
        <v>孤独诅咒</v>
      </c>
    </row>
    <row r="45" spans="1:12">
      <c r="A45" s="2" t="s">
        <v>139</v>
      </c>
      <c r="B45" s="2" t="s">
        <v>140</v>
      </c>
      <c r="D45" s="6"/>
      <c r="E45" s="6"/>
      <c r="H45" s="2" t="s">
        <v>141</v>
      </c>
      <c r="I45" s="2" t="s">
        <v>122</v>
      </c>
      <c r="K45" s="4" t="str">
        <f t="shared" ca="1" si="4"/>
        <v>18021204</v>
      </c>
      <c r="L45" s="4" t="str">
        <f t="shared" ca="1" si="5"/>
        <v>灌铅骰子</v>
      </c>
    </row>
    <row r="46" spans="1:12">
      <c r="A46" s="2" t="s">
        <v>142</v>
      </c>
      <c r="B46" s="2" t="s">
        <v>143</v>
      </c>
      <c r="D46" s="6"/>
      <c r="E46" s="6"/>
      <c r="H46" s="2" t="s">
        <v>144</v>
      </c>
      <c r="I46" s="2" t="s">
        <v>125</v>
      </c>
      <c r="K46" s="4" t="str">
        <f t="shared" ca="1" si="4"/>
        <v>18021206</v>
      </c>
      <c r="L46" s="4" t="str">
        <f t="shared" ca="1" si="5"/>
        <v>花岗岩</v>
      </c>
    </row>
    <row r="47" spans="1:12">
      <c r="A47" s="2" t="s">
        <v>145</v>
      </c>
      <c r="B47" s="2" t="s">
        <v>146</v>
      </c>
      <c r="D47" s="6"/>
      <c r="E47" s="6"/>
      <c r="H47" s="2" t="s">
        <v>147</v>
      </c>
      <c r="I47" s="2" t="s">
        <v>128</v>
      </c>
      <c r="K47" s="4" t="str">
        <f t="shared" ca="1" si="4"/>
        <v>18021208</v>
      </c>
      <c r="L47" s="4" t="str">
        <f t="shared" ca="1" si="5"/>
        <v>姐姐是杀手</v>
      </c>
    </row>
    <row r="48" spans="1:12">
      <c r="A48" s="2" t="s">
        <v>148</v>
      </c>
      <c r="B48" s="2" t="s">
        <v>149</v>
      </c>
      <c r="D48" s="6"/>
      <c r="E48" s="6"/>
      <c r="H48" s="2" t="s">
        <v>150</v>
      </c>
      <c r="I48" s="2" t="s">
        <v>131</v>
      </c>
      <c r="K48" s="4" t="str">
        <f t="shared" ca="1" si="4"/>
        <v>18021302</v>
      </c>
      <c r="L48" s="4" t="str">
        <f t="shared" ca="1" si="5"/>
        <v>新月横扫</v>
      </c>
    </row>
    <row r="49" spans="1:12">
      <c r="A49" s="2" t="s">
        <v>151</v>
      </c>
      <c r="B49" s="2" t="s">
        <v>152</v>
      </c>
      <c r="D49" s="6"/>
      <c r="E49" s="6"/>
      <c r="H49" s="2" t="s">
        <v>153</v>
      </c>
      <c r="I49" s="2" t="s">
        <v>134</v>
      </c>
      <c r="K49" s="4" t="str">
        <f t="shared" ca="1" si="4"/>
        <v>18021304</v>
      </c>
      <c r="L49" s="4" t="str">
        <f t="shared" ca="1" si="5"/>
        <v>咏叹</v>
      </c>
    </row>
    <row r="50" spans="1:12">
      <c r="A50" s="2" t="s">
        <v>154</v>
      </c>
      <c r="B50" s="2" t="s">
        <v>155</v>
      </c>
      <c r="D50" s="6"/>
      <c r="E50" s="6"/>
      <c r="H50" s="2" t="s">
        <v>156</v>
      </c>
      <c r="I50" s="2" t="s">
        <v>137</v>
      </c>
      <c r="K50" s="4" t="str">
        <f t="shared" ca="1" si="4"/>
        <v>18021306</v>
      </c>
      <c r="L50" s="4" t="str">
        <f t="shared" ca="1" si="5"/>
        <v>庇护</v>
      </c>
    </row>
    <row r="51" spans="1:12">
      <c r="A51" s="2" t="s">
        <v>157</v>
      </c>
      <c r="B51" s="2" t="s">
        <v>158</v>
      </c>
      <c r="D51" s="6"/>
      <c r="E51" s="6"/>
      <c r="H51" s="2" t="s">
        <v>159</v>
      </c>
      <c r="I51" s="2" t="s">
        <v>140</v>
      </c>
      <c r="K51" s="4" t="str">
        <f t="shared" ca="1" si="4"/>
        <v>18021308</v>
      </c>
      <c r="L51" s="4" t="str">
        <f t="shared" ca="1" si="5"/>
        <v>矮矬穷</v>
      </c>
    </row>
    <row r="52" spans="1:12">
      <c r="A52" s="2" t="s">
        <v>160</v>
      </c>
      <c r="B52" s="2" t="s">
        <v>161</v>
      </c>
      <c r="D52" s="6"/>
      <c r="E52" s="6"/>
      <c r="H52" s="2" t="s">
        <v>162</v>
      </c>
      <c r="I52" s="2" t="s">
        <v>143</v>
      </c>
      <c r="K52" s="4" t="str">
        <f t="shared" ca="1" si="4"/>
        <v>18021402</v>
      </c>
      <c r="L52" s="4" t="str">
        <f t="shared" ca="1" si="5"/>
        <v>倾盆弹雨</v>
      </c>
    </row>
    <row r="53" spans="1:12">
      <c r="A53" s="2" t="s">
        <v>163</v>
      </c>
      <c r="B53" s="2" t="s">
        <v>164</v>
      </c>
      <c r="D53" s="6"/>
      <c r="E53" s="6"/>
      <c r="H53" s="2" t="s">
        <v>165</v>
      </c>
      <c r="I53" s="2" t="s">
        <v>146</v>
      </c>
      <c r="K53" s="4" t="str">
        <f t="shared" ca="1" si="4"/>
        <v>18021404</v>
      </c>
      <c r="L53" s="4" t="str">
        <f t="shared" ca="1" si="5"/>
        <v>罪与罚</v>
      </c>
    </row>
    <row r="54" spans="1:12">
      <c r="A54" s="2" t="s">
        <v>166</v>
      </c>
      <c r="B54" s="2" t="s">
        <v>167</v>
      </c>
      <c r="D54" s="6"/>
      <c r="E54" s="6"/>
      <c r="H54" s="2" t="s">
        <v>168</v>
      </c>
      <c r="I54" s="2" t="s">
        <v>149</v>
      </c>
      <c r="K54" s="4" t="str">
        <f t="shared" ca="1" si="4"/>
        <v>18021406</v>
      </c>
      <c r="L54" s="4" t="str">
        <f t="shared" ca="1" si="5"/>
        <v>荒漠之咬</v>
      </c>
    </row>
    <row r="55" spans="1:12">
      <c r="A55" s="2" t="s">
        <v>169</v>
      </c>
      <c r="B55" s="2" t="s">
        <v>170</v>
      </c>
      <c r="D55" s="6"/>
      <c r="E55" s="6"/>
      <c r="H55" s="2" t="s">
        <v>171</v>
      </c>
      <c r="I55" s="2" t="s">
        <v>152</v>
      </c>
      <c r="K55" s="4" t="str">
        <f t="shared" ca="1" si="4"/>
        <v>18021408</v>
      </c>
      <c r="L55" s="4" t="str">
        <f t="shared" ca="1" si="5"/>
        <v>无极之道</v>
      </c>
    </row>
    <row r="56" spans="1:12">
      <c r="A56" s="2" t="s">
        <v>172</v>
      </c>
      <c r="B56" s="2" t="s">
        <v>173</v>
      </c>
      <c r="D56" s="6"/>
      <c r="E56" s="6"/>
      <c r="H56" s="2" t="s">
        <v>174</v>
      </c>
      <c r="I56" s="2" t="s">
        <v>155</v>
      </c>
      <c r="K56" s="4"/>
      <c r="L56" s="6"/>
    </row>
    <row r="57" spans="1:12">
      <c r="A57" s="2" t="s">
        <v>175</v>
      </c>
      <c r="B57" s="2" t="s">
        <v>176</v>
      </c>
      <c r="D57" s="6"/>
      <c r="E57" s="6"/>
      <c r="H57" s="2" t="s">
        <v>177</v>
      </c>
      <c r="I57" s="2" t="s">
        <v>158</v>
      </c>
      <c r="K57" s="4"/>
      <c r="L57" s="6"/>
    </row>
    <row r="58" spans="1:12">
      <c r="A58" s="2" t="s">
        <v>178</v>
      </c>
      <c r="B58" s="2" t="s">
        <v>179</v>
      </c>
      <c r="D58" s="6"/>
      <c r="E58" s="6"/>
      <c r="H58" s="2" t="s">
        <v>180</v>
      </c>
      <c r="I58" s="2" t="s">
        <v>161</v>
      </c>
      <c r="K58" s="4"/>
      <c r="L58" s="6"/>
    </row>
    <row r="59" spans="1:12">
      <c r="A59" s="2" t="s">
        <v>181</v>
      </c>
      <c r="B59" s="2" t="s">
        <v>182</v>
      </c>
      <c r="D59" s="6"/>
      <c r="E59" s="6"/>
      <c r="H59" s="2" t="s">
        <v>183</v>
      </c>
      <c r="I59" s="3" t="s">
        <v>164</v>
      </c>
      <c r="K59" s="4"/>
      <c r="L59" s="7"/>
    </row>
    <row r="60" spans="1:12">
      <c r="A60" s="2" t="s">
        <v>184</v>
      </c>
      <c r="B60" s="2" t="s">
        <v>185</v>
      </c>
      <c r="D60" s="6"/>
      <c r="E60" s="6"/>
      <c r="H60" s="2" t="s">
        <v>186</v>
      </c>
      <c r="I60" s="3" t="s">
        <v>167</v>
      </c>
      <c r="K60" s="4"/>
      <c r="L60" s="7"/>
    </row>
    <row r="61" spans="1:12">
      <c r="A61" s="2" t="s">
        <v>187</v>
      </c>
      <c r="B61" s="3" t="s">
        <v>188</v>
      </c>
      <c r="D61" s="6"/>
      <c r="E61" s="6"/>
      <c r="H61" s="2" t="s">
        <v>189</v>
      </c>
      <c r="I61" s="3" t="s">
        <v>170</v>
      </c>
      <c r="K61" s="4"/>
      <c r="L61" s="7"/>
    </row>
    <row r="62" spans="1:12">
      <c r="A62" s="2" t="s">
        <v>190</v>
      </c>
      <c r="B62" s="3" t="s">
        <v>191</v>
      </c>
      <c r="D62" s="6"/>
      <c r="E62" s="6"/>
      <c r="H62" s="2" t="s">
        <v>192</v>
      </c>
      <c r="I62" s="3" t="s">
        <v>173</v>
      </c>
      <c r="K62" s="4"/>
      <c r="L62" s="7"/>
    </row>
    <row r="63" spans="1:12">
      <c r="A63" s="2" t="s">
        <v>193</v>
      </c>
      <c r="B63" s="3" t="s">
        <v>194</v>
      </c>
      <c r="D63" s="6"/>
      <c r="E63" s="6"/>
      <c r="H63" s="2" t="s">
        <v>195</v>
      </c>
      <c r="I63" s="3" t="s">
        <v>176</v>
      </c>
      <c r="K63" s="4"/>
      <c r="L63" s="7"/>
    </row>
    <row r="64" spans="1:12">
      <c r="A64" s="2" t="s">
        <v>196</v>
      </c>
      <c r="B64" s="3" t="s">
        <v>197</v>
      </c>
      <c r="D64" s="6"/>
      <c r="E64" s="6"/>
      <c r="H64" s="2" t="s">
        <v>198</v>
      </c>
      <c r="I64" s="3" t="s">
        <v>179</v>
      </c>
      <c r="K64" s="4"/>
      <c r="L64" s="7"/>
    </row>
    <row r="65" spans="1:12">
      <c r="A65" s="2" t="s">
        <v>199</v>
      </c>
      <c r="B65" s="3" t="s">
        <v>200</v>
      </c>
      <c r="D65" s="6"/>
      <c r="E65" s="6"/>
      <c r="H65" s="2" t="s">
        <v>201</v>
      </c>
      <c r="I65" s="3" t="s">
        <v>182</v>
      </c>
      <c r="K65" s="4"/>
      <c r="L65" s="7"/>
    </row>
    <row r="66" spans="1:12">
      <c r="A66" s="2" t="s">
        <v>202</v>
      </c>
      <c r="B66" s="3" t="s">
        <v>203</v>
      </c>
      <c r="D66" s="6"/>
      <c r="E66" s="6"/>
      <c r="H66" s="2" t="s">
        <v>204</v>
      </c>
      <c r="I66" s="3" t="s">
        <v>185</v>
      </c>
      <c r="K66" s="4"/>
      <c r="L66" s="7"/>
    </row>
    <row r="67" spans="1:12">
      <c r="A67" s="2" t="s">
        <v>205</v>
      </c>
      <c r="B67" s="3" t="s">
        <v>206</v>
      </c>
      <c r="D67" s="6"/>
      <c r="E67" s="6"/>
      <c r="H67" s="2" t="s">
        <v>207</v>
      </c>
      <c r="I67" s="3" t="s">
        <v>188</v>
      </c>
      <c r="K67" s="4"/>
      <c r="L67" s="7"/>
    </row>
    <row r="68" spans="1:12">
      <c r="A68" s="2" t="s">
        <v>208</v>
      </c>
      <c r="B68" s="3" t="s">
        <v>209</v>
      </c>
      <c r="D68" s="6"/>
      <c r="E68" s="6"/>
      <c r="H68" s="2" t="s">
        <v>210</v>
      </c>
      <c r="I68" s="3" t="s">
        <v>191</v>
      </c>
      <c r="K68" s="4"/>
      <c r="L68" s="7"/>
    </row>
    <row r="69" spans="1:12">
      <c r="A69" s="2" t="s">
        <v>211</v>
      </c>
      <c r="B69" s="3" t="s">
        <v>212</v>
      </c>
      <c r="D69" s="6"/>
      <c r="E69" s="6"/>
      <c r="H69" s="2" t="s">
        <v>213</v>
      </c>
      <c r="I69" s="3" t="s">
        <v>194</v>
      </c>
      <c r="K69" s="4"/>
      <c r="L69" s="7"/>
    </row>
    <row r="70" spans="1:12">
      <c r="A70" s="2" t="s">
        <v>214</v>
      </c>
      <c r="B70" s="3" t="s">
        <v>215</v>
      </c>
      <c r="D70" s="6"/>
      <c r="E70" s="6"/>
      <c r="H70" s="2" t="s">
        <v>216</v>
      </c>
      <c r="I70" s="3" t="s">
        <v>197</v>
      </c>
      <c r="K70" s="4"/>
      <c r="L70" s="7"/>
    </row>
    <row r="71" spans="1:12">
      <c r="A71" s="2" t="s">
        <v>217</v>
      </c>
      <c r="B71" s="3" t="s">
        <v>218</v>
      </c>
      <c r="D71" s="6"/>
      <c r="E71" s="6"/>
      <c r="H71" s="2" t="s">
        <v>219</v>
      </c>
      <c r="I71" s="3" t="s">
        <v>200</v>
      </c>
      <c r="K71" s="4"/>
      <c r="L71" s="7"/>
    </row>
    <row r="72" spans="1:12">
      <c r="A72" s="2" t="s">
        <v>220</v>
      </c>
      <c r="B72" s="3" t="s">
        <v>221</v>
      </c>
      <c r="D72" s="6"/>
      <c r="E72" s="6"/>
      <c r="H72" s="2" t="s">
        <v>222</v>
      </c>
      <c r="I72" s="3" t="s">
        <v>203</v>
      </c>
      <c r="K72" s="4"/>
      <c r="L72" s="7"/>
    </row>
    <row r="73" spans="1:12">
      <c r="A73" s="2" t="s">
        <v>223</v>
      </c>
      <c r="B73" s="5" t="s">
        <v>224</v>
      </c>
      <c r="D73" s="6"/>
      <c r="E73" s="6"/>
      <c r="H73" s="2" t="s">
        <v>225</v>
      </c>
      <c r="I73" s="2" t="s">
        <v>206</v>
      </c>
      <c r="K73" s="4"/>
      <c r="L73" s="6"/>
    </row>
    <row r="74" spans="1:12">
      <c r="A74" s="2" t="s">
        <v>226</v>
      </c>
      <c r="B74" s="5" t="s">
        <v>227</v>
      </c>
      <c r="D74" s="6"/>
      <c r="E74" s="6"/>
      <c r="H74" s="2" t="s">
        <v>228</v>
      </c>
      <c r="I74" s="8" t="s">
        <v>209</v>
      </c>
      <c r="K74" s="4"/>
      <c r="L74" s="9"/>
    </row>
    <row r="75" spans="1:12">
      <c r="A75" s="2" t="s">
        <v>229</v>
      </c>
      <c r="B75" s="5" t="s">
        <v>230</v>
      </c>
      <c r="D75" s="6"/>
      <c r="E75" s="6"/>
      <c r="H75" s="2" t="s">
        <v>231</v>
      </c>
      <c r="I75" s="8" t="s">
        <v>212</v>
      </c>
      <c r="K75" s="4"/>
      <c r="L75" s="9"/>
    </row>
    <row r="76" spans="1:12">
      <c r="A76" s="2" t="s">
        <v>232</v>
      </c>
      <c r="B76" s="5" t="s">
        <v>233</v>
      </c>
      <c r="D76" s="6"/>
      <c r="E76" s="6"/>
      <c r="H76" s="2" t="s">
        <v>234</v>
      </c>
      <c r="I76" s="8" t="s">
        <v>215</v>
      </c>
      <c r="K76" s="4"/>
      <c r="L76" s="9"/>
    </row>
    <row r="77" spans="1:12">
      <c r="A77" s="2" t="s">
        <v>235</v>
      </c>
      <c r="B77" s="3" t="s">
        <v>236</v>
      </c>
      <c r="D77" s="6"/>
      <c r="E77" s="6"/>
      <c r="H77" s="2" t="s">
        <v>237</v>
      </c>
      <c r="I77" s="8" t="s">
        <v>218</v>
      </c>
      <c r="K77" s="4"/>
      <c r="L77" s="9"/>
    </row>
    <row r="78" spans="1:12">
      <c r="A78" s="2" t="s">
        <v>238</v>
      </c>
      <c r="B78" s="3" t="s">
        <v>239</v>
      </c>
      <c r="D78" s="6"/>
      <c r="E78" s="6"/>
      <c r="H78" s="2" t="s">
        <v>240</v>
      </c>
      <c r="I78" s="8" t="s">
        <v>221</v>
      </c>
      <c r="K78" s="4"/>
      <c r="L78" s="9"/>
    </row>
    <row r="79" spans="1:12">
      <c r="A79" s="2" t="s">
        <v>241</v>
      </c>
      <c r="B79" s="5" t="s">
        <v>242</v>
      </c>
      <c r="D79" s="6"/>
      <c r="E79" s="6"/>
      <c r="H79" s="2" t="s">
        <v>243</v>
      </c>
      <c r="I79" s="8" t="s">
        <v>224</v>
      </c>
      <c r="K79" s="4"/>
      <c r="L79" s="9"/>
    </row>
    <row r="80" spans="1:12">
      <c r="A80" s="2" t="s">
        <v>244</v>
      </c>
      <c r="B80" s="5" t="s">
        <v>245</v>
      </c>
      <c r="D80" s="6"/>
      <c r="E80" s="6"/>
      <c r="H80" s="2" t="s">
        <v>246</v>
      </c>
      <c r="I80" s="8" t="s">
        <v>227</v>
      </c>
      <c r="K80" s="4"/>
      <c r="L80" s="9"/>
    </row>
    <row r="81" spans="1:12">
      <c r="A81" s="2" t="s">
        <v>247</v>
      </c>
      <c r="B81" s="5" t="s">
        <v>248</v>
      </c>
      <c r="D81" s="6"/>
      <c r="E81" s="6"/>
      <c r="H81" s="2" t="s">
        <v>249</v>
      </c>
      <c r="I81" s="8" t="s">
        <v>230</v>
      </c>
      <c r="K81" s="4"/>
      <c r="L81" s="9"/>
    </row>
    <row r="82" spans="1:12">
      <c r="A82" s="2" t="s">
        <v>250</v>
      </c>
      <c r="B82" s="5" t="s">
        <v>251</v>
      </c>
      <c r="D82" s="6"/>
      <c r="E82" s="6"/>
      <c r="H82" s="2" t="s">
        <v>252</v>
      </c>
      <c r="I82" s="8" t="s">
        <v>233</v>
      </c>
      <c r="K82" s="4"/>
      <c r="L82" s="9"/>
    </row>
    <row r="83" spans="1:12">
      <c r="A83" s="2" t="s">
        <v>253</v>
      </c>
      <c r="B83" s="3" t="s">
        <v>254</v>
      </c>
      <c r="D83" s="6"/>
      <c r="E83" s="6"/>
      <c r="H83" s="2" t="s">
        <v>255</v>
      </c>
      <c r="I83" s="8" t="s">
        <v>236</v>
      </c>
      <c r="K83" s="4"/>
      <c r="L83" s="9"/>
    </row>
    <row r="84" spans="1:12">
      <c r="A84" s="2" t="s">
        <v>256</v>
      </c>
      <c r="B84" s="3" t="s">
        <v>257</v>
      </c>
      <c r="D84" s="6"/>
      <c r="E84" s="6"/>
      <c r="H84" s="2" t="s">
        <v>258</v>
      </c>
      <c r="I84" s="8" t="s">
        <v>239</v>
      </c>
      <c r="K84" s="4"/>
      <c r="L84" s="9"/>
    </row>
    <row r="85" spans="1:12">
      <c r="A85" s="2" t="s">
        <v>259</v>
      </c>
      <c r="B85" s="5" t="s">
        <v>260</v>
      </c>
      <c r="D85" s="6"/>
      <c r="E85" s="6"/>
      <c r="H85" s="2" t="s">
        <v>261</v>
      </c>
      <c r="I85" s="8" t="s">
        <v>242</v>
      </c>
      <c r="K85" s="4"/>
      <c r="L85" s="9"/>
    </row>
    <row r="86" spans="1:12">
      <c r="A86" s="2" t="s">
        <v>262</v>
      </c>
      <c r="B86" s="5" t="s">
        <v>263</v>
      </c>
      <c r="D86" s="6"/>
      <c r="E86" s="6"/>
      <c r="H86" s="2" t="s">
        <v>264</v>
      </c>
      <c r="I86" s="8" t="s">
        <v>245</v>
      </c>
      <c r="K86" s="4"/>
      <c r="L86" s="9"/>
    </row>
    <row r="87" spans="1:12">
      <c r="A87" s="2" t="s">
        <v>265</v>
      </c>
      <c r="B87" s="5" t="s">
        <v>266</v>
      </c>
      <c r="D87" s="6"/>
      <c r="E87" s="6"/>
      <c r="H87" s="2" t="s">
        <v>267</v>
      </c>
      <c r="I87" s="8" t="s">
        <v>248</v>
      </c>
      <c r="K87" s="4"/>
      <c r="L87" s="9"/>
    </row>
    <row r="88" spans="1:12">
      <c r="A88" s="2" t="s">
        <v>268</v>
      </c>
      <c r="B88" s="5" t="s">
        <v>269</v>
      </c>
      <c r="D88" s="6"/>
      <c r="E88" s="6"/>
      <c r="H88" s="2" t="s">
        <v>270</v>
      </c>
      <c r="I88" s="8" t="s">
        <v>251</v>
      </c>
      <c r="K88" s="4"/>
      <c r="L88" s="9"/>
    </row>
    <row r="89" spans="1:12">
      <c r="A89" s="2" t="s">
        <v>271</v>
      </c>
      <c r="B89" s="3" t="s">
        <v>272</v>
      </c>
      <c r="D89" s="6"/>
      <c r="E89" s="6"/>
      <c r="H89" s="2" t="s">
        <v>273</v>
      </c>
      <c r="I89" s="8" t="s">
        <v>254</v>
      </c>
      <c r="K89" s="4"/>
      <c r="L89" s="9"/>
    </row>
    <row r="90" spans="1:12">
      <c r="A90" s="2" t="s">
        <v>274</v>
      </c>
      <c r="B90" s="3" t="s">
        <v>275</v>
      </c>
      <c r="D90" s="6"/>
      <c r="E90" s="6"/>
      <c r="H90" s="2" t="s">
        <v>276</v>
      </c>
      <c r="I90" s="8" t="s">
        <v>257</v>
      </c>
      <c r="K90" s="4"/>
      <c r="L90" s="9"/>
    </row>
    <row r="91" spans="1:12">
      <c r="A91" s="2" t="s">
        <v>277</v>
      </c>
      <c r="B91" s="5" t="s">
        <v>278</v>
      </c>
      <c r="D91" s="6"/>
      <c r="E91" s="6"/>
      <c r="H91" s="2" t="s">
        <v>279</v>
      </c>
      <c r="I91" s="8" t="s">
        <v>260</v>
      </c>
      <c r="K91" s="4"/>
      <c r="L91" s="9"/>
    </row>
    <row r="92" spans="1:12">
      <c r="A92" s="2" t="s">
        <v>280</v>
      </c>
      <c r="B92" s="5" t="s">
        <v>281</v>
      </c>
      <c r="D92" s="6"/>
      <c r="E92" s="6"/>
      <c r="H92" s="2" t="s">
        <v>282</v>
      </c>
      <c r="I92" s="2" t="s">
        <v>263</v>
      </c>
      <c r="K92" s="4"/>
      <c r="L92" s="6"/>
    </row>
    <row r="93" spans="1:12">
      <c r="A93" s="2" t="s">
        <v>283</v>
      </c>
      <c r="B93" s="5" t="s">
        <v>284</v>
      </c>
      <c r="D93" s="6"/>
      <c r="E93" s="6"/>
      <c r="H93" s="2" t="s">
        <v>285</v>
      </c>
      <c r="I93" s="2" t="s">
        <v>266</v>
      </c>
      <c r="K93" s="4"/>
      <c r="L93" s="6"/>
    </row>
    <row r="94" spans="1:12">
      <c r="A94" s="2" t="s">
        <v>286</v>
      </c>
      <c r="B94" s="5" t="s">
        <v>287</v>
      </c>
      <c r="D94" s="6"/>
      <c r="E94" s="6"/>
      <c r="H94" s="2" t="s">
        <v>288</v>
      </c>
      <c r="I94" s="2" t="s">
        <v>269</v>
      </c>
      <c r="K94" s="4"/>
      <c r="L94" s="6"/>
    </row>
    <row r="95" spans="1:12">
      <c r="A95" s="2" t="s">
        <v>289</v>
      </c>
      <c r="B95" s="3" t="s">
        <v>290</v>
      </c>
      <c r="D95" s="6"/>
      <c r="E95" s="6"/>
      <c r="H95" s="2" t="s">
        <v>291</v>
      </c>
      <c r="I95" s="2" t="s">
        <v>272</v>
      </c>
      <c r="K95" s="4"/>
      <c r="L95" s="6"/>
    </row>
    <row r="96" spans="1:12">
      <c r="A96" s="2" t="s">
        <v>292</v>
      </c>
      <c r="B96" s="3" t="s">
        <v>293</v>
      </c>
      <c r="D96" s="6"/>
      <c r="E96" s="6"/>
      <c r="H96" s="2" t="s">
        <v>294</v>
      </c>
      <c r="I96" s="2" t="s">
        <v>275</v>
      </c>
      <c r="K96" s="4"/>
      <c r="L96" s="6"/>
    </row>
    <row r="97" spans="1:12">
      <c r="A97" s="2" t="s">
        <v>295</v>
      </c>
      <c r="B97" s="5" t="s">
        <v>296</v>
      </c>
      <c r="D97" s="6"/>
      <c r="E97" s="6"/>
      <c r="H97" s="2" t="s">
        <v>297</v>
      </c>
      <c r="I97" s="2" t="s">
        <v>278</v>
      </c>
      <c r="K97" s="4"/>
      <c r="L97" s="6"/>
    </row>
    <row r="98" spans="1:12">
      <c r="A98" s="2" t="s">
        <v>298</v>
      </c>
      <c r="B98" s="5" t="s">
        <v>299</v>
      </c>
      <c r="D98" s="6"/>
      <c r="E98" s="6"/>
      <c r="H98" s="2" t="s">
        <v>300</v>
      </c>
      <c r="I98" s="2" t="s">
        <v>281</v>
      </c>
      <c r="K98" s="4"/>
      <c r="L98" s="6"/>
    </row>
    <row r="99" spans="1:12">
      <c r="A99" s="2" t="s">
        <v>301</v>
      </c>
      <c r="B99" s="5" t="s">
        <v>302</v>
      </c>
      <c r="D99" s="6"/>
      <c r="E99" s="6"/>
      <c r="H99" s="2" t="s">
        <v>303</v>
      </c>
      <c r="I99" s="2" t="s">
        <v>284</v>
      </c>
      <c r="K99" s="4"/>
      <c r="L99" s="6"/>
    </row>
    <row r="100" spans="1:12">
      <c r="A100" s="2" t="s">
        <v>304</v>
      </c>
      <c r="B100" s="5" t="s">
        <v>305</v>
      </c>
      <c r="D100" s="6"/>
      <c r="E100" s="6"/>
      <c r="H100" s="2" t="s">
        <v>306</v>
      </c>
      <c r="I100" s="2" t="s">
        <v>287</v>
      </c>
      <c r="K100" s="4"/>
      <c r="L100" s="6"/>
    </row>
    <row r="101" spans="1:12">
      <c r="A101" s="2" t="s">
        <v>307</v>
      </c>
      <c r="B101" s="3" t="s">
        <v>308</v>
      </c>
      <c r="D101" s="6"/>
      <c r="E101" s="6"/>
      <c r="H101" s="2" t="s">
        <v>309</v>
      </c>
      <c r="I101" s="2" t="s">
        <v>290</v>
      </c>
      <c r="K101" s="4"/>
      <c r="L101" s="6"/>
    </row>
    <row r="102" spans="1:12">
      <c r="A102" s="2" t="s">
        <v>310</v>
      </c>
      <c r="B102" s="3" t="s">
        <v>311</v>
      </c>
      <c r="D102" s="6"/>
      <c r="E102" s="6"/>
      <c r="H102" s="2" t="s">
        <v>312</v>
      </c>
      <c r="I102" s="2" t="s">
        <v>293</v>
      </c>
      <c r="K102" s="4"/>
      <c r="L102" s="6"/>
    </row>
    <row r="103" spans="1:12">
      <c r="A103" s="2" t="s">
        <v>313</v>
      </c>
      <c r="B103" s="2" t="s">
        <v>314</v>
      </c>
      <c r="D103" s="6"/>
      <c r="E103" s="6"/>
      <c r="H103" s="2" t="s">
        <v>315</v>
      </c>
      <c r="I103" s="2" t="s">
        <v>296</v>
      </c>
      <c r="K103" s="4"/>
      <c r="L103" s="6"/>
    </row>
    <row r="104" spans="1:12">
      <c r="A104" s="2" t="s">
        <v>316</v>
      </c>
      <c r="B104" s="2" t="s">
        <v>317</v>
      </c>
      <c r="D104" s="6"/>
      <c r="E104" s="6"/>
      <c r="H104" s="2" t="s">
        <v>318</v>
      </c>
      <c r="I104" s="2" t="s">
        <v>299</v>
      </c>
      <c r="K104" s="4"/>
      <c r="L104" s="6"/>
    </row>
    <row r="105" spans="1:12">
      <c r="H105" s="2" t="s">
        <v>319</v>
      </c>
      <c r="I105" s="2" t="s">
        <v>302</v>
      </c>
      <c r="K105" s="4"/>
      <c r="L105" s="6"/>
    </row>
    <row r="106" spans="1:12">
      <c r="H106" s="2" t="s">
        <v>320</v>
      </c>
      <c r="I106" s="2" t="s">
        <v>305</v>
      </c>
      <c r="K106" s="4"/>
      <c r="L106" s="6"/>
    </row>
    <row r="107" spans="1:12">
      <c r="H107" s="2" t="s">
        <v>321</v>
      </c>
      <c r="I107" s="2" t="s">
        <v>308</v>
      </c>
      <c r="K107" s="4"/>
      <c r="L107" s="6"/>
    </row>
    <row r="108" spans="1:12">
      <c r="H108" s="2" t="s">
        <v>322</v>
      </c>
      <c r="I108" s="2" t="s">
        <v>311</v>
      </c>
      <c r="K108" s="4"/>
      <c r="L108" s="6"/>
    </row>
    <row r="109" spans="1:12">
      <c r="H109" s="2" t="s">
        <v>323</v>
      </c>
      <c r="I109" s="2" t="s">
        <v>314</v>
      </c>
      <c r="K109" s="4"/>
      <c r="L109" s="6"/>
    </row>
    <row r="110" spans="1:12">
      <c r="H110" s="2" t="s">
        <v>324</v>
      </c>
      <c r="I110" s="2" t="s">
        <v>317</v>
      </c>
      <c r="K110" s="4"/>
      <c r="L110" s="6"/>
    </row>
  </sheetData>
  <phoneticPr fontId="11" type="noConversion"/>
  <pageMargins left="0.69930555555555596" right="0.69930555555555596" top="0.75" bottom="0.75"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election activeCell="G32" sqref="G1:G32"/>
    </sheetView>
  </sheetViews>
  <sheetFormatPr defaultColWidth="9" defaultRowHeight="13.5"/>
  <sheetData>
    <row r="1" spans="1:7">
      <c r="A1" s="1" t="s">
        <v>0</v>
      </c>
      <c r="B1">
        <v>50</v>
      </c>
      <c r="D1" t="s">
        <v>325</v>
      </c>
      <c r="F1">
        <v>2</v>
      </c>
      <c r="G1" t="str">
        <f>$F$1&amp;"-"&amp;B1</f>
        <v>2-50</v>
      </c>
    </row>
    <row r="2" spans="1:7">
      <c r="A2" s="1" t="s">
        <v>1</v>
      </c>
      <c r="B2">
        <f>B1+$D$2</f>
        <v>55</v>
      </c>
      <c r="D2">
        <v>5</v>
      </c>
      <c r="G2" t="str">
        <f>$F$1&amp;"-"&amp;B2</f>
        <v>2-55</v>
      </c>
    </row>
    <row r="3" spans="1:7">
      <c r="A3" s="1" t="s">
        <v>2</v>
      </c>
      <c r="B3">
        <f>B2+$D$2</f>
        <v>60</v>
      </c>
      <c r="D3" t="s">
        <v>325</v>
      </c>
      <c r="G3" t="str">
        <f t="shared" ref="G3:G32" si="0">$F$1&amp;"-"&amp;B3</f>
        <v>2-60</v>
      </c>
    </row>
    <row r="4" spans="1:7">
      <c r="A4" s="1" t="s">
        <v>3</v>
      </c>
      <c r="B4">
        <f>B3+$D$2</f>
        <v>65</v>
      </c>
      <c r="D4">
        <v>15</v>
      </c>
      <c r="G4" t="str">
        <f t="shared" si="0"/>
        <v>2-65</v>
      </c>
    </row>
    <row r="5" spans="1:7">
      <c r="A5" s="1" t="s">
        <v>4</v>
      </c>
      <c r="B5">
        <f t="shared" ref="B5:B11" si="1">B4+$D$2</f>
        <v>70</v>
      </c>
      <c r="D5" t="s">
        <v>326</v>
      </c>
      <c r="G5" t="str">
        <f t="shared" si="0"/>
        <v>2-70</v>
      </c>
    </row>
    <row r="6" spans="1:7">
      <c r="A6" s="1" t="s">
        <v>327</v>
      </c>
      <c r="B6">
        <f t="shared" si="1"/>
        <v>75</v>
      </c>
      <c r="D6">
        <v>25</v>
      </c>
      <c r="G6" t="str">
        <f t="shared" si="0"/>
        <v>2-75</v>
      </c>
    </row>
    <row r="7" spans="1:7">
      <c r="A7" s="1" t="s">
        <v>5</v>
      </c>
      <c r="B7">
        <f t="shared" si="1"/>
        <v>80</v>
      </c>
      <c r="G7" t="str">
        <f t="shared" si="0"/>
        <v>2-80</v>
      </c>
    </row>
    <row r="8" spans="1:7">
      <c r="A8" s="1" t="s">
        <v>328</v>
      </c>
      <c r="B8">
        <f t="shared" si="1"/>
        <v>85</v>
      </c>
      <c r="G8" t="str">
        <f t="shared" si="0"/>
        <v>2-85</v>
      </c>
    </row>
    <row r="9" spans="1:7">
      <c r="A9" s="1" t="s">
        <v>6</v>
      </c>
      <c r="B9">
        <f t="shared" si="1"/>
        <v>90</v>
      </c>
      <c r="G9" t="str">
        <f t="shared" si="0"/>
        <v>2-90</v>
      </c>
    </row>
    <row r="10" spans="1:7">
      <c r="A10" s="1" t="s">
        <v>329</v>
      </c>
      <c r="B10">
        <f t="shared" si="1"/>
        <v>95</v>
      </c>
      <c r="G10" t="str">
        <f t="shared" si="0"/>
        <v>2-95</v>
      </c>
    </row>
    <row r="11" spans="1:7">
      <c r="A11" s="1" t="s">
        <v>330</v>
      </c>
      <c r="B11">
        <f t="shared" si="1"/>
        <v>100</v>
      </c>
      <c r="G11" t="str">
        <f t="shared" si="0"/>
        <v>2-100</v>
      </c>
    </row>
    <row r="12" spans="1:7">
      <c r="A12" s="1" t="s">
        <v>331</v>
      </c>
      <c r="B12">
        <f>B11+$D$4</f>
        <v>115</v>
      </c>
      <c r="G12" t="str">
        <f t="shared" si="0"/>
        <v>2-115</v>
      </c>
    </row>
    <row r="13" spans="1:7">
      <c r="A13" s="1" t="s">
        <v>332</v>
      </c>
      <c r="B13">
        <f>B12+$D$4</f>
        <v>130</v>
      </c>
      <c r="G13" t="str">
        <f t="shared" si="0"/>
        <v>2-130</v>
      </c>
    </row>
    <row r="14" spans="1:7">
      <c r="A14" s="1" t="s">
        <v>333</v>
      </c>
      <c r="B14">
        <f t="shared" ref="B14:B22" si="2">B13+$D$4</f>
        <v>145</v>
      </c>
      <c r="G14" t="str">
        <f t="shared" si="0"/>
        <v>2-145</v>
      </c>
    </row>
    <row r="15" spans="1:7">
      <c r="A15" s="1" t="s">
        <v>334</v>
      </c>
      <c r="B15">
        <f t="shared" si="2"/>
        <v>160</v>
      </c>
      <c r="G15" t="str">
        <f t="shared" si="0"/>
        <v>2-160</v>
      </c>
    </row>
    <row r="16" spans="1:7">
      <c r="A16" s="1" t="s">
        <v>335</v>
      </c>
      <c r="B16">
        <f t="shared" si="2"/>
        <v>175</v>
      </c>
      <c r="G16" t="str">
        <f t="shared" si="0"/>
        <v>2-175</v>
      </c>
    </row>
    <row r="17" spans="1:7">
      <c r="A17" s="1" t="s">
        <v>336</v>
      </c>
      <c r="B17">
        <f t="shared" si="2"/>
        <v>190</v>
      </c>
      <c r="G17" t="str">
        <f t="shared" si="0"/>
        <v>2-190</v>
      </c>
    </row>
    <row r="18" spans="1:7">
      <c r="A18" s="1" t="s">
        <v>337</v>
      </c>
      <c r="B18">
        <f t="shared" si="2"/>
        <v>205</v>
      </c>
      <c r="G18" t="str">
        <f t="shared" si="0"/>
        <v>2-205</v>
      </c>
    </row>
    <row r="19" spans="1:7">
      <c r="A19" s="1" t="s">
        <v>338</v>
      </c>
      <c r="B19">
        <f t="shared" si="2"/>
        <v>220</v>
      </c>
      <c r="G19" t="str">
        <f t="shared" si="0"/>
        <v>2-220</v>
      </c>
    </row>
    <row r="20" spans="1:7">
      <c r="A20" s="1" t="s">
        <v>339</v>
      </c>
      <c r="B20">
        <f t="shared" si="2"/>
        <v>235</v>
      </c>
      <c r="G20" t="str">
        <f t="shared" si="0"/>
        <v>2-235</v>
      </c>
    </row>
    <row r="21" spans="1:7">
      <c r="A21" s="1" t="s">
        <v>340</v>
      </c>
      <c r="B21">
        <f t="shared" si="2"/>
        <v>250</v>
      </c>
      <c r="G21" t="str">
        <f t="shared" si="0"/>
        <v>2-250</v>
      </c>
    </row>
    <row r="22" spans="1:7">
      <c r="A22" s="1" t="s">
        <v>341</v>
      </c>
      <c r="B22">
        <f t="shared" si="2"/>
        <v>265</v>
      </c>
      <c r="G22" t="str">
        <f t="shared" si="0"/>
        <v>2-265</v>
      </c>
    </row>
    <row r="23" spans="1:7">
      <c r="A23" s="1" t="s">
        <v>342</v>
      </c>
      <c r="B23">
        <f>B22+$D$6</f>
        <v>290</v>
      </c>
      <c r="G23" t="str">
        <f t="shared" si="0"/>
        <v>2-290</v>
      </c>
    </row>
    <row r="24" spans="1:7">
      <c r="A24" s="1" t="s">
        <v>343</v>
      </c>
      <c r="B24">
        <f>B23+$D$6</f>
        <v>315</v>
      </c>
      <c r="G24" t="str">
        <f t="shared" si="0"/>
        <v>2-315</v>
      </c>
    </row>
    <row r="25" spans="1:7">
      <c r="A25" s="1" t="s">
        <v>344</v>
      </c>
      <c r="B25">
        <f t="shared" ref="B25:B32" si="3">B24+$D$6</f>
        <v>340</v>
      </c>
      <c r="G25" t="str">
        <f t="shared" si="0"/>
        <v>2-340</v>
      </c>
    </row>
    <row r="26" spans="1:7">
      <c r="A26" s="1" t="s">
        <v>345</v>
      </c>
      <c r="B26">
        <f t="shared" si="3"/>
        <v>365</v>
      </c>
      <c r="G26" t="str">
        <f t="shared" si="0"/>
        <v>2-365</v>
      </c>
    </row>
    <row r="27" spans="1:7">
      <c r="A27" s="1" t="s">
        <v>346</v>
      </c>
      <c r="B27">
        <f t="shared" si="3"/>
        <v>390</v>
      </c>
      <c r="G27" t="str">
        <f t="shared" si="0"/>
        <v>2-390</v>
      </c>
    </row>
    <row r="28" spans="1:7">
      <c r="A28" s="1" t="s">
        <v>347</v>
      </c>
      <c r="B28">
        <f t="shared" si="3"/>
        <v>415</v>
      </c>
      <c r="G28" t="str">
        <f t="shared" si="0"/>
        <v>2-415</v>
      </c>
    </row>
    <row r="29" spans="1:7">
      <c r="A29" s="1" t="s">
        <v>348</v>
      </c>
      <c r="B29">
        <f t="shared" si="3"/>
        <v>440</v>
      </c>
      <c r="G29" t="str">
        <f t="shared" si="0"/>
        <v>2-440</v>
      </c>
    </row>
    <row r="30" spans="1:7">
      <c r="A30" s="1" t="s">
        <v>349</v>
      </c>
      <c r="B30">
        <f t="shared" si="3"/>
        <v>465</v>
      </c>
      <c r="G30" t="str">
        <f t="shared" si="0"/>
        <v>2-465</v>
      </c>
    </row>
    <row r="31" spans="1:7">
      <c r="A31" s="1" t="s">
        <v>350</v>
      </c>
      <c r="B31">
        <f t="shared" si="3"/>
        <v>490</v>
      </c>
      <c r="G31" t="str">
        <f t="shared" si="0"/>
        <v>2-490</v>
      </c>
    </row>
    <row r="32" spans="1:7">
      <c r="A32" s="1" t="s">
        <v>351</v>
      </c>
      <c r="B32">
        <f t="shared" si="3"/>
        <v>515</v>
      </c>
      <c r="G32" t="str">
        <f t="shared" si="0"/>
        <v>2-515</v>
      </c>
    </row>
    <row r="33" spans="2:2">
      <c r="B33">
        <f>SUM(B1:B32)</f>
        <v>6940</v>
      </c>
    </row>
  </sheetData>
  <phoneticPr fontId="11"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songbowen</dc:creator>
  <cp:lastModifiedBy>chenhao 陈浩</cp:lastModifiedBy>
  <dcterms:created xsi:type="dcterms:W3CDTF">2006-09-16T00:00:00Z</dcterms:created>
  <dcterms:modified xsi:type="dcterms:W3CDTF">2016-09-28T01:52:29Z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2052-9.1.0.5133</vt:lpwstr>
  </property>
</Properties>
</file>