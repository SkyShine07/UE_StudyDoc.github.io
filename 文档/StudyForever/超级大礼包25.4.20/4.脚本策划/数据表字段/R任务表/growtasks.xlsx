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zsz\source\数据表\R任务表\"/>
    </mc:Choice>
  </mc:AlternateContent>
  <bookViews>
    <workbookView xWindow="0" yWindow="90" windowWidth="27870" windowHeight="13770"/>
  </bookViews>
  <sheets>
    <sheet name="Sheet1" sheetId="1" r:id="rId1"/>
    <sheet name="Sheet2" sheetId="2" r:id="rId2"/>
    <sheet name="Sheet3" sheetId="3" r:id="rId3"/>
  </sheets>
  <calcPr calcId="152511"/>
</workbook>
</file>

<file path=xl/calcChain.xml><?xml version="1.0" encoding="utf-8"?>
<calcChain xmlns="http://schemas.openxmlformats.org/spreadsheetml/2006/main">
  <c r="P8" i="1" l="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6" i="1" l="1"/>
  <c r="P7" i="1"/>
  <c r="P4" i="1"/>
  <c r="P5" i="1"/>
  <c r="B2" i="3" l="1"/>
  <c r="G1" i="3"/>
  <c r="G2" i="3" l="1"/>
  <c r="B3" i="3"/>
  <c r="K32" i="2"/>
  <c r="D2" i="2"/>
  <c r="E18" i="2"/>
  <c r="K1" i="2"/>
  <c r="D25" i="2"/>
  <c r="E10" i="2"/>
  <c r="K4" i="2"/>
  <c r="E26" i="2"/>
  <c r="E15" i="2"/>
  <c r="K52" i="2"/>
  <c r="D15" i="2"/>
  <c r="K18" i="2"/>
  <c r="K35" i="2"/>
  <c r="D8" i="2"/>
  <c r="L52" i="2"/>
  <c r="K28" i="2"/>
  <c r="E14" i="2"/>
  <c r="D4" i="2"/>
  <c r="L45" i="2"/>
  <c r="E19" i="2"/>
  <c r="E6" i="2"/>
  <c r="K51" i="2"/>
  <c r="E23" i="2"/>
  <c r="K33" i="2"/>
  <c r="K46" i="2"/>
  <c r="E5" i="2"/>
  <c r="L23" i="2"/>
  <c r="L36" i="2"/>
  <c r="K2" i="2"/>
  <c r="L26" i="2"/>
  <c r="L20" i="2"/>
  <c r="L31" i="2"/>
  <c r="D5" i="2"/>
  <c r="L49" i="2"/>
  <c r="L9" i="2"/>
  <c r="E16" i="2"/>
  <c r="E4" i="2"/>
  <c r="K39" i="2"/>
  <c r="L54" i="2"/>
  <c r="K47" i="2"/>
  <c r="D18" i="2"/>
  <c r="L25" i="2"/>
  <c r="D21" i="2"/>
  <c r="L38" i="2"/>
  <c r="K31" i="2"/>
  <c r="L40" i="2"/>
  <c r="E3" i="2"/>
  <c r="D7" i="2"/>
  <c r="K55" i="2"/>
  <c r="L33" i="2"/>
  <c r="L4" i="2"/>
  <c r="L39" i="2"/>
  <c r="E24" i="2"/>
  <c r="K45" i="2"/>
  <c r="K5" i="2"/>
  <c r="K6" i="2"/>
  <c r="D3" i="2"/>
  <c r="D23" i="2"/>
  <c r="K42" i="2"/>
  <c r="D9" i="2"/>
  <c r="L53" i="2"/>
  <c r="D14" i="2"/>
  <c r="D17" i="2"/>
  <c r="K16" i="2"/>
  <c r="K44" i="2"/>
  <c r="L22" i="2"/>
  <c r="K41" i="2"/>
  <c r="E25" i="2"/>
  <c r="L6" i="2"/>
  <c r="L8" i="2"/>
  <c r="D24" i="2"/>
  <c r="K27" i="2"/>
  <c r="D20" i="2"/>
  <c r="L24" i="2"/>
  <c r="E20" i="2"/>
  <c r="K43" i="2"/>
  <c r="L32" i="2"/>
  <c r="L16" i="2"/>
  <c r="K30" i="2"/>
  <c r="K14" i="2"/>
  <c r="K23" i="2"/>
  <c r="L17" i="2"/>
  <c r="L28" i="2"/>
  <c r="K34" i="2"/>
  <c r="K19" i="2"/>
  <c r="K7" i="2"/>
  <c r="L1" i="2"/>
  <c r="K29" i="2"/>
  <c r="K3" i="2"/>
  <c r="E17" i="2"/>
  <c r="K13" i="2"/>
  <c r="K12" i="2"/>
  <c r="K10" i="2"/>
  <c r="L29" i="2"/>
  <c r="L48" i="2"/>
  <c r="L46" i="2"/>
  <c r="K53" i="2"/>
  <c r="K20" i="2"/>
  <c r="K40" i="2"/>
  <c r="E2" i="2"/>
  <c r="L34" i="2"/>
  <c r="L13" i="2"/>
  <c r="L37" i="2"/>
  <c r="L7" i="2"/>
  <c r="K25" i="2"/>
  <c r="L51" i="2"/>
  <c r="L14" i="2"/>
  <c r="D10" i="2"/>
  <c r="L12" i="2"/>
  <c r="L41" i="2"/>
  <c r="L30" i="2"/>
  <c r="L19" i="2"/>
  <c r="K21" i="2"/>
  <c r="K54" i="2"/>
  <c r="K37" i="2"/>
  <c r="K26" i="2"/>
  <c r="D13" i="2"/>
  <c r="L43" i="2"/>
  <c r="D19" i="2"/>
  <c r="L47" i="2"/>
  <c r="K8" i="2"/>
  <c r="L42" i="2"/>
  <c r="D16" i="2"/>
  <c r="K17" i="2"/>
  <c r="L10" i="2"/>
  <c r="E9" i="2"/>
  <c r="L44" i="2"/>
  <c r="L35" i="2"/>
  <c r="D1" i="2"/>
  <c r="D22" i="2"/>
  <c r="L27" i="2"/>
  <c r="K50" i="2"/>
  <c r="E12" i="2"/>
  <c r="L50" i="2"/>
  <c r="L18" i="2"/>
  <c r="D11" i="2"/>
  <c r="K36" i="2"/>
  <c r="K22" i="2"/>
  <c r="E13" i="2"/>
  <c r="L5" i="2"/>
  <c r="E7" i="2"/>
  <c r="K38" i="2"/>
  <c r="K24" i="2"/>
  <c r="D6" i="2"/>
  <c r="E22" i="2"/>
  <c r="E11" i="2"/>
  <c r="D26" i="2"/>
  <c r="L15" i="2"/>
  <c r="L3" i="2"/>
  <c r="D12" i="2"/>
  <c r="L11" i="2"/>
  <c r="K11" i="2"/>
  <c r="K49" i="2"/>
  <c r="L2" i="2"/>
  <c r="K48" i="2"/>
  <c r="E1" i="2"/>
  <c r="L55" i="2"/>
  <c r="E21" i="2"/>
  <c r="L21" i="2"/>
  <c r="E8" i="2"/>
  <c r="K9" i="2"/>
  <c r="K15" i="2"/>
  <c r="B4" i="3" l="1"/>
  <c r="G3" i="3"/>
  <c r="B5" i="3" l="1"/>
  <c r="G4" i="3"/>
  <c r="B6" i="3" l="1"/>
  <c r="G5" i="3"/>
  <c r="B7" i="3" l="1"/>
  <c r="G6" i="3"/>
  <c r="B8" i="3" l="1"/>
  <c r="G7" i="3"/>
  <c r="B9" i="3" l="1"/>
  <c r="G8" i="3"/>
  <c r="B10" i="3" l="1"/>
  <c r="G9" i="3"/>
  <c r="B11" i="3" l="1"/>
  <c r="G10" i="3"/>
  <c r="B12" i="3" l="1"/>
  <c r="G11" i="3"/>
  <c r="B13" i="3" l="1"/>
  <c r="G12" i="3"/>
  <c r="B14" i="3" l="1"/>
  <c r="G13" i="3"/>
  <c r="B15" i="3" l="1"/>
  <c r="G14" i="3"/>
  <c r="B16" i="3" l="1"/>
  <c r="G15" i="3"/>
  <c r="B17" i="3" l="1"/>
  <c r="G16" i="3"/>
  <c r="B18" i="3" l="1"/>
  <c r="G17" i="3"/>
  <c r="B19" i="3" l="1"/>
  <c r="G18" i="3"/>
  <c r="B20" i="3" l="1"/>
  <c r="G19" i="3"/>
  <c r="B21" i="3" l="1"/>
  <c r="G20" i="3"/>
  <c r="B22" i="3" l="1"/>
  <c r="G21" i="3"/>
  <c r="B23" i="3" l="1"/>
  <c r="G22" i="3"/>
  <c r="B24" i="3" l="1"/>
  <c r="G23" i="3"/>
  <c r="B25" i="3" l="1"/>
  <c r="G24" i="3"/>
  <c r="B26" i="3" l="1"/>
  <c r="G25" i="3"/>
  <c r="B27" i="3" l="1"/>
  <c r="G26" i="3"/>
  <c r="B28" i="3" l="1"/>
  <c r="G27" i="3"/>
  <c r="B29" i="3" l="1"/>
  <c r="G28" i="3"/>
  <c r="B30" i="3" l="1"/>
  <c r="G29" i="3"/>
  <c r="B31" i="3" l="1"/>
  <c r="G30" i="3"/>
  <c r="B32" i="3" l="1"/>
  <c r="G31" i="3"/>
  <c r="G32" i="3" l="1"/>
  <c r="B33" i="3"/>
</calcChain>
</file>

<file path=xl/sharedStrings.xml><?xml version="1.0" encoding="utf-8"?>
<sst xmlns="http://schemas.openxmlformats.org/spreadsheetml/2006/main" count="1813" uniqueCount="893">
  <si>
    <t>2-50</t>
  </si>
  <si>
    <t>拥有6个英雄</t>
  </si>
  <si>
    <t>拥有7个英雄</t>
  </si>
  <si>
    <t>拥有8个英雄</t>
  </si>
  <si>
    <t>2-75</t>
  </si>
  <si>
    <t>2-100</t>
  </si>
  <si>
    <t>竞技场进入前1000名</t>
  </si>
  <si>
    <t>竞技场进入前900名</t>
  </si>
  <si>
    <t>竞技场进入前800名</t>
  </si>
  <si>
    <t>竞技场进入前700名</t>
  </si>
  <si>
    <t>竞技场进入前600名</t>
  </si>
  <si>
    <t>竞技场进入前500名</t>
  </si>
  <si>
    <t>竞技场进入前400名</t>
  </si>
  <si>
    <t>竞技场进入前300名</t>
  </si>
  <si>
    <t>竞技场进入前275名</t>
  </si>
  <si>
    <t>竞技场进入前250名</t>
  </si>
  <si>
    <t>2-125</t>
  </si>
  <si>
    <t>竞技场进入前225名</t>
  </si>
  <si>
    <t>竞技场进入前200名</t>
  </si>
  <si>
    <t>竞技场进入前180名</t>
  </si>
  <si>
    <t>竞技场进入前160名</t>
  </si>
  <si>
    <t>竞技场进入前140名</t>
  </si>
  <si>
    <t>2-150</t>
  </si>
  <si>
    <t>竞技场进入前120名</t>
  </si>
  <si>
    <t>竞技场进入前100名</t>
  </si>
  <si>
    <t>竞技场进入前90名</t>
  </si>
  <si>
    <t>竞技场进入前80名</t>
  </si>
  <si>
    <t>竞技场进入前70名</t>
  </si>
  <si>
    <t>2-200</t>
  </si>
  <si>
    <t>竞技场进入前60名</t>
  </si>
  <si>
    <t>竞技场进入前50名</t>
  </si>
  <si>
    <t>竞技场进入前45名</t>
  </si>
  <si>
    <t>竞技场进入前40名</t>
  </si>
  <si>
    <t>竞技场进入前35名</t>
  </si>
  <si>
    <t>2-250</t>
  </si>
  <si>
    <t>竞技场进入前30名</t>
  </si>
  <si>
    <t>竞技场进入前25名</t>
  </si>
  <si>
    <t>竞技场进入前20名</t>
  </si>
  <si>
    <t>竞技场进入前15名</t>
  </si>
  <si>
    <t>竞技场进入前10名</t>
  </si>
  <si>
    <t>竞技场进入前8名</t>
  </si>
  <si>
    <t>竞技场进入前6名</t>
  </si>
  <si>
    <t>竞技场进入前4名</t>
  </si>
  <si>
    <t>竞技场进入前3名</t>
  </si>
  <si>
    <t>竞技场进入前2名</t>
  </si>
  <si>
    <t>竞技场进入前1名</t>
  </si>
  <si>
    <t>战菊</t>
  </si>
  <si>
    <t>18020101</t>
  </si>
  <si>
    <t>诺大斧</t>
  </si>
  <si>
    <t>十薇九坑</t>
  </si>
  <si>
    <t>18020102</t>
  </si>
  <si>
    <t>蒙氏菜刀</t>
  </si>
  <si>
    <t>公主来几发</t>
  </si>
  <si>
    <t>18020103</t>
  </si>
  <si>
    <t>你是我的眼</t>
  </si>
  <si>
    <t>团战可以输</t>
  </si>
  <si>
    <t>18020104</t>
  </si>
  <si>
    <t>发抖的小喵喵</t>
  </si>
  <si>
    <t>好运</t>
  </si>
  <si>
    <t>18020105</t>
  </si>
  <si>
    <t>逆命</t>
  </si>
  <si>
    <t>女郎光杀炮</t>
  </si>
  <si>
    <t>18020106</t>
  </si>
  <si>
    <t>宿命的旋转</t>
  </si>
  <si>
    <t>18010207</t>
  </si>
  <si>
    <t>草在人在</t>
  </si>
  <si>
    <t>18020201</t>
  </si>
  <si>
    <t>18010208</t>
  </si>
  <si>
    <t>BIU~BIU~</t>
  </si>
  <si>
    <t>18020202</t>
  </si>
  <si>
    <t>18010301</t>
  </si>
  <si>
    <t>挺胸弹琴</t>
  </si>
  <si>
    <t>18020203</t>
  </si>
  <si>
    <t>18010302</t>
  </si>
  <si>
    <t>易剑连</t>
  </si>
  <si>
    <t>18020204</t>
  </si>
  <si>
    <t>18010303</t>
  </si>
  <si>
    <t>灯泡带闪电</t>
  </si>
  <si>
    <t>18020205</t>
  </si>
  <si>
    <t>18010304</t>
  </si>
  <si>
    <t>奶妈给你爱</t>
  </si>
  <si>
    <t>18020206</t>
  </si>
  <si>
    <t>18010305</t>
  </si>
  <si>
    <t>我心飞翔</t>
  </si>
  <si>
    <t>18020207</t>
  </si>
  <si>
    <t>18010306</t>
  </si>
  <si>
    <t>手术菜刀</t>
  </si>
  <si>
    <t>18020208</t>
  </si>
  <si>
    <t>18010307</t>
  </si>
  <si>
    <t>坚如磐石</t>
  </si>
  <si>
    <t>18020301</t>
  </si>
  <si>
    <t>18010308</t>
  </si>
  <si>
    <t>空间传送</t>
  </si>
  <si>
    <t>18020302</t>
  </si>
  <si>
    <t>18010401</t>
  </si>
  <si>
    <t>看门狗</t>
  </si>
  <si>
    <t>18020303</t>
  </si>
  <si>
    <t>18010402</t>
  </si>
  <si>
    <t>横冲直撞</t>
  </si>
  <si>
    <t>18020304</t>
  </si>
  <si>
    <t>18010403</t>
  </si>
  <si>
    <t>蛇牙</t>
  </si>
  <si>
    <t>18020305</t>
  </si>
  <si>
    <t>18010404</t>
  </si>
  <si>
    <t>瞬步</t>
  </si>
  <si>
    <t>18020306</t>
  </si>
  <si>
    <t>18010405</t>
  </si>
  <si>
    <t>带头冲锋</t>
  </si>
  <si>
    <t>18020307</t>
  </si>
  <si>
    <t>18010406</t>
  </si>
  <si>
    <t>大杀四方</t>
  </si>
  <si>
    <t>18020308</t>
  </si>
  <si>
    <t>18010407</t>
  </si>
  <si>
    <t>留蓝放无敌</t>
  </si>
  <si>
    <t>18020401</t>
  </si>
  <si>
    <t>18010408</t>
  </si>
  <si>
    <t>灵魂榨汁机</t>
  </si>
  <si>
    <t>18020402</t>
  </si>
  <si>
    <t>18010501</t>
  </si>
  <si>
    <t>摇滚和弦</t>
  </si>
  <si>
    <t>18020403</t>
  </si>
  <si>
    <t>18010502</t>
  </si>
  <si>
    <t>真银箭</t>
  </si>
  <si>
    <t>18020404</t>
  </si>
  <si>
    <t>18010503</t>
  </si>
  <si>
    <t>枪出如龙</t>
  </si>
  <si>
    <t>18020405</t>
  </si>
  <si>
    <t>18010504</t>
  </si>
  <si>
    <t>鸡蛋碰石头</t>
  </si>
  <si>
    <t>18020406</t>
  </si>
  <si>
    <t>18010505</t>
  </si>
  <si>
    <t>清算</t>
  </si>
  <si>
    <t>18020407</t>
  </si>
  <si>
    <t>18010506</t>
  </si>
  <si>
    <t>技术流</t>
  </si>
  <si>
    <t>18020408</t>
  </si>
  <si>
    <t>18010507</t>
  </si>
  <si>
    <t>焰火萝莉</t>
  </si>
  <si>
    <t>18020501</t>
  </si>
  <si>
    <t>18010508</t>
  </si>
  <si>
    <t>悲伤的绷带</t>
  </si>
  <si>
    <t>18020502</t>
  </si>
  <si>
    <t>18010601</t>
  </si>
  <si>
    <t>凝神静气</t>
  </si>
  <si>
    <t>18020503</t>
  </si>
  <si>
    <t>18010602</t>
  </si>
  <si>
    <t>星语聆听</t>
  </si>
  <si>
    <t>18020504</t>
  </si>
  <si>
    <t>18010603</t>
  </si>
  <si>
    <t>双枪小妞</t>
  </si>
  <si>
    <t>18020505</t>
  </si>
  <si>
    <t>18010604</t>
  </si>
  <si>
    <t>兄弟</t>
  </si>
  <si>
    <t>18020506</t>
  </si>
  <si>
    <t>18010605</t>
  </si>
  <si>
    <t>禁锢</t>
  </si>
  <si>
    <t>18020507</t>
  </si>
  <si>
    <t>18010606</t>
  </si>
  <si>
    <t>汪汪汪</t>
  </si>
  <si>
    <t>18020508</t>
  </si>
  <si>
    <t>18010607</t>
  </si>
  <si>
    <t>法术机关枪</t>
  </si>
  <si>
    <t>18020601</t>
  </si>
  <si>
    <t>18010608</t>
  </si>
  <si>
    <t>铁手拦江</t>
  </si>
  <si>
    <t>18020602</t>
  </si>
  <si>
    <t>18010701</t>
  </si>
  <si>
    <t>提伯斯之怒</t>
  </si>
  <si>
    <t>18020603</t>
  </si>
  <si>
    <t>18010702</t>
  </si>
  <si>
    <t>千王之王</t>
  </si>
  <si>
    <t>18020604</t>
  </si>
  <si>
    <t>18010703</t>
  </si>
  <si>
    <t>绝望之拥</t>
  </si>
  <si>
    <t>18020605</t>
  </si>
  <si>
    <t>18010704</t>
  </si>
  <si>
    <t>迷雾</t>
  </si>
  <si>
    <t>18020606</t>
  </si>
  <si>
    <t>18010705</t>
  </si>
  <si>
    <t>叆华知音</t>
  </si>
  <si>
    <t>18020607</t>
  </si>
  <si>
    <t>18010706</t>
  </si>
  <si>
    <t>双生彩虹</t>
  </si>
  <si>
    <t>18020608</t>
  </si>
  <si>
    <t>18010707</t>
  </si>
  <si>
    <t>进击的蘑菇</t>
  </si>
  <si>
    <t>18020701</t>
  </si>
  <si>
    <t>18010708</t>
  </si>
  <si>
    <t>穿云箭</t>
  </si>
  <si>
    <t>18020702</t>
  </si>
  <si>
    <t>18010801</t>
  </si>
  <si>
    <t>巨弩</t>
  </si>
  <si>
    <t>18020703</t>
  </si>
  <si>
    <t>18010802</t>
  </si>
  <si>
    <t>陷阵</t>
  </si>
  <si>
    <t>18020704</t>
  </si>
  <si>
    <t>18010803</t>
  </si>
  <si>
    <t>曲光反射</t>
  </si>
  <si>
    <t>18020705</t>
  </si>
  <si>
    <t>18010804</t>
  </si>
  <si>
    <t>焦背熊</t>
  </si>
  <si>
    <t>18020706</t>
  </si>
  <si>
    <t>18010805</t>
  </si>
  <si>
    <t>海克斯弹簧刀</t>
  </si>
  <si>
    <t>18020707</t>
  </si>
  <si>
    <t>18010806</t>
  </si>
  <si>
    <t>符文草席</t>
  </si>
  <si>
    <t>18020708</t>
  </si>
  <si>
    <t>18010807</t>
  </si>
  <si>
    <t>震颤</t>
  </si>
  <si>
    <t>18020801</t>
  </si>
  <si>
    <t>18010808</t>
  </si>
  <si>
    <t>健忘萌医</t>
  </si>
  <si>
    <t>18020802</t>
  </si>
  <si>
    <t>18010901</t>
  </si>
  <si>
    <t>汲魂</t>
  </si>
  <si>
    <t>18020803</t>
  </si>
  <si>
    <t>18010902</t>
  </si>
  <si>
    <t>戈壁暴君</t>
  </si>
  <si>
    <t>18020804</t>
  </si>
  <si>
    <t>18010903</t>
  </si>
  <si>
    <t>沙中扬帆</t>
  </si>
  <si>
    <t>18020805</t>
  </si>
  <si>
    <t>18010904</t>
  </si>
  <si>
    <t>α与β</t>
  </si>
  <si>
    <t>18020806</t>
  </si>
  <si>
    <t>18010905</t>
  </si>
  <si>
    <t>哭哭脸</t>
  </si>
  <si>
    <t>18020807</t>
  </si>
  <si>
    <t>18010906</t>
  </si>
  <si>
    <t>鹰击长空</t>
  </si>
  <si>
    <t>18020808</t>
  </si>
  <si>
    <t>18010907</t>
  </si>
  <si>
    <t>伪主角光环</t>
  </si>
  <si>
    <t>18020901</t>
  </si>
  <si>
    <t>18010908</t>
  </si>
  <si>
    <t>队长在送命</t>
  </si>
  <si>
    <t>18020902</t>
  </si>
  <si>
    <t>18011001</t>
  </si>
  <si>
    <t>蓄电池</t>
  </si>
  <si>
    <t>18020903</t>
  </si>
  <si>
    <t>18011002</t>
  </si>
  <si>
    <t>星界祝福</t>
  </si>
  <si>
    <t>18020904</t>
  </si>
  <si>
    <t>18011003</t>
  </si>
  <si>
    <t>无声胜有声</t>
  </si>
  <si>
    <t>18020905</t>
  </si>
  <si>
    <t>18011004</t>
  </si>
  <si>
    <t>蛮石</t>
  </si>
  <si>
    <t>18020906</t>
  </si>
  <si>
    <t>18011005</t>
  </si>
  <si>
    <t>堕天大斧</t>
  </si>
  <si>
    <t>18020907</t>
  </si>
  <si>
    <t>18011006</t>
  </si>
  <si>
    <t>暗黑小学生</t>
  </si>
  <si>
    <t>18020908</t>
  </si>
  <si>
    <t>18011007</t>
  </si>
  <si>
    <t>海盗狂花</t>
  </si>
  <si>
    <t>18021001</t>
  </si>
  <si>
    <t>18011008</t>
  </si>
  <si>
    <t>剑刃与意志</t>
  </si>
  <si>
    <t>18021002</t>
  </si>
  <si>
    <t>18011101</t>
  </si>
  <si>
    <t>鹰爪三连击</t>
  </si>
  <si>
    <t>18021003</t>
  </si>
  <si>
    <t>18011102</t>
  </si>
  <si>
    <t>二重唱</t>
  </si>
  <si>
    <t>18021004</t>
  </si>
  <si>
    <t>18011103</t>
  </si>
  <si>
    <t>正中眉心</t>
  </si>
  <si>
    <t>18021005</t>
  </si>
  <si>
    <t>18011104</t>
  </si>
  <si>
    <t>跃动</t>
  </si>
  <si>
    <t>18021006</t>
  </si>
  <si>
    <t>18011105</t>
  </si>
  <si>
    <t>荆棘纹身</t>
  </si>
  <si>
    <t>18021007</t>
  </si>
  <si>
    <t>18011106</t>
  </si>
  <si>
    <t>审判圣焰</t>
  </si>
  <si>
    <t>18021008</t>
  </si>
  <si>
    <t>18011107</t>
  </si>
  <si>
    <t>落星术</t>
  </si>
  <si>
    <t>18021101</t>
  </si>
  <si>
    <t>18011108</t>
  </si>
  <si>
    <t>草丛王者</t>
  </si>
  <si>
    <t>18021102</t>
  </si>
  <si>
    <t>18011201</t>
  </si>
  <si>
    <t>与熊共舞</t>
  </si>
  <si>
    <t>18021103</t>
  </si>
  <si>
    <t>18011202</t>
  </si>
  <si>
    <t>孤独诅咒</t>
  </si>
  <si>
    <t>18021104</t>
  </si>
  <si>
    <t>18011203</t>
  </si>
  <si>
    <t>浩劫</t>
  </si>
  <si>
    <t>18021105</t>
  </si>
  <si>
    <t>18011204</t>
  </si>
  <si>
    <t>灌铅骰子</t>
  </si>
  <si>
    <t>18021106</t>
  </si>
  <si>
    <t>18011205</t>
  </si>
  <si>
    <t>沙漠风暴</t>
  </si>
  <si>
    <t>18021107</t>
  </si>
  <si>
    <t>18011206</t>
  </si>
  <si>
    <t>花岗岩</t>
  </si>
  <si>
    <t>18021108</t>
  </si>
  <si>
    <t>18011207</t>
  </si>
  <si>
    <t>死战不休</t>
  </si>
  <si>
    <t>18021201</t>
  </si>
  <si>
    <t>18011208</t>
  </si>
  <si>
    <t>姐姐是杀手</t>
  </si>
  <si>
    <t>18021202</t>
  </si>
  <si>
    <t>18011301</t>
  </si>
  <si>
    <t>远程支援</t>
  </si>
  <si>
    <t>18021203</t>
  </si>
  <si>
    <t>18011302</t>
  </si>
  <si>
    <t>新月横扫</t>
  </si>
  <si>
    <t>18021204</t>
  </si>
  <si>
    <t>18011303</t>
  </si>
  <si>
    <t>翻滚的猎人</t>
  </si>
  <si>
    <t>18021205</t>
  </si>
  <si>
    <t>18011304</t>
  </si>
  <si>
    <t>咏叹</t>
  </si>
  <si>
    <t>18021206</t>
  </si>
  <si>
    <t>18011305</t>
  </si>
  <si>
    <t>人剑合一</t>
  </si>
  <si>
    <t>18021207</t>
  </si>
  <si>
    <t>18011306</t>
  </si>
  <si>
    <t>庇护</t>
  </si>
  <si>
    <t>18021208</t>
  </si>
  <si>
    <t>18011307</t>
  </si>
  <si>
    <t>北地公主</t>
  </si>
  <si>
    <t>18021301</t>
  </si>
  <si>
    <t>18011308</t>
  </si>
  <si>
    <t>矮矬穷</t>
  </si>
  <si>
    <t>18021302</t>
  </si>
  <si>
    <t>18011401</t>
  </si>
  <si>
    <t>苦痛腐蚀</t>
  </si>
  <si>
    <t>18021303</t>
  </si>
  <si>
    <t>18011402</t>
  </si>
  <si>
    <t>倾盆弹雨</t>
  </si>
  <si>
    <t>18021304</t>
  </si>
  <si>
    <t>18011403</t>
  </si>
  <si>
    <t>四把多兰剑</t>
  </si>
  <si>
    <t>18021305</t>
  </si>
  <si>
    <t>18011404</t>
  </si>
  <si>
    <t>罪与罚</t>
  </si>
  <si>
    <t>18021306</t>
  </si>
  <si>
    <t>18011405</t>
  </si>
  <si>
    <t>背水一战</t>
  </si>
  <si>
    <t>18021307</t>
  </si>
  <si>
    <t>18011406</t>
  </si>
  <si>
    <t>荒漠之咬</t>
  </si>
  <si>
    <t>18021308</t>
  </si>
  <si>
    <t>18011407</t>
  </si>
  <si>
    <t>五杀</t>
  </si>
  <si>
    <t>18021401</t>
  </si>
  <si>
    <t>18011408</t>
  </si>
  <si>
    <t>无极之道</t>
  </si>
  <si>
    <t>18021402</t>
  </si>
  <si>
    <t>18021403</t>
  </si>
  <si>
    <t>18021404</t>
  </si>
  <si>
    <t>18021405</t>
  </si>
  <si>
    <t>18021406</t>
  </si>
  <si>
    <t>18021407</t>
  </si>
  <si>
    <t>18021408</t>
  </si>
  <si>
    <t>11差值</t>
  </si>
  <si>
    <t>10差值</t>
  </si>
  <si>
    <t>2-175</t>
  </si>
  <si>
    <t>2-225</t>
  </si>
  <si>
    <t>2-275</t>
  </si>
  <si>
    <t>2-300</t>
  </si>
  <si>
    <t>2-325</t>
  </si>
  <si>
    <t>2-350</t>
  </si>
  <si>
    <t>2-375</t>
  </si>
  <si>
    <t>2-400</t>
  </si>
  <si>
    <t>2-425</t>
  </si>
  <si>
    <t>2-450</t>
  </si>
  <si>
    <t>2-475</t>
  </si>
  <si>
    <t>2-500</t>
  </si>
  <si>
    <t>2-525</t>
  </si>
  <si>
    <t>2-550</t>
  </si>
  <si>
    <t>2-575</t>
  </si>
  <si>
    <t>2-600</t>
  </si>
  <si>
    <t>2-625</t>
  </si>
  <si>
    <t>2-650</t>
  </si>
  <si>
    <t>2-675</t>
  </si>
  <si>
    <t>2-700</t>
  </si>
  <si>
    <t>2-725</t>
  </si>
  <si>
    <t>2-750</t>
  </si>
  <si>
    <t>2-775</t>
  </si>
  <si>
    <t>2-800</t>
  </si>
  <si>
    <t>2-825</t>
  </si>
  <si>
    <t>int-id</t>
    <phoneticPr fontId="11" type="noConversion"/>
  </si>
  <si>
    <t>string-name</t>
    <phoneticPr fontId="11" type="noConversion"/>
  </si>
  <si>
    <t>string-info</t>
    <phoneticPr fontId="11" type="noConversion"/>
  </si>
  <si>
    <t>string-icon</t>
    <phoneticPr fontId="11" type="noConversion"/>
  </si>
  <si>
    <t>int-index</t>
    <phoneticPr fontId="11" type="noConversion"/>
  </si>
  <si>
    <t>int-level</t>
    <phoneticPr fontId="11" type="noConversion"/>
  </si>
  <si>
    <t>int-function</t>
    <phoneticPr fontId="11" type="noConversion"/>
  </si>
  <si>
    <t>int-record</t>
    <phoneticPr fontId="11" type="noConversion"/>
  </si>
  <si>
    <t>int-param</t>
    <phoneticPr fontId="11" type="noConversion"/>
  </si>
  <si>
    <t>int-count</t>
    <phoneticPr fontId="11" type="noConversion"/>
  </si>
  <si>
    <t>string-completionTimeStart</t>
    <phoneticPr fontId="11" type="noConversion"/>
  </si>
  <si>
    <t>string-completionTimeEnd</t>
    <phoneticPr fontId="11" type="noConversion"/>
  </si>
  <si>
    <t>intArr:awardItem:|:-</t>
    <phoneticPr fontId="11" type="noConversion"/>
  </si>
  <si>
    <t>intArr:awardValue:|:-</t>
    <phoneticPr fontId="11" type="noConversion"/>
  </si>
  <si>
    <t>int-nextTask</t>
    <phoneticPr fontId="11" type="noConversion"/>
  </si>
  <si>
    <t>int-linkType</t>
    <phoneticPr fontId="11" type="noConversion"/>
  </si>
  <si>
    <t>0：不需要记录
1：需要记录的</t>
    <phoneticPr fontId="11" type="noConversion"/>
  </si>
  <si>
    <t>年月日时分
每个占两位
例如
2013年2月5日0点15分
表示为13-02-05-00-15
#表示任意
每天下午1点10分
表示为#-#-#-13-10</t>
    <phoneticPr fontId="11" type="noConversion"/>
  </si>
  <si>
    <t>规则同开始时间</t>
    <phoneticPr fontId="11" type="noConversion"/>
  </si>
  <si>
    <t xml:space="preserve">格式：物品1ID-物品数量|物品2ID-物品数量|…
例子：14000001-1|15000002-8
</t>
    <phoneticPr fontId="11" type="noConversion"/>
  </si>
  <si>
    <t>0表示任意</t>
    <phoneticPr fontId="11" type="noConversion"/>
  </si>
  <si>
    <t>任务等级</t>
    <phoneticPr fontId="11" type="noConversion"/>
  </si>
  <si>
    <t>区别每条任务链</t>
    <phoneticPr fontId="11" type="noConversion"/>
  </si>
  <si>
    <t>任务链唯一编号</t>
    <phoneticPr fontId="11" type="noConversion"/>
  </si>
  <si>
    <t>任务名称</t>
    <phoneticPr fontId="11" type="noConversion"/>
  </si>
  <si>
    <t>任务描述</t>
    <phoneticPr fontId="11" type="noConversion"/>
  </si>
  <si>
    <t>任务图标</t>
    <phoneticPr fontId="11" type="noConversion"/>
  </si>
  <si>
    <t>任务链序号</t>
    <phoneticPr fontId="11" type="noConversion"/>
  </si>
  <si>
    <t>功能需求</t>
    <phoneticPr fontId="11" type="noConversion"/>
  </si>
  <si>
    <t>是否记录</t>
    <phoneticPr fontId="11" type="noConversion"/>
  </si>
  <si>
    <t>功能参数</t>
    <phoneticPr fontId="11" type="noConversion"/>
  </si>
  <si>
    <t>任务数量</t>
    <phoneticPr fontId="11" type="noConversion"/>
  </si>
  <si>
    <t>任务完成开始时间</t>
    <phoneticPr fontId="11" type="noConversion"/>
  </si>
  <si>
    <t>任务完成结束时间</t>
    <phoneticPr fontId="11" type="noConversion"/>
  </si>
  <si>
    <t>奖励物品列表</t>
    <phoneticPr fontId="11" type="noConversion"/>
  </si>
  <si>
    <t>数值奖励</t>
    <phoneticPr fontId="11" type="noConversion"/>
  </si>
  <si>
    <t>后续任务ID</t>
    <phoneticPr fontId="11" type="noConversion"/>
  </si>
  <si>
    <t>功能连接ID</t>
    <phoneticPr fontId="11" type="noConversion"/>
  </si>
  <si>
    <t>int-snid</t>
    <phoneticPr fontId="11" type="noConversion"/>
  </si>
  <si>
    <t>1为链首</t>
    <phoneticPr fontId="11" type="noConversion"/>
  </si>
  <si>
    <t>首次通关英雄的远征都3关</t>
    <phoneticPr fontId="11" type="noConversion"/>
  </si>
  <si>
    <t>远征达人</t>
    <phoneticPr fontId="11" type="noConversion"/>
  </si>
  <si>
    <t>首次通关英雄的远征都6关</t>
    <phoneticPr fontId="11" type="noConversion"/>
  </si>
  <si>
    <t>首次通关英雄的远征都9关</t>
  </si>
  <si>
    <t>首次通关英雄的远征都12关</t>
  </si>
  <si>
    <t>首次通关英雄的远征都15关</t>
  </si>
  <si>
    <t>首次完成宝物精炼2级</t>
  </si>
  <si>
    <t>首次完成宝物精炼3级</t>
  </si>
  <si>
    <t>首次完成宝物精炼4级</t>
  </si>
  <si>
    <t>首次完成宝物精炼5级</t>
  </si>
  <si>
    <t>首次完成宝物精炼6级</t>
  </si>
  <si>
    <t>首次完成宝物精炼7级</t>
  </si>
  <si>
    <t>首次完成宝物精炼8级</t>
  </si>
  <si>
    <t>首次完成宝物精炼9级</t>
  </si>
  <si>
    <t>首次完成宝物精炼10级</t>
  </si>
  <si>
    <t>首次完成宝物精炼11级</t>
  </si>
  <si>
    <t>首次完成宝物精炼12级</t>
  </si>
  <si>
    <t>拥有一个1星英雄</t>
    <phoneticPr fontId="37" type="noConversion"/>
  </si>
  <si>
    <t>拥有一个2星英雄</t>
    <phoneticPr fontId="37" type="noConversion"/>
  </si>
  <si>
    <t>拥有一个3星英雄</t>
  </si>
  <si>
    <t>拥有一个4星英雄</t>
  </si>
  <si>
    <t>拥有一个5星英雄</t>
  </si>
  <si>
    <t>拥有一个6星英雄</t>
  </si>
  <si>
    <t>数值奖励类型：
1-铜币（游戏币）
2-金币（充值获得）
3-竞技场币
4-精力
5-体力
6-远征币
7-帮派币
8-魔王经验
格式 类型ID-数量|类型ID-数量|…
例如: 奖励游戏币100体力5点
1-1000|5-5</t>
    <phoneticPr fontId="11" type="noConversion"/>
  </si>
  <si>
    <t>T21010014</t>
  </si>
  <si>
    <t>T21010014</t>
    <phoneticPr fontId="11" type="noConversion"/>
  </si>
  <si>
    <t>1-副本界面
2-抽奖界面
3-强化装备界面
4-远征界面
5-竞技场界面
6-技能强化界面
7-讨伐界面
8-天灾界面
9-点券换金币
10-精英副本
11-教程界面
12-强化宝物界面
13-精炼装备界面
14-精炼宝物界面
15-秘境挑战界面
16-闯关界面
17-百层塔界面
18-星宫
19-军团界面
20-英雄界面
21-商城界面
22-充值界面</t>
    <phoneticPr fontId="11" type="noConversion"/>
  </si>
  <si>
    <t>T21010006</t>
  </si>
  <si>
    <t>T21010006</t>
    <phoneticPr fontId="11" type="noConversion"/>
  </si>
  <si>
    <t>T21010019</t>
  </si>
  <si>
    <t>T21010019</t>
    <phoneticPr fontId="11" type="noConversion"/>
  </si>
  <si>
    <t>T21010015</t>
  </si>
  <si>
    <t>T21010015</t>
    <phoneticPr fontId="11" type="noConversion"/>
  </si>
  <si>
    <t>T21010017</t>
  </si>
  <si>
    <t>T21010017</t>
    <phoneticPr fontId="11" type="noConversion"/>
  </si>
  <si>
    <t>首次完成装备强化5级</t>
    <phoneticPr fontId="11" type="noConversion"/>
  </si>
  <si>
    <t>首次完成装备强化10级</t>
    <phoneticPr fontId="11" type="noConversion"/>
  </si>
  <si>
    <t>首次完成装备强化15级</t>
    <phoneticPr fontId="11" type="noConversion"/>
  </si>
  <si>
    <t>首次完成装备强化20级</t>
  </si>
  <si>
    <t>首次完成装备强化25级</t>
  </si>
  <si>
    <t>首次完成装备强化30级</t>
  </si>
  <si>
    <t>首次完成装备强化35级</t>
  </si>
  <si>
    <t>首次完成装备强化40级</t>
  </si>
  <si>
    <t>首次完成装备强化45级</t>
  </si>
  <si>
    <t>首次完成装备强化50级</t>
  </si>
  <si>
    <t>首次完成装备强化55级</t>
  </si>
  <si>
    <t>首次完成装备强化60级</t>
  </si>
  <si>
    <t>首次完成装备强化65级</t>
  </si>
  <si>
    <t>首次完成装备强化70级</t>
  </si>
  <si>
    <t>首次完成装备强化75级</t>
  </si>
  <si>
    <t>首次完成装备强化80级</t>
  </si>
  <si>
    <t>首次完成装备强化85级</t>
  </si>
  <si>
    <t>首次完成装备强化90级</t>
  </si>
  <si>
    <t>首次完成装备强化95级</t>
  </si>
  <si>
    <t>首次完成装备强化100级</t>
  </si>
  <si>
    <t>首次完成装备强化105级</t>
  </si>
  <si>
    <t>首次完成装备强化110级</t>
  </si>
  <si>
    <t>首次完成装备强化115级</t>
  </si>
  <si>
    <t>首次完成装备强化120级</t>
  </si>
  <si>
    <t>首次完成装备精炼15级</t>
  </si>
  <si>
    <t>首次完成装备精炼20级</t>
  </si>
  <si>
    <t>首次完成宝物强化15级</t>
  </si>
  <si>
    <t>首次完成宝物强化20级</t>
  </si>
  <si>
    <t>首次完成宝物精炼13级</t>
  </si>
  <si>
    <t>首次完成宝物精炼14级</t>
  </si>
  <si>
    <t>首次完成宝物精炼15级</t>
  </si>
  <si>
    <t>首次完成宝物精炼16级</t>
  </si>
  <si>
    <t>首次完成宝物精炼17级</t>
  </si>
  <si>
    <t>首次完成宝物精炼18级</t>
  </si>
  <si>
    <t>首次完成宝物精炼19级</t>
  </si>
  <si>
    <t>首次完成宝物精炼20级</t>
  </si>
  <si>
    <t>首次完成宝物精炼21级</t>
  </si>
  <si>
    <t>首次完成宝物精炼22级</t>
  </si>
  <si>
    <t>首次完成宝物精炼23级</t>
  </si>
  <si>
    <t>首次完成宝物精炼24级</t>
  </si>
  <si>
    <t>T21010035</t>
  </si>
  <si>
    <t>T21010029</t>
    <phoneticPr fontId="11" type="noConversion"/>
  </si>
  <si>
    <t>T21010036</t>
  </si>
  <si>
    <t>T21010036</t>
    <phoneticPr fontId="11" type="noConversion"/>
  </si>
  <si>
    <t>T21010036</t>
    <phoneticPr fontId="11" type="noConversion"/>
  </si>
  <si>
    <t>首次完成装备精炼2级</t>
    <phoneticPr fontId="11" type="noConversion"/>
  </si>
  <si>
    <t>首次完成装备精炼3级</t>
    <phoneticPr fontId="11" type="noConversion"/>
  </si>
  <si>
    <t>首次完成装备精炼4级</t>
  </si>
  <si>
    <t>首次完成装备精炼5级</t>
  </si>
  <si>
    <t>首次完成装备精炼6级</t>
  </si>
  <si>
    <t>首次完成装备精炼7级</t>
  </si>
  <si>
    <t>首次完成装备精炼8级</t>
  </si>
  <si>
    <t>首次完成装备精炼9级</t>
  </si>
  <si>
    <t>首次完成装备精炼10级</t>
  </si>
  <si>
    <t>首次完成装备精炼11级</t>
  </si>
  <si>
    <t>首次完成装备精炼12级</t>
  </si>
  <si>
    <t>首次完成装备精炼13级</t>
  </si>
  <si>
    <t>首次完成装备精炼14级</t>
  </si>
  <si>
    <t>首次完成装备精炼16级</t>
  </si>
  <si>
    <t>首次完成装备精炼17级</t>
  </si>
  <si>
    <t>首次完成装备精炼18级</t>
  </si>
  <si>
    <t>首次完成装备精炼19级</t>
  </si>
  <si>
    <t>首次完成装备精炼21级</t>
  </si>
  <si>
    <t>首次完成装备精炼22级</t>
  </si>
  <si>
    <t>首次完成装备精炼23级</t>
  </si>
  <si>
    <t>首次完成装备精炼24级</t>
  </si>
  <si>
    <t>首次完成宝物强化5级</t>
    <phoneticPr fontId="11" type="noConversion"/>
  </si>
  <si>
    <t>首次完成宝物强化10级</t>
    <phoneticPr fontId="11" type="noConversion"/>
  </si>
  <si>
    <t>首次完成宝物强化25级</t>
  </si>
  <si>
    <t>首次完成宝物强化30级</t>
  </si>
  <si>
    <t>首次完成宝物强化35级</t>
  </si>
  <si>
    <t>首次完成宝物强化40级</t>
  </si>
  <si>
    <t>首次完成宝物强化45级</t>
  </si>
  <si>
    <t>首次完成宝物强化50级</t>
  </si>
  <si>
    <t>首次完成宝物强化55级</t>
  </si>
  <si>
    <t>首次完成宝物强化60级</t>
  </si>
  <si>
    <t>首次完成宝物强化65级</t>
  </si>
  <si>
    <t>首次完成宝物强化70级</t>
  </si>
  <si>
    <t>首次完成宝物强化75级</t>
  </si>
  <si>
    <t>首次完成宝物强化80级</t>
  </si>
  <si>
    <t>首次完成宝物强化85级</t>
  </si>
  <si>
    <t>首次完成宝物强化90级</t>
  </si>
  <si>
    <t>首次完成宝物强化95级</t>
  </si>
  <si>
    <t>首次完成宝物强化100级</t>
  </si>
  <si>
    <t>首次完成宝物强化105级</t>
  </si>
  <si>
    <t>首次完成宝物强化110级</t>
  </si>
  <si>
    <t>首次完成宝物强化115级</t>
  </si>
  <si>
    <t>首次完成宝物强化120级</t>
  </si>
  <si>
    <t>拥有一个准1星英雄</t>
    <phoneticPr fontId="37" type="noConversion"/>
  </si>
  <si>
    <t>拥有一个准2星英雄</t>
    <phoneticPr fontId="37" type="noConversion"/>
  </si>
  <si>
    <t>拥有一个准3星英雄</t>
    <phoneticPr fontId="11" type="noConversion"/>
  </si>
  <si>
    <t>拥有一个准4星英雄</t>
    <phoneticPr fontId="11" type="noConversion"/>
  </si>
  <si>
    <t>拥有一个准5星英雄</t>
    <phoneticPr fontId="11" type="noConversion"/>
  </si>
  <si>
    <t>拥有一个准6星英雄</t>
    <phoneticPr fontId="11" type="noConversion"/>
  </si>
  <si>
    <t>T21010034</t>
  </si>
  <si>
    <t>T21010034</t>
    <phoneticPr fontId="11" type="noConversion"/>
  </si>
  <si>
    <t>T21010033</t>
  </si>
  <si>
    <t>T21010033</t>
    <phoneticPr fontId="11" type="noConversion"/>
  </si>
  <si>
    <t>主线副本</t>
    <phoneticPr fontId="11" type="noConversion"/>
  </si>
  <si>
    <t>主线副本</t>
    <phoneticPr fontId="11" type="noConversion"/>
  </si>
  <si>
    <t>英雄集结</t>
    <phoneticPr fontId="11" type="noConversion"/>
  </si>
  <si>
    <t>挑战竞技场</t>
    <phoneticPr fontId="11" type="noConversion"/>
  </si>
  <si>
    <t>装备强化</t>
    <phoneticPr fontId="11" type="noConversion"/>
  </si>
  <si>
    <t>装备精炼</t>
    <phoneticPr fontId="11" type="noConversion"/>
  </si>
  <si>
    <t>宝物强化</t>
    <phoneticPr fontId="11" type="noConversion"/>
  </si>
  <si>
    <t>宝物精炼</t>
    <phoneticPr fontId="11" type="noConversion"/>
  </si>
  <si>
    <t>英雄升星</t>
    <phoneticPr fontId="37" type="noConversion"/>
  </si>
  <si>
    <t>2-100</t>
    <phoneticPr fontId="11" type="noConversion"/>
  </si>
  <si>
    <t>2-20</t>
  </si>
  <si>
    <t>2-20</t>
    <phoneticPr fontId="11" type="noConversion"/>
  </si>
  <si>
    <t>2-20</t>
    <phoneticPr fontId="11" type="noConversion"/>
  </si>
  <si>
    <t>2-30</t>
  </si>
  <si>
    <t>2-30</t>
    <phoneticPr fontId="11" type="noConversion"/>
  </si>
  <si>
    <t>拥有4个英雄</t>
  </si>
  <si>
    <t>拥有5个英雄</t>
  </si>
  <si>
    <t>军团</t>
    <phoneticPr fontId="11" type="noConversion"/>
  </si>
  <si>
    <t>首次加入一个军团</t>
    <phoneticPr fontId="11" type="noConversion"/>
  </si>
  <si>
    <t>0.无功能，按时间完成（每日赠送）
1.学习任意技能（参数：1.英雄技能  2魔王技能）
2.激活星宫点位（参数：1.节点ID）
3.装备强化（参数：0任意，其它指定等级）
4.法宝强化（参数：0任意，其它指定等级）
5.装备精炼（参数：0任意，其它指定等级）
6.法宝精炼（参数：0任意，其它指定等级）
7.通关任意副本 （参数：0任意，其它指定副本ID）
8.闯关副本
9.精英副本
10.远征挑战
11.远征至N波（参数：波数）
12.天灾
13.秘境
14.讨伐
15.竞技场挑战
16.购买次数（参数：1.体力 2.精力 3.金钱）
17.抽奖（参数：0.表示任意 1.青铜，2.黄金）
18.拥有某等级英雄的数量（参数：具体等级）
19.拥有某品质英雄的数量（参数：具体品质）
20.拥有某星级英雄的数量（参数：具体星级）
21.加入公会
22.月卡
23.教程任务(参数：具体英雄模板ID)
24.周卡
25.竞技场排名
26.总星数</t>
    <phoneticPr fontId="11" type="noConversion"/>
  </si>
  <si>
    <t>T21010041</t>
  </si>
  <si>
    <t>拥有一个品质为2的英雄</t>
    <phoneticPr fontId="37" type="noConversion"/>
  </si>
  <si>
    <t>拥有一个品质为3的英雄</t>
    <phoneticPr fontId="11" type="noConversion"/>
  </si>
  <si>
    <t>拥有一个品质为4的英雄</t>
  </si>
  <si>
    <t>拥有一个品质为5的英雄</t>
  </si>
  <si>
    <t>拥有一个品质为6的英雄</t>
  </si>
  <si>
    <t>通关精灵国度-劲敌</t>
  </si>
  <si>
    <t>通关精灵国度-灵舞</t>
  </si>
  <si>
    <t>通关精灵国度-剑芒</t>
  </si>
  <si>
    <t>通关精灵国度-召唤</t>
  </si>
  <si>
    <t>通关精灵国度-邪恶</t>
  </si>
  <si>
    <t>通关精灵国度-恐怖</t>
  </si>
  <si>
    <t>通关精灵国度-强敌</t>
  </si>
  <si>
    <t>通关精灵国度-无尽</t>
  </si>
  <si>
    <t>通关精灵国度-突破</t>
  </si>
  <si>
    <t>通关精灵国度-抵御</t>
  </si>
  <si>
    <t>通关精灵国度-魔法</t>
  </si>
  <si>
    <t>通关精灵国度-纯净</t>
  </si>
  <si>
    <t>通关精灵国度-恶境</t>
  </si>
  <si>
    <t>通关精灵国度-纯洁</t>
  </si>
  <si>
    <t>通关精灵国度-空灵</t>
  </si>
  <si>
    <t>通关精灵国度-梦魇</t>
  </si>
  <si>
    <t>通关侏儒帝国-初入</t>
  </si>
  <si>
    <t>通关侏儒帝国-难受</t>
  </si>
  <si>
    <t>通关侏儒帝国-矮小</t>
  </si>
  <si>
    <t>通关侏儒帝国-树妖</t>
  </si>
  <si>
    <t>通关侏儒帝国-力量</t>
  </si>
  <si>
    <t>通关侏儒帝国-凶恶</t>
  </si>
  <si>
    <t>通关侏儒帝国-感激</t>
  </si>
  <si>
    <t>通关侏儒帝国-宝物</t>
  </si>
  <si>
    <t>通关侏儒帝国-偷袭</t>
  </si>
  <si>
    <t>通关侏儒帝国-代价</t>
  </si>
  <si>
    <t>通关侏儒帝国-毒素</t>
  </si>
  <si>
    <t>通关侏儒帝国-危机</t>
  </si>
  <si>
    <t>通关侏儒帝国-虚弱</t>
  </si>
  <si>
    <t>通关侏儒帝国-生机</t>
  </si>
  <si>
    <t>通关侏儒帝国-牺牲</t>
  </si>
  <si>
    <t>通关侏儒帝国-复仇</t>
  </si>
  <si>
    <t>通关侏儒帝国-白骨</t>
  </si>
  <si>
    <t>通关侏儒帝国-震颤</t>
  </si>
  <si>
    <t>通关巨人大陆-渺小</t>
  </si>
  <si>
    <t>通关巨人大陆-疼痛</t>
  </si>
  <si>
    <t>通关巨人大陆-笨重</t>
  </si>
  <si>
    <t>通关巨人大陆-喷嚏</t>
  </si>
  <si>
    <t>通关巨人大陆-胡言</t>
  </si>
  <si>
    <t>通关巨人大陆-进攻</t>
  </si>
  <si>
    <t>通关巨人大陆-幼稚</t>
  </si>
  <si>
    <t>通关巨人大陆-模糊</t>
  </si>
  <si>
    <t>通关巨人大陆-智慧</t>
  </si>
  <si>
    <t>通关巨人大陆-破坏</t>
  </si>
  <si>
    <t>通关巨人大陆-安静</t>
  </si>
  <si>
    <t>通关巨人大陆-发抖</t>
  </si>
  <si>
    <t>通关巨人大陆-萎缩</t>
  </si>
  <si>
    <t>通关巨人大陆-脚步</t>
  </si>
  <si>
    <t>通关巨人大陆-劲敌</t>
  </si>
  <si>
    <t>通关巨人大陆-清晰</t>
  </si>
  <si>
    <t>通关巨人大陆-墙壁</t>
  </si>
  <si>
    <t>通关巨人大陆-希望</t>
  </si>
  <si>
    <t>通关熔火之国-燥热</t>
  </si>
  <si>
    <t>通关熔火之国-火焰</t>
  </si>
  <si>
    <t>通关熔火之国-岩浆</t>
  </si>
  <si>
    <t>通关熔火之国-邪火</t>
  </si>
  <si>
    <t>通关熔火之国-灼伤</t>
  </si>
  <si>
    <t>通关熔火之国-融化</t>
  </si>
  <si>
    <t>通关熔火之国-虚火</t>
  </si>
  <si>
    <t>通关熔火之国-暴躁</t>
  </si>
  <si>
    <t>通关熔火之国-燃烧</t>
  </si>
  <si>
    <t>通关熔火之国-熔噬</t>
  </si>
  <si>
    <t>通关熔火之国-糟糕</t>
  </si>
  <si>
    <t>通关熔火之国-艰难</t>
  </si>
  <si>
    <t>通关熔火之国-烫伤</t>
  </si>
  <si>
    <t>通关熔火之国-火山</t>
  </si>
  <si>
    <t>通关熔火之国-熔岩</t>
  </si>
  <si>
    <t>通关熔火之国-劳累</t>
  </si>
  <si>
    <t>通关熔火之国-火海</t>
  </si>
  <si>
    <t>通关熔火之国-天燃</t>
  </si>
  <si>
    <t>通关海洋之心-海洋</t>
  </si>
  <si>
    <t>通关海洋之心-污染</t>
  </si>
  <si>
    <t>通关海洋之心-海怪</t>
  </si>
  <si>
    <t>通关海洋之心-海面</t>
  </si>
  <si>
    <t>通关海洋之心-海盗</t>
  </si>
  <si>
    <t>通关海洋之心-海战</t>
  </si>
  <si>
    <t>通关海洋之心-虚弱</t>
  </si>
  <si>
    <t>通关海洋之心-起航</t>
  </si>
  <si>
    <t>通关海洋之心-沉没</t>
  </si>
  <si>
    <t>通关海洋之心-波涛</t>
  </si>
  <si>
    <t>通关海洋之心-海雾</t>
  </si>
  <si>
    <t>通关海洋之心-漩涡</t>
  </si>
  <si>
    <t>通关海洋之心-海沟</t>
  </si>
  <si>
    <t>通关海洋之心-海压</t>
  </si>
  <si>
    <t>通关海洋之心-海底</t>
  </si>
  <si>
    <t>通关海洋之心-生命</t>
  </si>
  <si>
    <t>通关海洋之心-海魔</t>
  </si>
  <si>
    <t>通关海洋之心-海树</t>
  </si>
  <si>
    <t>通关冰凝世界-寒冷</t>
  </si>
  <si>
    <t>通关冰凝世界-冰湖</t>
  </si>
  <si>
    <t>通关冰凝世界-霜暴</t>
  </si>
  <si>
    <t>通关冰凝世界-冻死</t>
  </si>
  <si>
    <t>通关冰凝世界-冰封</t>
  </si>
  <si>
    <t>通关冰凝世界-寒气</t>
  </si>
  <si>
    <t>通关冰凝世界-雪洞</t>
  </si>
  <si>
    <t>通关冰凝世界-冬天</t>
  </si>
  <si>
    <t>通关冰凝世界-雪战</t>
  </si>
  <si>
    <t>通关冰凝世界-冻伤</t>
  </si>
  <si>
    <t>通关冰凝世界-雪树</t>
  </si>
  <si>
    <t>通关冰凝世界-雪山</t>
  </si>
  <si>
    <t>通关冰凝世界-极光</t>
  </si>
  <si>
    <t>通关冰凝世界-恶劣</t>
  </si>
  <si>
    <t>通关冰凝世界-雪崩</t>
  </si>
  <si>
    <t>通关冰凝世界-雪巅</t>
  </si>
  <si>
    <t>通关冰凝世界-冰暴</t>
  </si>
  <si>
    <t>通关冰凝世界-生机</t>
  </si>
  <si>
    <t>通关文明之邦-废墟</t>
  </si>
  <si>
    <t>通关文明之邦-沉重</t>
  </si>
  <si>
    <t>通关文明之邦-求救</t>
  </si>
  <si>
    <t>通关文明之邦-感谢</t>
  </si>
  <si>
    <t>通关文明之邦-奴役</t>
  </si>
  <si>
    <t>通关文明之邦-愤怒</t>
  </si>
  <si>
    <t>通关文明之邦-逃窜</t>
  </si>
  <si>
    <t>通关文明之邦-死寂</t>
  </si>
  <si>
    <t>通关文明之邦-伤害</t>
  </si>
  <si>
    <t>通关文明之邦-指路</t>
  </si>
  <si>
    <t>通关文明之邦-诡异</t>
  </si>
  <si>
    <t>通关文明之邦-包围</t>
  </si>
  <si>
    <t>通关文明之邦-欺骗</t>
  </si>
  <si>
    <t>通关文明之邦-文明</t>
  </si>
  <si>
    <t>通关文明之邦-道路</t>
  </si>
  <si>
    <t>通关文明之邦-枯萎</t>
  </si>
  <si>
    <t>通关文明之邦-重燃</t>
  </si>
  <si>
    <t>通关文明之邦-守护</t>
  </si>
  <si>
    <t>通关冥狱死地-阴寒</t>
  </si>
  <si>
    <t>通关冥狱死地-白骨</t>
  </si>
  <si>
    <t>通关冥狱死地-危险</t>
  </si>
  <si>
    <t>通关冥狱死地-邪尸</t>
  </si>
  <si>
    <t>通关冥狱死地-亡灵</t>
  </si>
  <si>
    <t>通关冥狱死地-察觉</t>
  </si>
  <si>
    <t>通关冥狱死地-胆怯</t>
  </si>
  <si>
    <t>通关冥狱死地-分歧</t>
  </si>
  <si>
    <t>通关冥狱死地-偷袭</t>
  </si>
  <si>
    <t>通关冥狱死地-痛苦</t>
  </si>
  <si>
    <t>通关冥狱死地-争吵</t>
  </si>
  <si>
    <t>通关冥狱死地-艰难</t>
  </si>
  <si>
    <t>通关冥狱死地-死亡</t>
  </si>
  <si>
    <t>通关冥狱死地-凝聚</t>
  </si>
  <si>
    <t>通关冥狱死地-哀嚎</t>
  </si>
  <si>
    <t>通关冥狱死地-死尸</t>
  </si>
  <si>
    <t>通关冥狱死地-黑暗</t>
  </si>
  <si>
    <t>通关冥狱死地-最后</t>
  </si>
  <si>
    <t>通关诸神圣域-故乡</t>
  </si>
  <si>
    <t>通关诸神圣域-圣地</t>
  </si>
  <si>
    <t>通关诸神圣域-魔物</t>
  </si>
  <si>
    <t>通关诸神圣域-残酷</t>
  </si>
  <si>
    <t>通关诸神圣域-振作</t>
  </si>
  <si>
    <t>通关诸神圣域-轻心</t>
  </si>
  <si>
    <t>通关诸神圣域-蹊跷</t>
  </si>
  <si>
    <t>通关诸神圣域-虚幻</t>
  </si>
  <si>
    <t>通关诸神圣域-幻觉</t>
  </si>
  <si>
    <t>通关诸神圣域-幻境</t>
  </si>
  <si>
    <t>通关诸神圣域-强攻</t>
  </si>
  <si>
    <t>通关诸神圣域-疑惑</t>
  </si>
  <si>
    <t>通关诸神圣域-错误</t>
  </si>
  <si>
    <t>通关诸神圣域-线索</t>
  </si>
  <si>
    <t>通关诸神圣域-冲破</t>
  </si>
  <si>
    <t>通关诸神圣域-光明</t>
  </si>
  <si>
    <t>通关诸神圣域-魔神</t>
  </si>
  <si>
    <t>通关诸神圣域-最终</t>
  </si>
  <si>
    <t>英雄升品质</t>
    <phoneticPr fontId="37" type="noConversion"/>
  </si>
  <si>
    <t>1-1000</t>
  </si>
  <si>
    <t>1-3100</t>
  </si>
  <si>
    <t>1-6200</t>
  </si>
  <si>
    <t>1-10300</t>
  </si>
  <si>
    <t>1-15400</t>
  </si>
  <si>
    <t>1-21500</t>
  </si>
  <si>
    <t>1-28600</t>
  </si>
  <si>
    <t>1-36700</t>
  </si>
  <si>
    <t>1-45800</t>
  </si>
  <si>
    <t>1-55900</t>
  </si>
  <si>
    <t>1-67000</t>
  </si>
  <si>
    <t>1-79100</t>
  </si>
  <si>
    <t>1-92200</t>
  </si>
  <si>
    <t>1-106300</t>
  </si>
  <si>
    <t>1-121400</t>
  </si>
  <si>
    <t>1-137500</t>
  </si>
  <si>
    <t>1-154600</t>
  </si>
  <si>
    <t>1-172700</t>
  </si>
  <si>
    <t>1-191800</t>
  </si>
  <si>
    <t>1-211900</t>
  </si>
  <si>
    <t>1-233000</t>
  </si>
  <si>
    <t>1-255100</t>
  </si>
  <si>
    <t>1-278200</t>
  </si>
  <si>
    <t>1-302300</t>
  </si>
  <si>
    <t>2-20|1-1000</t>
    <phoneticPr fontId="11" type="noConversion"/>
  </si>
  <si>
    <t>1-1000</t>
    <phoneticPr fontId="11" type="noConversion"/>
  </si>
  <si>
    <t>2-20|1-1500</t>
    <phoneticPr fontId="11" type="noConversion"/>
  </si>
  <si>
    <t>1-1500</t>
    <phoneticPr fontId="11" type="noConversion"/>
  </si>
  <si>
    <t>400007-5</t>
    <phoneticPr fontId="11" type="noConversion"/>
  </si>
  <si>
    <t>2-20|1-2000</t>
    <phoneticPr fontId="11" type="noConversion"/>
  </si>
  <si>
    <t>1-2000</t>
    <phoneticPr fontId="11" type="noConversion"/>
  </si>
  <si>
    <t>1-2500</t>
    <phoneticPr fontId="11" type="noConversion"/>
  </si>
  <si>
    <t>2-30|1-2500</t>
    <phoneticPr fontId="11" type="noConversion"/>
  </si>
  <si>
    <t>2-30|1-3000</t>
    <phoneticPr fontId="11" type="noConversion"/>
  </si>
  <si>
    <t>1-3000</t>
    <phoneticPr fontId="11" type="noConversion"/>
  </si>
  <si>
    <t>400007-10</t>
    <phoneticPr fontId="11" type="noConversion"/>
  </si>
  <si>
    <t>2-30|1-3500</t>
    <phoneticPr fontId="11" type="noConversion"/>
  </si>
  <si>
    <t>1-3500</t>
    <phoneticPr fontId="11" type="noConversion"/>
  </si>
  <si>
    <t>1-4000</t>
    <phoneticPr fontId="11" type="noConversion"/>
  </si>
  <si>
    <t>2-45|1-4000</t>
    <phoneticPr fontId="11" type="noConversion"/>
  </si>
  <si>
    <t>2-45|1-4500</t>
    <phoneticPr fontId="11" type="noConversion"/>
  </si>
  <si>
    <t>1-4500</t>
    <phoneticPr fontId="11" type="noConversion"/>
  </si>
  <si>
    <t>400008-5</t>
    <phoneticPr fontId="11" type="noConversion"/>
  </si>
  <si>
    <t>2-45|1-5000</t>
    <phoneticPr fontId="11" type="noConversion"/>
  </si>
  <si>
    <t>1-5000</t>
    <phoneticPr fontId="11" type="noConversion"/>
  </si>
  <si>
    <t>1-5500</t>
    <phoneticPr fontId="11" type="noConversion"/>
  </si>
  <si>
    <t>2-70|1-5500</t>
    <phoneticPr fontId="11" type="noConversion"/>
  </si>
  <si>
    <t>2-70|1-6000</t>
    <phoneticPr fontId="11" type="noConversion"/>
  </si>
  <si>
    <t>1-6000</t>
    <phoneticPr fontId="11" type="noConversion"/>
  </si>
  <si>
    <t>400008-10</t>
    <phoneticPr fontId="11" type="noConversion"/>
  </si>
  <si>
    <t>2-70|1-6500</t>
    <phoneticPr fontId="11" type="noConversion"/>
  </si>
  <si>
    <t>1-6500</t>
    <phoneticPr fontId="11" type="noConversion"/>
  </si>
  <si>
    <t>1-7000</t>
    <phoneticPr fontId="11" type="noConversion"/>
  </si>
  <si>
    <t>2-100|1-7000</t>
    <phoneticPr fontId="11" type="noConversion"/>
  </si>
  <si>
    <t>2-100|1-7500</t>
    <phoneticPr fontId="11" type="noConversion"/>
  </si>
  <si>
    <t>1-7500</t>
    <phoneticPr fontId="11" type="noConversion"/>
  </si>
  <si>
    <t>400009-5</t>
    <phoneticPr fontId="11" type="noConversion"/>
  </si>
  <si>
    <t>2-100|1-8000</t>
    <phoneticPr fontId="11" type="noConversion"/>
  </si>
  <si>
    <t>1-8000</t>
    <phoneticPr fontId="11" type="noConversion"/>
  </si>
  <si>
    <t>1-8500</t>
    <phoneticPr fontId="11" type="noConversion"/>
  </si>
  <si>
    <t>2-150|1-8500</t>
    <phoneticPr fontId="11" type="noConversion"/>
  </si>
  <si>
    <t>2-150|1-9000</t>
    <phoneticPr fontId="11" type="noConversion"/>
  </si>
  <si>
    <t>1-9000</t>
    <phoneticPr fontId="11" type="noConversion"/>
  </si>
  <si>
    <t>400009-10</t>
    <phoneticPr fontId="11" type="noConversion"/>
  </si>
  <si>
    <t>2-150|1-9500</t>
    <phoneticPr fontId="11" type="noConversion"/>
  </si>
  <si>
    <t>1-9500</t>
    <phoneticPr fontId="11" type="noConversion"/>
  </si>
  <si>
    <t>1-10000</t>
    <phoneticPr fontId="11" type="noConversion"/>
  </si>
  <si>
    <t>2-225|1-10000</t>
    <phoneticPr fontId="11" type="noConversion"/>
  </si>
  <si>
    <t>2-225|1-10500</t>
    <phoneticPr fontId="11" type="noConversion"/>
  </si>
  <si>
    <t>1-10500</t>
    <phoneticPr fontId="11" type="noConversion"/>
  </si>
  <si>
    <t>400009-15</t>
    <phoneticPr fontId="11" type="noConversion"/>
  </si>
  <si>
    <t>2-225|1-11000</t>
    <phoneticPr fontId="11" type="noConversion"/>
  </si>
  <si>
    <t>1-11000</t>
    <phoneticPr fontId="11" type="noConversion"/>
  </si>
  <si>
    <t>1-11500</t>
    <phoneticPr fontId="11" type="noConversion"/>
  </si>
  <si>
    <t>2-300|1-11500</t>
    <phoneticPr fontId="11" type="noConversion"/>
  </si>
  <si>
    <t>2-300|1-12000</t>
    <phoneticPr fontId="11" type="noConversion"/>
  </si>
  <si>
    <t>1-12000</t>
    <phoneticPr fontId="11" type="noConversion"/>
  </si>
  <si>
    <t>400009-20</t>
    <phoneticPr fontId="11" type="noConversion"/>
  </si>
  <si>
    <t>2-300|1-12500</t>
    <phoneticPr fontId="11" type="noConversion"/>
  </si>
  <si>
    <t>1-12500</t>
    <phoneticPr fontId="11" type="noConversion"/>
  </si>
  <si>
    <t>1-13000</t>
    <phoneticPr fontId="11" type="noConversion"/>
  </si>
  <si>
    <t>2-450|1-13000</t>
    <phoneticPr fontId="11" type="noConversion"/>
  </si>
  <si>
    <t>2-450|1-13500</t>
    <phoneticPr fontId="11" type="noConversion"/>
  </si>
  <si>
    <t>1-13500</t>
    <phoneticPr fontId="11" type="noConversion"/>
  </si>
  <si>
    <t>400009-30</t>
    <phoneticPr fontId="11" type="noConversion"/>
  </si>
  <si>
    <t>2-450|1-14000</t>
    <phoneticPr fontId="11" type="noConversion"/>
  </si>
  <si>
    <t>1-14000</t>
    <phoneticPr fontId="11" type="noConversion"/>
  </si>
  <si>
    <t>400013-6|400014-2</t>
    <phoneticPr fontId="37" type="noConversion"/>
  </si>
  <si>
    <t>400013-8|400014-2</t>
    <phoneticPr fontId="37" type="noConversion"/>
  </si>
  <si>
    <t>400013-10|400014-2</t>
    <phoneticPr fontId="37" type="noConversion"/>
  </si>
  <si>
    <t>400014-3|400015-2</t>
    <phoneticPr fontId="37" type="noConversion"/>
  </si>
  <si>
    <t>400014-4|400015-2</t>
    <phoneticPr fontId="37" type="noConversion"/>
  </si>
  <si>
    <t>400014-5|400015-2</t>
    <phoneticPr fontId="37" type="noConversion"/>
  </si>
  <si>
    <t>400014-1|400015-2|400016-1</t>
    <phoneticPr fontId="37" type="noConversion"/>
  </si>
  <si>
    <t>400014-2|400015-2|400016-1</t>
    <phoneticPr fontId="37" type="noConversion"/>
  </si>
  <si>
    <t>400014-3|400015-2|400016-1</t>
    <phoneticPr fontId="37" type="noConversion"/>
  </si>
  <si>
    <t>400014-4|400015-2|400016-1</t>
    <phoneticPr fontId="37" type="noConversion"/>
  </si>
  <si>
    <t>400014-5|400015-2|400016-1</t>
    <phoneticPr fontId="37" type="noConversion"/>
  </si>
  <si>
    <t>400014-1|400015-2|400016-2</t>
    <phoneticPr fontId="37" type="noConversion"/>
  </si>
  <si>
    <t>400014-2|400015-2|400016-2</t>
    <phoneticPr fontId="37" type="noConversion"/>
  </si>
  <si>
    <t>400014-3|400015-2|400016-2</t>
    <phoneticPr fontId="37" type="noConversion"/>
  </si>
  <si>
    <t>400014-4|400015-2|400016-2</t>
    <phoneticPr fontId="37" type="noConversion"/>
  </si>
  <si>
    <t>400014-5|400015-2|400016-2</t>
    <phoneticPr fontId="37" type="noConversion"/>
  </si>
  <si>
    <t>400014-1|400015-2|400016-3</t>
    <phoneticPr fontId="37" type="noConversion"/>
  </si>
  <si>
    <t>400014-2|400015-2|400016-3</t>
    <phoneticPr fontId="37" type="noConversion"/>
  </si>
  <si>
    <t>400014-3|400015-2|400016-3</t>
    <phoneticPr fontId="37" type="noConversion"/>
  </si>
  <si>
    <t>400014-4|400015-2|400016-3</t>
    <phoneticPr fontId="37" type="noConversion"/>
  </si>
  <si>
    <t>400014-5|400015-2|400016-3</t>
    <phoneticPr fontId="37" type="noConversion"/>
  </si>
  <si>
    <t>400014-1|400015-2|400016-4</t>
    <phoneticPr fontId="37" type="noConversion"/>
  </si>
  <si>
    <t>400014-2|400015-2|400016-4</t>
    <phoneticPr fontId="37" type="noConversion"/>
  </si>
  <si>
    <t>1-1000</t>
    <phoneticPr fontId="11" type="noConversion"/>
  </si>
  <si>
    <t>1-3000</t>
    <phoneticPr fontId="11" type="noConversion"/>
  </si>
  <si>
    <t>1-4000</t>
  </si>
  <si>
    <t>1-5000</t>
  </si>
  <si>
    <t>1-9000</t>
  </si>
  <si>
    <t>1-11000</t>
  </si>
  <si>
    <t>1-13000</t>
  </si>
  <si>
    <t>1-15000</t>
  </si>
  <si>
    <t>1-2000</t>
    <phoneticPr fontId="11" type="noConversion"/>
  </si>
  <si>
    <t>1-7000</t>
    <phoneticPr fontId="11" type="noConversion"/>
  </si>
  <si>
    <t>1-20000</t>
    <phoneticPr fontId="11" type="noConversion"/>
  </si>
  <si>
    <t>1-25000</t>
  </si>
  <si>
    <t>1-30000</t>
  </si>
  <si>
    <t>1-35000</t>
  </si>
  <si>
    <t>1-40000</t>
  </si>
  <si>
    <t>1-45000</t>
  </si>
  <si>
    <t>1-50000</t>
  </si>
  <si>
    <t>1-55000</t>
  </si>
  <si>
    <t>1-60000</t>
  </si>
  <si>
    <t>1-65000</t>
  </si>
  <si>
    <t>1-70000</t>
  </si>
  <si>
    <t>1-75000</t>
  </si>
  <si>
    <t>1-80000</t>
  </si>
  <si>
    <t>2-2000|1-14500|10-15</t>
    <phoneticPr fontId="11" type="noConversion"/>
  </si>
  <si>
    <t>2-100|1-2500|10-15</t>
    <phoneticPr fontId="11" type="noConversion"/>
  </si>
  <si>
    <t>2-150|1-4000|10-15</t>
    <phoneticPr fontId="11" type="noConversion"/>
  </si>
  <si>
    <t>2-225|1-5500|10-15</t>
    <phoneticPr fontId="11" type="noConversion"/>
  </si>
  <si>
    <t>2-300|1-7000|10-15</t>
    <phoneticPr fontId="11" type="noConversion"/>
  </si>
  <si>
    <t>2-450|1-8500|10-15</t>
    <phoneticPr fontId="11" type="noConversion"/>
  </si>
  <si>
    <t>2-675|1-10000|10-15</t>
    <phoneticPr fontId="11" type="noConversion"/>
  </si>
  <si>
    <t>2-1000|1-11500|10-15</t>
    <phoneticPr fontId="11" type="noConversion"/>
  </si>
  <si>
    <t>2-1500|1-13000|10-15</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</si>
</sst>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8" x14ac:knownFonts="1">
    <font>
      <sz val="11"/>
      <color indexed="8"/>
      <name val="宋体"/>
      <charset val="134"/>
    </font>
    <font>
      <sz val="11"/>
      <color theme="1"/>
      <name val="宋体"/>
      <family val="2"/>
      <charset val="134"/>
      <scheme val="minor"/>
    </font>
    <font>
      <sz val="11"/>
      <color theme="1"/>
      <name val="宋体"/>
      <family val="2"/>
      <charset val="134"/>
      <scheme val="minor"/>
    </font>
    <font>
      <sz val="9"/>
      <color indexed="60"/>
      <name val="宋体"/>
      <family val="3"/>
      <charset val="134"/>
    </font>
    <font>
      <sz val="9"/>
      <color indexed="8"/>
      <name val="宋体"/>
      <family val="3"/>
      <charset val="134"/>
    </font>
    <font>
      <sz val="9"/>
      <color indexed="40"/>
      <name val="宋体"/>
      <family val="3"/>
      <charset val="134"/>
    </font>
    <font>
      <sz val="9"/>
      <color indexed="17"/>
      <name val="宋体"/>
      <family val="3"/>
      <charset val="134"/>
    </font>
    <font>
      <b/>
      <sz val="9"/>
      <color indexed="9"/>
      <name val="宋体"/>
      <family val="3"/>
      <charset val="134"/>
    </font>
    <font>
      <b/>
      <sz val="9"/>
      <color indexed="62"/>
      <name val="宋体"/>
      <family val="3"/>
      <charset val="134"/>
    </font>
    <font>
      <b/>
      <sz val="9"/>
      <color indexed="56"/>
      <name val="宋体"/>
      <family val="3"/>
      <charset val="134"/>
    </font>
    <font>
      <sz val="11"/>
      <color indexed="8"/>
      <name val="宋体"/>
      <family val="3"/>
      <charset val="134"/>
    </font>
    <font>
      <sz val="9"/>
      <name val="宋体"/>
      <family val="3"/>
      <charset val="134"/>
    </font>
    <font>
      <sz val="11"/>
      <color indexed="8"/>
      <name val="宋体"/>
      <family val="3"/>
      <charset val="134"/>
    </font>
    <font>
      <sz val="11"/>
      <color theme="1"/>
      <name val="宋体"/>
      <family val="2"/>
      <scheme val="minor"/>
    </font>
    <font>
      <sz val="12"/>
      <name val="宋体"/>
      <family val="3"/>
      <charset val="134"/>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17"/>
      <name val="宋体"/>
      <family val="3"/>
      <charset val="134"/>
    </font>
    <font>
      <sz val="11"/>
      <color indexed="20"/>
      <name val="宋体"/>
      <family val="3"/>
      <charset val="134"/>
    </font>
    <font>
      <sz val="11"/>
      <color indexed="60"/>
      <name val="宋体"/>
      <family val="3"/>
      <charset val="134"/>
    </font>
    <font>
      <sz val="11"/>
      <color indexed="62"/>
      <name val="宋体"/>
      <family val="3"/>
      <charset val="134"/>
    </font>
    <font>
      <b/>
      <sz val="11"/>
      <color indexed="63"/>
      <name val="宋体"/>
      <family val="3"/>
      <charset val="134"/>
    </font>
    <font>
      <b/>
      <sz val="11"/>
      <color indexed="52"/>
      <name val="宋体"/>
      <family val="3"/>
      <charset val="134"/>
    </font>
    <font>
      <sz val="11"/>
      <color indexed="52"/>
      <name val="宋体"/>
      <family val="3"/>
      <charset val="134"/>
    </font>
    <font>
      <b/>
      <sz val="11"/>
      <color indexed="9"/>
      <name val="宋体"/>
      <family val="3"/>
      <charset val="134"/>
    </font>
    <font>
      <sz val="11"/>
      <color indexed="10"/>
      <name val="宋体"/>
      <family val="3"/>
      <charset val="134"/>
    </font>
    <font>
      <i/>
      <sz val="11"/>
      <color indexed="23"/>
      <name val="宋体"/>
      <family val="3"/>
      <charset val="134"/>
    </font>
    <font>
      <b/>
      <sz val="11"/>
      <color indexed="8"/>
      <name val="宋体"/>
      <family val="3"/>
      <charset val="134"/>
    </font>
    <font>
      <sz val="11"/>
      <color indexed="9"/>
      <name val="宋体"/>
      <family val="3"/>
      <charset val="134"/>
    </font>
    <font>
      <b/>
      <sz val="15"/>
      <color indexed="62"/>
      <name val="宋体"/>
      <family val="3"/>
      <charset val="134"/>
    </font>
    <font>
      <b/>
      <sz val="13"/>
      <color indexed="62"/>
      <name val="宋体"/>
      <family val="3"/>
      <charset val="134"/>
    </font>
    <font>
      <b/>
      <sz val="11"/>
      <color indexed="62"/>
      <name val="宋体"/>
      <family val="3"/>
      <charset val="134"/>
    </font>
    <font>
      <b/>
      <sz val="18"/>
      <color indexed="62"/>
      <name val="宋体"/>
      <family val="3"/>
      <charset val="134"/>
    </font>
    <font>
      <sz val="11"/>
      <color theme="1"/>
      <name val="宋体"/>
      <family val="3"/>
      <charset val="134"/>
      <scheme val="minor"/>
    </font>
    <font>
      <sz val="10"/>
      <name val="宋体"/>
      <family val="3"/>
      <charset val="134"/>
    </font>
    <font>
      <sz val="9"/>
      <name val="宋体"/>
      <family val="3"/>
      <charset val="134"/>
      <scheme val="minor"/>
    </font>
  </fonts>
  <fills count="52">
    <fill>
      <patternFill patternType="none"/>
    </fill>
    <fill>
      <patternFill patternType="gray125"/>
    </fill>
    <fill>
      <patternFill patternType="solid">
        <fgColor indexed="6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9"/>
      </patternFill>
    </fill>
    <fill>
      <patternFill patternType="solid">
        <fgColor indexed="26"/>
      </patternFill>
    </fill>
    <fill>
      <patternFill patternType="solid">
        <fgColor indexed="44"/>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9"/>
      </patternFill>
    </fill>
    <fill>
      <patternFill patternType="solid">
        <fgColor indexed="54"/>
      </patternFill>
    </fill>
    <fill>
      <patternFill patternType="solid">
        <fgColor rgb="FFFFFF00"/>
        <bgColor indexed="64"/>
      </patternFill>
    </fill>
    <fill>
      <patternFill patternType="solid">
        <fgColor indexed="43"/>
        <bgColor indexed="64"/>
      </patternFill>
    </fill>
    <fill>
      <patternFill patternType="solid">
        <fgColor indexed="46"/>
        <bgColor indexed="64"/>
      </patternFill>
    </fill>
    <fill>
      <patternFill patternType="solid">
        <fgColor indexed="29"/>
        <bgColor indexed="64"/>
      </patternFill>
    </fill>
    <fill>
      <patternFill patternType="solid">
        <fgColor indexed="11"/>
        <bgColor indexed="64"/>
      </patternFill>
    </fill>
    <fill>
      <patternFill patternType="solid">
        <fgColor indexed="44"/>
        <bgColor indexed="64"/>
      </patternFill>
    </fill>
    <fill>
      <patternFill patternType="solid">
        <fgColor indexed="30"/>
        <bgColor indexed="64"/>
      </patternFill>
    </fill>
    <fill>
      <patternFill patternType="solid">
        <fgColor indexed="51"/>
        <bgColor indexed="64"/>
      </patternFill>
    </fill>
    <fill>
      <patternFill patternType="solid">
        <fgColor indexed="42"/>
        <bgColor indexed="64"/>
      </patternFill>
    </fill>
    <fill>
      <patternFill patternType="solid">
        <fgColor indexed="9"/>
        <bgColor indexed="64"/>
      </patternFill>
    </fill>
    <fill>
      <patternFill patternType="solid">
        <fgColor indexed="45"/>
        <bgColor indexed="64"/>
      </patternFill>
    </fill>
    <fill>
      <patternFill patternType="solid">
        <fgColor indexed="47"/>
        <bgColor indexed="64"/>
      </patternFill>
    </fill>
    <fill>
      <patternFill patternType="solid">
        <fgColor indexed="22"/>
        <bgColor indexed="64"/>
      </patternFill>
    </fill>
    <fill>
      <patternFill patternType="solid">
        <fgColor indexed="27"/>
        <bgColor indexed="64"/>
      </patternFill>
    </fill>
    <fill>
      <patternFill patternType="solid">
        <fgColor indexed="49"/>
        <bgColor indexed="64"/>
      </patternFill>
    </fill>
    <fill>
      <patternFill patternType="solid">
        <fgColor indexed="53"/>
        <bgColor indexed="64"/>
      </patternFill>
    </fill>
    <fill>
      <patternFill patternType="solid">
        <fgColor indexed="55"/>
        <bgColor indexed="64"/>
      </patternFill>
    </fill>
    <fill>
      <patternFill patternType="solid">
        <fgColor indexed="26"/>
        <bgColor indexed="64"/>
      </patternFill>
    </fill>
    <fill>
      <patternFill patternType="solid">
        <fgColor indexed="36"/>
        <bgColor indexed="64"/>
      </patternFill>
    </fill>
    <fill>
      <patternFill patternType="solid">
        <fgColor indexed="31"/>
        <bgColor indexed="64"/>
      </patternFill>
    </fill>
    <fill>
      <patternFill patternType="solid">
        <fgColor indexed="57"/>
        <bgColor indexed="64"/>
      </patternFill>
    </fill>
    <fill>
      <patternFill patternType="solid">
        <fgColor indexed="54"/>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3924">
    <xf numFmtId="0" fontId="0" fillId="0" borderId="0">
      <alignment vertical="center"/>
    </xf>
    <xf numFmtId="0" fontId="10" fillId="0" borderId="0">
      <alignment vertical="center"/>
    </xf>
    <xf numFmtId="0" fontId="13" fillId="0" borderId="0"/>
    <xf numFmtId="0" fontId="12" fillId="0" borderId="0">
      <alignment vertical="center"/>
    </xf>
    <xf numFmtId="0" fontId="14" fillId="0" borderId="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4" fillId="14"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19" fillId="5" borderId="0" applyNumberFormat="0" applyBorder="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22" fillId="8" borderId="2" applyNumberFormat="0" applyAlignment="0" applyProtection="0">
      <alignment vertical="center"/>
    </xf>
    <xf numFmtId="0" fontId="25" fillId="0" borderId="7" applyNumberFormat="0" applyFill="0" applyAlignment="0" applyProtection="0">
      <alignment vertical="center"/>
    </xf>
    <xf numFmtId="0" fontId="21" fillId="15" borderId="0" applyNumberFormat="0" applyBorder="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15" fillId="0" borderId="0" applyNumberFormat="0" applyFill="0" applyBorder="0" applyAlignment="0" applyProtection="0">
      <alignment vertical="center"/>
    </xf>
    <xf numFmtId="0" fontId="29" fillId="0" borderId="10" applyNumberFormat="0" applyFill="0" applyAlignment="0" applyProtection="0">
      <alignment vertical="center"/>
    </xf>
    <xf numFmtId="0" fontId="27" fillId="0" borderId="0" applyNumberFormat="0" applyFill="0" applyBorder="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14" fillId="0" borderId="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4" fillId="14"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19" fillId="5" borderId="0" applyNumberFormat="0" applyBorder="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22" fillId="8" borderId="2" applyNumberFormat="0" applyAlignment="0" applyProtection="0">
      <alignment vertical="center"/>
    </xf>
    <xf numFmtId="0" fontId="25" fillId="0" borderId="7" applyNumberFormat="0" applyFill="0" applyAlignment="0" applyProtection="0">
      <alignment vertical="center"/>
    </xf>
    <xf numFmtId="0" fontId="21" fillId="15" borderId="0" applyNumberFormat="0" applyBorder="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15" fillId="0" borderId="0" applyNumberFormat="0" applyFill="0" applyBorder="0" applyAlignment="0" applyProtection="0">
      <alignment vertical="center"/>
    </xf>
    <xf numFmtId="0" fontId="29" fillId="0" borderId="10" applyNumberFormat="0" applyFill="0" applyAlignment="0" applyProtection="0">
      <alignment vertical="center"/>
    </xf>
    <xf numFmtId="0" fontId="27" fillId="0" borderId="0" applyNumberFormat="0" applyFill="0" applyBorder="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0"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4" fillId="0" borderId="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35" fillId="0" borderId="0"/>
    <xf numFmtId="0" fontId="35" fillId="0" borderId="0"/>
    <xf numFmtId="0" fontId="14" fillId="0" borderId="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3" fillId="0" borderId="0"/>
    <xf numFmtId="0" fontId="14" fillId="0" borderId="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19" fillId="5" borderId="0" applyNumberFormat="0" applyBorder="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25" fillId="0" borderId="7" applyNumberFormat="0" applyFill="0" applyAlignment="0" applyProtection="0">
      <alignment vertical="center"/>
    </xf>
    <xf numFmtId="0" fontId="21" fillId="15" borderId="0" applyNumberFormat="0" applyBorder="0" applyAlignment="0" applyProtection="0">
      <alignment vertical="center"/>
    </xf>
    <xf numFmtId="0" fontId="23" fillId="14" borderId="9" applyNumberFormat="0" applyAlignment="0" applyProtection="0">
      <alignment vertical="center"/>
    </xf>
    <xf numFmtId="0" fontId="15"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9" fillId="5" borderId="0" applyNumberFormat="0" applyBorder="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13" fillId="0" borderId="0"/>
    <xf numFmtId="0" fontId="2" fillId="0" borderId="0">
      <alignment vertical="center"/>
    </xf>
    <xf numFmtId="0" fontId="14" fillId="0" borderId="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4" fillId="14"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19" fillId="5" borderId="0" applyNumberFormat="0" applyBorder="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22" fillId="8" borderId="2" applyNumberFormat="0" applyAlignment="0" applyProtection="0">
      <alignment vertical="center"/>
    </xf>
    <xf numFmtId="0" fontId="25" fillId="0" borderId="7" applyNumberFormat="0" applyFill="0" applyAlignment="0" applyProtection="0">
      <alignment vertical="center"/>
    </xf>
    <xf numFmtId="0" fontId="21" fillId="15" borderId="0" applyNumberFormat="0" applyBorder="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15" fillId="0" borderId="0" applyNumberFormat="0" applyFill="0" applyBorder="0" applyAlignment="0" applyProtection="0">
      <alignment vertical="center"/>
    </xf>
    <xf numFmtId="0" fontId="29" fillId="0" borderId="10" applyNumberFormat="0" applyFill="0" applyAlignment="0" applyProtection="0">
      <alignment vertical="center"/>
    </xf>
    <xf numFmtId="0" fontId="27" fillId="0" borderId="0" applyNumberFormat="0" applyFill="0" applyBorder="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0" fillId="0" borderId="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4" fillId="0" borderId="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 fillId="0" borderId="0">
      <alignment vertical="center"/>
    </xf>
    <xf numFmtId="0" fontId="13" fillId="0" borderId="0"/>
    <xf numFmtId="0" fontId="10" fillId="0" borderId="0">
      <alignment vertical="center"/>
    </xf>
    <xf numFmtId="0" fontId="1" fillId="0" borderId="0">
      <alignment vertical="center"/>
    </xf>
    <xf numFmtId="0" fontId="13" fillId="0" borderId="0"/>
    <xf numFmtId="0" fontId="1" fillId="0" borderId="0">
      <alignment vertical="center"/>
    </xf>
    <xf numFmtId="0" fontId="1" fillId="0" borderId="0">
      <alignment vertical="center"/>
    </xf>
    <xf numFmtId="0" fontId="1" fillId="0" borderId="0">
      <alignment vertical="center"/>
    </xf>
    <xf numFmtId="0" fontId="14" fillId="0" borderId="0">
      <alignment vertical="center"/>
    </xf>
    <xf numFmtId="0" fontId="35" fillId="0" borderId="0"/>
    <xf numFmtId="0" fontId="10" fillId="0" borderId="0">
      <alignment vertical="center"/>
    </xf>
    <xf numFmtId="0" fontId="10"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4" fillId="0" borderId="0">
      <alignment vertical="center"/>
    </xf>
    <xf numFmtId="0" fontId="14"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4" fillId="0" borderId="0">
      <alignment vertical="center"/>
    </xf>
    <xf numFmtId="0" fontId="14"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4" fillId="0" borderId="0">
      <alignment vertical="center"/>
    </xf>
    <xf numFmtId="0" fontId="14" fillId="0" borderId="0">
      <alignment vertical="center"/>
    </xf>
    <xf numFmtId="0" fontId="1" fillId="0" borderId="0">
      <alignment vertical="center"/>
    </xf>
    <xf numFmtId="0" fontId="35" fillId="0" borderId="0"/>
    <xf numFmtId="0" fontId="10" fillId="38" borderId="0" applyNumberFormat="0" applyBorder="0" applyAlignment="0" applyProtection="0">
      <alignment vertical="center"/>
    </xf>
    <xf numFmtId="0" fontId="10" fillId="29" borderId="0" applyNumberFormat="0" applyBorder="0" applyAlignment="0" applyProtection="0">
      <alignment vertical="center"/>
    </xf>
    <xf numFmtId="0" fontId="24" fillId="36" borderId="2" applyNumberFormat="0" applyAlignment="0" applyProtection="0">
      <alignment vertical="center"/>
    </xf>
    <xf numFmtId="0" fontId="22" fillId="38" borderId="2" applyNumberFormat="0" applyAlignment="0" applyProtection="0">
      <alignment vertical="center"/>
    </xf>
    <xf numFmtId="0" fontId="10" fillId="39" borderId="0" applyNumberFormat="0" applyBorder="0" applyAlignment="0" applyProtection="0">
      <alignment vertical="center"/>
    </xf>
    <xf numFmtId="0" fontId="10" fillId="37" borderId="0" applyNumberFormat="0" applyBorder="0" applyAlignment="0" applyProtection="0">
      <alignment vertical="center"/>
    </xf>
    <xf numFmtId="0" fontId="23" fillId="36" borderId="9" applyNumberFormat="0" applyAlignment="0" applyProtection="0">
      <alignment vertical="center"/>
    </xf>
    <xf numFmtId="0" fontId="10" fillId="35" borderId="0" applyNumberFormat="0" applyBorder="0" applyAlignment="0" applyProtection="0">
      <alignment vertical="center"/>
    </xf>
    <xf numFmtId="0" fontId="10" fillId="40" borderId="0" applyNumberFormat="0" applyBorder="0" applyAlignment="0" applyProtection="0">
      <alignment vertical="center"/>
    </xf>
    <xf numFmtId="0" fontId="10" fillId="38" borderId="0" applyNumberFormat="0" applyBorder="0" applyAlignment="0" applyProtection="0">
      <alignment vertical="center"/>
    </xf>
    <xf numFmtId="0" fontId="21" fillId="28" borderId="0" applyNumberFormat="0" applyBorder="0" applyAlignment="0" applyProtection="0">
      <alignment vertical="center"/>
    </xf>
    <xf numFmtId="0" fontId="10" fillId="46" borderId="0" applyNumberFormat="0" applyBorder="0" applyAlignment="0" applyProtection="0">
      <alignment vertical="center"/>
    </xf>
    <xf numFmtId="0" fontId="10" fillId="30" borderId="0" applyNumberFormat="0" applyBorder="0" applyAlignment="0" applyProtection="0">
      <alignment vertical="center"/>
    </xf>
    <xf numFmtId="0" fontId="10" fillId="44" borderId="0" applyNumberFormat="0" applyBorder="0" applyAlignment="0" applyProtection="0">
      <alignment vertical="center"/>
    </xf>
    <xf numFmtId="0" fontId="10" fillId="31" borderId="0" applyNumberFormat="0" applyBorder="0" applyAlignment="0" applyProtection="0">
      <alignment vertical="center"/>
    </xf>
    <xf numFmtId="0" fontId="10" fillId="38" borderId="0" applyNumberFormat="0" applyBorder="0" applyAlignment="0" applyProtection="0">
      <alignment vertical="center"/>
    </xf>
    <xf numFmtId="0" fontId="10" fillId="40" borderId="0" applyNumberFormat="0" applyBorder="0" applyAlignment="0" applyProtection="0">
      <alignment vertical="center"/>
    </xf>
    <xf numFmtId="0" fontId="10" fillId="44" borderId="0" applyNumberFormat="0" applyBorder="0" applyAlignment="0" applyProtection="0">
      <alignment vertical="center"/>
    </xf>
    <xf numFmtId="0" fontId="10" fillId="32" borderId="0" applyNumberFormat="0" applyBorder="0" applyAlignment="0" applyProtection="0">
      <alignment vertical="center"/>
    </xf>
    <xf numFmtId="0" fontId="10" fillId="30" borderId="0" applyNumberFormat="0" applyBorder="0" applyAlignment="0" applyProtection="0">
      <alignment vertical="center"/>
    </xf>
    <xf numFmtId="0" fontId="10" fillId="29" borderId="0" applyNumberFormat="0" applyBorder="0" applyAlignment="0" applyProtection="0">
      <alignment vertical="center"/>
    </xf>
    <xf numFmtId="0" fontId="10" fillId="32" borderId="0" applyNumberFormat="0" applyBorder="0" applyAlignment="0" applyProtection="0">
      <alignment vertical="center"/>
    </xf>
    <xf numFmtId="0" fontId="10" fillId="34" borderId="0" applyNumberFormat="0" applyBorder="0" applyAlignment="0" applyProtection="0">
      <alignment vertical="center"/>
    </xf>
    <xf numFmtId="0" fontId="10" fillId="39" borderId="0" applyNumberFormat="0" applyBorder="0" applyAlignment="0" applyProtection="0">
      <alignment vertical="center"/>
    </xf>
    <xf numFmtId="0" fontId="10" fillId="30" borderId="0" applyNumberFormat="0" applyBorder="0" applyAlignment="0" applyProtection="0">
      <alignment vertical="center"/>
    </xf>
    <xf numFmtId="0" fontId="10" fillId="28" borderId="0" applyNumberFormat="0" applyBorder="0" applyAlignment="0" applyProtection="0">
      <alignment vertical="center"/>
    </xf>
    <xf numFmtId="0" fontId="10" fillId="32" borderId="0" applyNumberFormat="0" applyBorder="0" applyAlignment="0" applyProtection="0">
      <alignment vertical="center"/>
    </xf>
    <xf numFmtId="0" fontId="10" fillId="28" borderId="0" applyNumberFormat="0" applyBorder="0" applyAlignment="0" applyProtection="0">
      <alignment vertical="center"/>
    </xf>
    <xf numFmtId="0" fontId="30" fillId="33"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0" fillId="45" borderId="0" applyNumberFormat="0" applyBorder="0" applyAlignment="0" applyProtection="0">
      <alignment vertical="center"/>
    </xf>
    <xf numFmtId="0" fontId="30" fillId="48" borderId="0" applyNumberFormat="0" applyBorder="0" applyAlignment="0" applyProtection="0">
      <alignment vertical="center"/>
    </xf>
    <xf numFmtId="0" fontId="30" fillId="41" borderId="0" applyNumberFormat="0" applyBorder="0" applyAlignment="0" applyProtection="0">
      <alignment vertical="center"/>
    </xf>
    <xf numFmtId="0" fontId="30" fillId="4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28" borderId="0" applyNumberFormat="0" applyBorder="0" applyAlignment="0" applyProtection="0">
      <alignment vertical="center"/>
    </xf>
    <xf numFmtId="0" fontId="21" fillId="28" borderId="0" applyNumberFormat="0" applyBorder="0" applyAlignment="0" applyProtection="0">
      <alignment vertical="center"/>
    </xf>
    <xf numFmtId="0" fontId="30" fillId="3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50"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5"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0" fillId="37" borderId="0" applyNumberFormat="0" applyBorder="0" applyAlignment="0" applyProtection="0">
      <alignment vertical="center"/>
    </xf>
    <xf numFmtId="0" fontId="24" fillId="39" borderId="2" applyNumberFormat="0" applyAlignment="0" applyProtection="0">
      <alignment vertical="center"/>
    </xf>
    <xf numFmtId="0" fontId="26" fillId="43" borderId="3" applyNumberFormat="0" applyAlignment="0" applyProtection="0">
      <alignment vertical="center"/>
    </xf>
    <xf numFmtId="0" fontId="30" fillId="41" borderId="0" applyNumberFormat="0" applyBorder="0" applyAlignment="0" applyProtection="0">
      <alignment vertical="center"/>
    </xf>
    <xf numFmtId="0" fontId="19" fillId="35" borderId="0" applyNumberFormat="0" applyBorder="0" applyAlignment="0" applyProtection="0">
      <alignment vertical="center"/>
    </xf>
    <xf numFmtId="0" fontId="26" fillId="43" borderId="3" applyNumberFormat="0" applyAlignment="0" applyProtection="0">
      <alignment vertical="center"/>
    </xf>
    <xf numFmtId="0" fontId="10" fillId="44" borderId="8" applyNumberFormat="0" applyFont="0" applyAlignment="0" applyProtection="0">
      <alignment vertical="center"/>
    </xf>
    <xf numFmtId="0" fontId="23" fillId="39" borderId="9" applyNumberFormat="0" applyAlignment="0" applyProtection="0">
      <alignment vertical="center"/>
    </xf>
    <xf numFmtId="0" fontId="14" fillId="0" borderId="0">
      <alignment vertical="center"/>
    </xf>
    <xf numFmtId="0" fontId="20" fillId="37" borderId="0" applyNumberFormat="0" applyBorder="0" applyAlignment="0" applyProtection="0">
      <alignment vertical="center"/>
    </xf>
    <xf numFmtId="0" fontId="19" fillId="35"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2" fillId="28" borderId="2" applyNumberFormat="0" applyAlignment="0" applyProtection="0">
      <alignment vertical="center"/>
    </xf>
    <xf numFmtId="0" fontId="14" fillId="44" borderId="8" applyNumberFormat="0" applyFont="0" applyAlignment="0" applyProtection="0">
      <alignment vertical="center"/>
    </xf>
    <xf numFmtId="0" fontId="13" fillId="0" borderId="0"/>
    <xf numFmtId="0" fontId="35" fillId="0" borderId="0"/>
    <xf numFmtId="0" fontId="10" fillId="35" borderId="0" applyNumberFormat="0" applyBorder="0" applyAlignment="0" applyProtection="0">
      <alignment vertical="center"/>
    </xf>
    <xf numFmtId="0" fontId="10" fillId="34" borderId="0" applyNumberFormat="0" applyBorder="0" applyAlignment="0" applyProtection="0">
      <alignment vertical="center"/>
    </xf>
    <xf numFmtId="0" fontId="26" fillId="43" borderId="3" applyNumberFormat="0" applyAlignment="0" applyProtection="0">
      <alignment vertical="center"/>
    </xf>
    <xf numFmtId="0" fontId="20" fillId="37" borderId="0" applyNumberFormat="0" applyBorder="0" applyAlignment="0" applyProtection="0">
      <alignment vertical="center"/>
    </xf>
    <xf numFmtId="0" fontId="35" fillId="0" borderId="0"/>
    <xf numFmtId="0" fontId="30" fillId="41" borderId="0" applyNumberFormat="0" applyBorder="0" applyAlignment="0" applyProtection="0">
      <alignment vertical="center"/>
    </xf>
    <xf numFmtId="0" fontId="30" fillId="33" borderId="0" applyNumberFormat="0" applyBorder="0" applyAlignment="0" applyProtection="0">
      <alignment vertical="center"/>
    </xf>
    <xf numFmtId="0" fontId="10" fillId="38" borderId="0" applyNumberFormat="0" applyBorder="0" applyAlignment="0" applyProtection="0">
      <alignment vertical="center"/>
    </xf>
    <xf numFmtId="0" fontId="10" fillId="29" borderId="0" applyNumberFormat="0" applyBorder="0" applyAlignment="0" applyProtection="0">
      <alignment vertical="center"/>
    </xf>
    <xf numFmtId="0" fontId="24" fillId="36" borderId="2" applyNumberFormat="0" applyAlignment="0" applyProtection="0">
      <alignment vertical="center"/>
    </xf>
    <xf numFmtId="0" fontId="22" fillId="38" borderId="2" applyNumberFormat="0" applyAlignment="0" applyProtection="0">
      <alignment vertical="center"/>
    </xf>
    <xf numFmtId="0" fontId="10" fillId="39" borderId="0" applyNumberFormat="0" applyBorder="0" applyAlignment="0" applyProtection="0">
      <alignment vertical="center"/>
    </xf>
    <xf numFmtId="0" fontId="10" fillId="37" borderId="0" applyNumberFormat="0" applyBorder="0" applyAlignment="0" applyProtection="0">
      <alignment vertical="center"/>
    </xf>
    <xf numFmtId="0" fontId="23" fillId="36" borderId="9" applyNumberFormat="0" applyAlignment="0" applyProtection="0">
      <alignment vertical="center"/>
    </xf>
    <xf numFmtId="0" fontId="10" fillId="35" borderId="0" applyNumberFormat="0" applyBorder="0" applyAlignment="0" applyProtection="0">
      <alignment vertical="center"/>
    </xf>
    <xf numFmtId="0" fontId="10" fillId="40" borderId="0" applyNumberFormat="0" applyBorder="0" applyAlignment="0" applyProtection="0">
      <alignment vertical="center"/>
    </xf>
    <xf numFmtId="0" fontId="10" fillId="38" borderId="0" applyNumberFormat="0" applyBorder="0" applyAlignment="0" applyProtection="0">
      <alignment vertical="center"/>
    </xf>
    <xf numFmtId="0" fontId="21" fillId="28" borderId="0" applyNumberFormat="0" applyBorder="0" applyAlignment="0" applyProtection="0">
      <alignment vertical="center"/>
    </xf>
    <xf numFmtId="0" fontId="10" fillId="46" borderId="0" applyNumberFormat="0" applyBorder="0" applyAlignment="0" applyProtection="0">
      <alignment vertical="center"/>
    </xf>
    <xf numFmtId="0" fontId="10" fillId="30" borderId="0" applyNumberFormat="0" applyBorder="0" applyAlignment="0" applyProtection="0">
      <alignment vertical="center"/>
    </xf>
    <xf numFmtId="0" fontId="10" fillId="44" borderId="0" applyNumberFormat="0" applyBorder="0" applyAlignment="0" applyProtection="0">
      <alignment vertical="center"/>
    </xf>
    <xf numFmtId="0" fontId="10" fillId="31" borderId="0" applyNumberFormat="0" applyBorder="0" applyAlignment="0" applyProtection="0">
      <alignment vertical="center"/>
    </xf>
    <xf numFmtId="0" fontId="14" fillId="0" borderId="0">
      <alignment vertical="center"/>
    </xf>
    <xf numFmtId="0" fontId="10" fillId="38" borderId="0" applyNumberFormat="0" applyBorder="0" applyAlignment="0" applyProtection="0">
      <alignment vertical="center"/>
    </xf>
    <xf numFmtId="0" fontId="10" fillId="40" borderId="0" applyNumberFormat="0" applyBorder="0" applyAlignment="0" applyProtection="0">
      <alignment vertical="center"/>
    </xf>
    <xf numFmtId="0" fontId="10" fillId="44" borderId="0" applyNumberFormat="0" applyBorder="0" applyAlignment="0" applyProtection="0">
      <alignment vertical="center"/>
    </xf>
    <xf numFmtId="0" fontId="10" fillId="32" borderId="0" applyNumberFormat="0" applyBorder="0" applyAlignment="0" applyProtection="0">
      <alignment vertical="center"/>
    </xf>
    <xf numFmtId="0" fontId="10" fillId="30" borderId="0" applyNumberFormat="0" applyBorder="0" applyAlignment="0" applyProtection="0">
      <alignment vertical="center"/>
    </xf>
    <xf numFmtId="0" fontId="10" fillId="29" borderId="0" applyNumberFormat="0" applyBorder="0" applyAlignment="0" applyProtection="0">
      <alignment vertical="center"/>
    </xf>
    <xf numFmtId="0" fontId="10" fillId="32" borderId="0" applyNumberFormat="0" applyBorder="0" applyAlignment="0" applyProtection="0">
      <alignment vertical="center"/>
    </xf>
    <xf numFmtId="0" fontId="10" fillId="34" borderId="0" applyNumberFormat="0" applyBorder="0" applyAlignment="0" applyProtection="0">
      <alignment vertical="center"/>
    </xf>
    <xf numFmtId="0" fontId="10" fillId="39" borderId="0" applyNumberFormat="0" applyBorder="0" applyAlignment="0" applyProtection="0">
      <alignment vertical="center"/>
    </xf>
    <xf numFmtId="0" fontId="10" fillId="30" borderId="0" applyNumberFormat="0" applyBorder="0" applyAlignment="0" applyProtection="0">
      <alignment vertical="center"/>
    </xf>
    <xf numFmtId="0" fontId="10" fillId="28" borderId="0" applyNumberFormat="0" applyBorder="0" applyAlignment="0" applyProtection="0">
      <alignment vertical="center"/>
    </xf>
    <xf numFmtId="0" fontId="10" fillId="32" borderId="0" applyNumberFormat="0" applyBorder="0" applyAlignment="0" applyProtection="0">
      <alignment vertical="center"/>
    </xf>
    <xf numFmtId="0" fontId="10" fillId="28" borderId="0" applyNumberFormat="0" applyBorder="0" applyAlignment="0" applyProtection="0">
      <alignment vertical="center"/>
    </xf>
    <xf numFmtId="0" fontId="30" fillId="33"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0" fillId="45" borderId="0" applyNumberFormat="0" applyBorder="0" applyAlignment="0" applyProtection="0">
      <alignment vertical="center"/>
    </xf>
    <xf numFmtId="0" fontId="30" fillId="48" borderId="0" applyNumberFormat="0" applyBorder="0" applyAlignment="0" applyProtection="0">
      <alignment vertical="center"/>
    </xf>
    <xf numFmtId="0" fontId="30" fillId="41" borderId="0" applyNumberFormat="0" applyBorder="0" applyAlignment="0" applyProtection="0">
      <alignment vertical="center"/>
    </xf>
    <xf numFmtId="0" fontId="30" fillId="4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28" borderId="0" applyNumberFormat="0" applyBorder="0" applyAlignment="0" applyProtection="0">
      <alignment vertical="center"/>
    </xf>
    <xf numFmtId="0" fontId="21" fillId="28" borderId="0" applyNumberFormat="0" applyBorder="0" applyAlignment="0" applyProtection="0">
      <alignment vertical="center"/>
    </xf>
    <xf numFmtId="0" fontId="30" fillId="3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50"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5"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0" fillId="37" borderId="0" applyNumberFormat="0" applyBorder="0" applyAlignment="0" applyProtection="0">
      <alignment vertical="center"/>
    </xf>
    <xf numFmtId="0" fontId="24" fillId="39" borderId="2" applyNumberFormat="0" applyAlignment="0" applyProtection="0">
      <alignment vertical="center"/>
    </xf>
    <xf numFmtId="0" fontId="26" fillId="43" borderId="3" applyNumberFormat="0" applyAlignment="0" applyProtection="0">
      <alignment vertical="center"/>
    </xf>
    <xf numFmtId="0" fontId="30" fillId="41" borderId="0" applyNumberFormat="0" applyBorder="0" applyAlignment="0" applyProtection="0">
      <alignment vertical="center"/>
    </xf>
    <xf numFmtId="0" fontId="19" fillId="35" borderId="0" applyNumberFormat="0" applyBorder="0" applyAlignment="0" applyProtection="0">
      <alignment vertical="center"/>
    </xf>
    <xf numFmtId="0" fontId="26" fillId="43" borderId="3" applyNumberFormat="0" applyAlignment="0" applyProtection="0">
      <alignment vertical="center"/>
    </xf>
    <xf numFmtId="0" fontId="10" fillId="44" borderId="8" applyNumberFormat="0" applyFont="0" applyAlignment="0" applyProtection="0">
      <alignment vertical="center"/>
    </xf>
    <xf numFmtId="0" fontId="23" fillId="39" borderId="9" applyNumberFormat="0" applyAlignment="0" applyProtection="0">
      <alignment vertical="center"/>
    </xf>
    <xf numFmtId="0" fontId="20" fillId="37" borderId="0" applyNumberFormat="0" applyBorder="0" applyAlignment="0" applyProtection="0">
      <alignment vertical="center"/>
    </xf>
    <xf numFmtId="0" fontId="19" fillId="35"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2" fillId="28" borderId="2" applyNumberFormat="0" applyAlignment="0" applyProtection="0">
      <alignment vertical="center"/>
    </xf>
    <xf numFmtId="0" fontId="14" fillId="44" borderId="8" applyNumberFormat="0" applyFont="0" applyAlignment="0" applyProtection="0">
      <alignment vertical="center"/>
    </xf>
    <xf numFmtId="0" fontId="1" fillId="0" borderId="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13" fillId="0" borderId="0"/>
    <xf numFmtId="0" fontId="35" fillId="0" borderId="0"/>
    <xf numFmtId="0" fontId="10" fillId="38" borderId="0" applyNumberFormat="0" applyBorder="0" applyAlignment="0" applyProtection="0">
      <alignment vertical="center"/>
    </xf>
    <xf numFmtId="0" fontId="10" fillId="29" borderId="0" applyNumberFormat="0" applyBorder="0" applyAlignment="0" applyProtection="0">
      <alignment vertical="center"/>
    </xf>
    <xf numFmtId="0" fontId="24" fillId="36" borderId="2" applyNumberFormat="0" applyAlignment="0" applyProtection="0">
      <alignment vertical="center"/>
    </xf>
    <xf numFmtId="0" fontId="22" fillId="38" borderId="2" applyNumberFormat="0" applyAlignment="0" applyProtection="0">
      <alignment vertical="center"/>
    </xf>
    <xf numFmtId="0" fontId="10" fillId="39" borderId="0" applyNumberFormat="0" applyBorder="0" applyAlignment="0" applyProtection="0">
      <alignment vertical="center"/>
    </xf>
    <xf numFmtId="0" fontId="10" fillId="37" borderId="0" applyNumberFormat="0" applyBorder="0" applyAlignment="0" applyProtection="0">
      <alignment vertical="center"/>
    </xf>
    <xf numFmtId="0" fontId="23" fillId="36" borderId="9" applyNumberFormat="0" applyAlignment="0" applyProtection="0">
      <alignment vertical="center"/>
    </xf>
    <xf numFmtId="0" fontId="10" fillId="35" borderId="0" applyNumberFormat="0" applyBorder="0" applyAlignment="0" applyProtection="0">
      <alignment vertical="center"/>
    </xf>
    <xf numFmtId="0" fontId="10" fillId="40" borderId="0" applyNumberFormat="0" applyBorder="0" applyAlignment="0" applyProtection="0">
      <alignment vertical="center"/>
    </xf>
    <xf numFmtId="0" fontId="10" fillId="38" borderId="0" applyNumberFormat="0" applyBorder="0" applyAlignment="0" applyProtection="0">
      <alignment vertical="center"/>
    </xf>
    <xf numFmtId="0" fontId="21" fillId="28" borderId="0" applyNumberFormat="0" applyBorder="0" applyAlignment="0" applyProtection="0">
      <alignment vertical="center"/>
    </xf>
    <xf numFmtId="0" fontId="10" fillId="46" borderId="0" applyNumberFormat="0" applyBorder="0" applyAlignment="0" applyProtection="0">
      <alignment vertical="center"/>
    </xf>
    <xf numFmtId="0" fontId="10" fillId="30" borderId="0" applyNumberFormat="0" applyBorder="0" applyAlignment="0" applyProtection="0">
      <alignment vertical="center"/>
    </xf>
    <xf numFmtId="0" fontId="10" fillId="44" borderId="0" applyNumberFormat="0" applyBorder="0" applyAlignment="0" applyProtection="0">
      <alignment vertical="center"/>
    </xf>
    <xf numFmtId="0" fontId="10" fillId="31" borderId="0" applyNumberFormat="0" applyBorder="0" applyAlignment="0" applyProtection="0">
      <alignment vertical="center"/>
    </xf>
    <xf numFmtId="0" fontId="10" fillId="38" borderId="0" applyNumberFormat="0" applyBorder="0" applyAlignment="0" applyProtection="0">
      <alignment vertical="center"/>
    </xf>
    <xf numFmtId="0" fontId="10" fillId="40" borderId="0" applyNumberFormat="0" applyBorder="0" applyAlignment="0" applyProtection="0">
      <alignment vertical="center"/>
    </xf>
    <xf numFmtId="0" fontId="10" fillId="44" borderId="0" applyNumberFormat="0" applyBorder="0" applyAlignment="0" applyProtection="0">
      <alignment vertical="center"/>
    </xf>
    <xf numFmtId="0" fontId="10" fillId="32" borderId="0" applyNumberFormat="0" applyBorder="0" applyAlignment="0" applyProtection="0">
      <alignment vertical="center"/>
    </xf>
    <xf numFmtId="0" fontId="10" fillId="30" borderId="0" applyNumberFormat="0" applyBorder="0" applyAlignment="0" applyProtection="0">
      <alignment vertical="center"/>
    </xf>
    <xf numFmtId="0" fontId="10" fillId="29" borderId="0" applyNumberFormat="0" applyBorder="0" applyAlignment="0" applyProtection="0">
      <alignment vertical="center"/>
    </xf>
    <xf numFmtId="0" fontId="10" fillId="32" borderId="0" applyNumberFormat="0" applyBorder="0" applyAlignment="0" applyProtection="0">
      <alignment vertical="center"/>
    </xf>
    <xf numFmtId="0" fontId="10" fillId="34" borderId="0" applyNumberFormat="0" applyBorder="0" applyAlignment="0" applyProtection="0">
      <alignment vertical="center"/>
    </xf>
    <xf numFmtId="0" fontId="10" fillId="39" borderId="0" applyNumberFormat="0" applyBorder="0" applyAlignment="0" applyProtection="0">
      <alignment vertical="center"/>
    </xf>
    <xf numFmtId="0" fontId="10" fillId="30" borderId="0" applyNumberFormat="0" applyBorder="0" applyAlignment="0" applyProtection="0">
      <alignment vertical="center"/>
    </xf>
    <xf numFmtId="0" fontId="10" fillId="28" borderId="0" applyNumberFormat="0" applyBorder="0" applyAlignment="0" applyProtection="0">
      <alignment vertical="center"/>
    </xf>
    <xf numFmtId="0" fontId="10" fillId="32" borderId="0" applyNumberFormat="0" applyBorder="0" applyAlignment="0" applyProtection="0">
      <alignment vertical="center"/>
    </xf>
    <xf numFmtId="0" fontId="10" fillId="28" borderId="0" applyNumberFormat="0" applyBorder="0" applyAlignment="0" applyProtection="0">
      <alignment vertical="center"/>
    </xf>
    <xf numFmtId="0" fontId="30" fillId="33"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0" fillId="45" borderId="0" applyNumberFormat="0" applyBorder="0" applyAlignment="0" applyProtection="0">
      <alignment vertical="center"/>
    </xf>
    <xf numFmtId="0" fontId="30" fillId="48" borderId="0" applyNumberFormat="0" applyBorder="0" applyAlignment="0" applyProtection="0">
      <alignment vertical="center"/>
    </xf>
    <xf numFmtId="0" fontId="30" fillId="41" borderId="0" applyNumberFormat="0" applyBorder="0" applyAlignment="0" applyProtection="0">
      <alignment vertical="center"/>
    </xf>
    <xf numFmtId="0" fontId="30" fillId="4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28" borderId="0" applyNumberFormat="0" applyBorder="0" applyAlignment="0" applyProtection="0">
      <alignment vertical="center"/>
    </xf>
    <xf numFmtId="0" fontId="21" fillId="28" borderId="0" applyNumberFormat="0" applyBorder="0" applyAlignment="0" applyProtection="0">
      <alignment vertical="center"/>
    </xf>
    <xf numFmtId="0" fontId="30" fillId="3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50"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5"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0" fillId="37" borderId="0" applyNumberFormat="0" applyBorder="0" applyAlignment="0" applyProtection="0">
      <alignment vertical="center"/>
    </xf>
    <xf numFmtId="0" fontId="24" fillId="39" borderId="2" applyNumberFormat="0" applyAlignment="0" applyProtection="0">
      <alignment vertical="center"/>
    </xf>
    <xf numFmtId="0" fontId="26" fillId="43" borderId="3" applyNumberFormat="0" applyAlignment="0" applyProtection="0">
      <alignment vertical="center"/>
    </xf>
    <xf numFmtId="0" fontId="30" fillId="41" borderId="0" applyNumberFormat="0" applyBorder="0" applyAlignment="0" applyProtection="0">
      <alignment vertical="center"/>
    </xf>
    <xf numFmtId="0" fontId="19" fillId="35" borderId="0" applyNumberFormat="0" applyBorder="0" applyAlignment="0" applyProtection="0">
      <alignment vertical="center"/>
    </xf>
    <xf numFmtId="0" fontId="26" fillId="43" borderId="3" applyNumberFormat="0" applyAlignment="0" applyProtection="0">
      <alignment vertical="center"/>
    </xf>
    <xf numFmtId="0" fontId="10" fillId="44" borderId="8" applyNumberFormat="0" applyFont="0" applyAlignment="0" applyProtection="0">
      <alignment vertical="center"/>
    </xf>
    <xf numFmtId="0" fontId="23" fillId="39" borderId="9" applyNumberFormat="0" applyAlignment="0" applyProtection="0">
      <alignment vertical="center"/>
    </xf>
    <xf numFmtId="0" fontId="20" fillId="37" borderId="0" applyNumberFormat="0" applyBorder="0" applyAlignment="0" applyProtection="0">
      <alignment vertical="center"/>
    </xf>
    <xf numFmtId="0" fontId="19" fillId="35"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2" fillId="28" borderId="2" applyNumberFormat="0" applyAlignment="0" applyProtection="0">
      <alignment vertical="center"/>
    </xf>
    <xf numFmtId="0" fontId="14" fillId="44" borderId="8" applyNumberFormat="0" applyFont="0" applyAlignment="0" applyProtection="0">
      <alignment vertical="center"/>
    </xf>
    <xf numFmtId="0" fontId="35" fillId="0" borderId="0"/>
    <xf numFmtId="0" fontId="10" fillId="38" borderId="0" applyNumberFormat="0" applyBorder="0" applyAlignment="0" applyProtection="0">
      <alignment vertical="center"/>
    </xf>
    <xf numFmtId="0" fontId="10" fillId="29" borderId="0" applyNumberFormat="0" applyBorder="0" applyAlignment="0" applyProtection="0">
      <alignment vertical="center"/>
    </xf>
    <xf numFmtId="0" fontId="24" fillId="36" borderId="2" applyNumberFormat="0" applyAlignment="0" applyProtection="0">
      <alignment vertical="center"/>
    </xf>
    <xf numFmtId="0" fontId="22" fillId="38" borderId="2" applyNumberFormat="0" applyAlignment="0" applyProtection="0">
      <alignment vertical="center"/>
    </xf>
    <xf numFmtId="0" fontId="10" fillId="39" borderId="0" applyNumberFormat="0" applyBorder="0" applyAlignment="0" applyProtection="0">
      <alignment vertical="center"/>
    </xf>
    <xf numFmtId="0" fontId="10" fillId="37" borderId="0" applyNumberFormat="0" applyBorder="0" applyAlignment="0" applyProtection="0">
      <alignment vertical="center"/>
    </xf>
    <xf numFmtId="0" fontId="23" fillId="36" borderId="9" applyNumberFormat="0" applyAlignment="0" applyProtection="0">
      <alignment vertical="center"/>
    </xf>
    <xf numFmtId="0" fontId="10" fillId="35" borderId="0" applyNumberFormat="0" applyBorder="0" applyAlignment="0" applyProtection="0">
      <alignment vertical="center"/>
    </xf>
    <xf numFmtId="0" fontId="10" fillId="40" borderId="0" applyNumberFormat="0" applyBorder="0" applyAlignment="0" applyProtection="0">
      <alignment vertical="center"/>
    </xf>
    <xf numFmtId="0" fontId="10" fillId="38" borderId="0" applyNumberFormat="0" applyBorder="0" applyAlignment="0" applyProtection="0">
      <alignment vertical="center"/>
    </xf>
    <xf numFmtId="0" fontId="21" fillId="28" borderId="0" applyNumberFormat="0" applyBorder="0" applyAlignment="0" applyProtection="0">
      <alignment vertical="center"/>
    </xf>
    <xf numFmtId="0" fontId="10" fillId="46" borderId="0" applyNumberFormat="0" applyBorder="0" applyAlignment="0" applyProtection="0">
      <alignment vertical="center"/>
    </xf>
    <xf numFmtId="0" fontId="10" fillId="30" borderId="0" applyNumberFormat="0" applyBorder="0" applyAlignment="0" applyProtection="0">
      <alignment vertical="center"/>
    </xf>
    <xf numFmtId="0" fontId="10" fillId="44" borderId="0" applyNumberFormat="0" applyBorder="0" applyAlignment="0" applyProtection="0">
      <alignment vertical="center"/>
    </xf>
    <xf numFmtId="0" fontId="10" fillId="31" borderId="0" applyNumberFormat="0" applyBorder="0" applyAlignment="0" applyProtection="0">
      <alignment vertical="center"/>
    </xf>
    <xf numFmtId="0" fontId="10" fillId="38" borderId="0" applyNumberFormat="0" applyBorder="0" applyAlignment="0" applyProtection="0">
      <alignment vertical="center"/>
    </xf>
    <xf numFmtId="0" fontId="10" fillId="40" borderId="0" applyNumberFormat="0" applyBorder="0" applyAlignment="0" applyProtection="0">
      <alignment vertical="center"/>
    </xf>
    <xf numFmtId="0" fontId="10" fillId="44" borderId="0" applyNumberFormat="0" applyBorder="0" applyAlignment="0" applyProtection="0">
      <alignment vertical="center"/>
    </xf>
    <xf numFmtId="0" fontId="10" fillId="32" borderId="0" applyNumberFormat="0" applyBorder="0" applyAlignment="0" applyProtection="0">
      <alignment vertical="center"/>
    </xf>
    <xf numFmtId="0" fontId="10" fillId="30" borderId="0" applyNumberFormat="0" applyBorder="0" applyAlignment="0" applyProtection="0">
      <alignment vertical="center"/>
    </xf>
    <xf numFmtId="0" fontId="10" fillId="29" borderId="0" applyNumberFormat="0" applyBorder="0" applyAlignment="0" applyProtection="0">
      <alignment vertical="center"/>
    </xf>
    <xf numFmtId="0" fontId="10" fillId="32" borderId="0" applyNumberFormat="0" applyBorder="0" applyAlignment="0" applyProtection="0">
      <alignment vertical="center"/>
    </xf>
    <xf numFmtId="0" fontId="10" fillId="34" borderId="0" applyNumberFormat="0" applyBorder="0" applyAlignment="0" applyProtection="0">
      <alignment vertical="center"/>
    </xf>
    <xf numFmtId="0" fontId="10" fillId="39" borderId="0" applyNumberFormat="0" applyBorder="0" applyAlignment="0" applyProtection="0">
      <alignment vertical="center"/>
    </xf>
    <xf numFmtId="0" fontId="10" fillId="30" borderId="0" applyNumberFormat="0" applyBorder="0" applyAlignment="0" applyProtection="0">
      <alignment vertical="center"/>
    </xf>
    <xf numFmtId="0" fontId="10" fillId="28" borderId="0" applyNumberFormat="0" applyBorder="0" applyAlignment="0" applyProtection="0">
      <alignment vertical="center"/>
    </xf>
    <xf numFmtId="0" fontId="10" fillId="32" borderId="0" applyNumberFormat="0" applyBorder="0" applyAlignment="0" applyProtection="0">
      <alignment vertical="center"/>
    </xf>
    <xf numFmtId="0" fontId="10" fillId="28" borderId="0" applyNumberFormat="0" applyBorder="0" applyAlignment="0" applyProtection="0">
      <alignment vertical="center"/>
    </xf>
    <xf numFmtId="0" fontId="30" fillId="33"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0" fillId="45" borderId="0" applyNumberFormat="0" applyBorder="0" applyAlignment="0" applyProtection="0">
      <alignment vertical="center"/>
    </xf>
    <xf numFmtId="0" fontId="30" fillId="48" borderId="0" applyNumberFormat="0" applyBorder="0" applyAlignment="0" applyProtection="0">
      <alignment vertical="center"/>
    </xf>
    <xf numFmtId="0" fontId="30" fillId="41" borderId="0" applyNumberFormat="0" applyBorder="0" applyAlignment="0" applyProtection="0">
      <alignment vertical="center"/>
    </xf>
    <xf numFmtId="0" fontId="30" fillId="4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28" borderId="0" applyNumberFormat="0" applyBorder="0" applyAlignment="0" applyProtection="0">
      <alignment vertical="center"/>
    </xf>
    <xf numFmtId="0" fontId="21" fillId="28" borderId="0" applyNumberFormat="0" applyBorder="0" applyAlignment="0" applyProtection="0">
      <alignment vertical="center"/>
    </xf>
    <xf numFmtId="0" fontId="30" fillId="3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50"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5"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0" fillId="37" borderId="0" applyNumberFormat="0" applyBorder="0" applyAlignment="0" applyProtection="0">
      <alignment vertical="center"/>
    </xf>
    <xf numFmtId="0" fontId="24" fillId="39" borderId="2" applyNumberFormat="0" applyAlignment="0" applyProtection="0">
      <alignment vertical="center"/>
    </xf>
    <xf numFmtId="0" fontId="26" fillId="43" borderId="3" applyNumberFormat="0" applyAlignment="0" applyProtection="0">
      <alignment vertical="center"/>
    </xf>
    <xf numFmtId="0" fontId="30" fillId="41" borderId="0" applyNumberFormat="0" applyBorder="0" applyAlignment="0" applyProtection="0">
      <alignment vertical="center"/>
    </xf>
    <xf numFmtId="0" fontId="19" fillId="35" borderId="0" applyNumberFormat="0" applyBorder="0" applyAlignment="0" applyProtection="0">
      <alignment vertical="center"/>
    </xf>
    <xf numFmtId="0" fontId="26" fillId="43" borderId="3" applyNumberFormat="0" applyAlignment="0" applyProtection="0">
      <alignment vertical="center"/>
    </xf>
    <xf numFmtId="0" fontId="10" fillId="44" borderId="8" applyNumberFormat="0" applyFont="0" applyAlignment="0" applyProtection="0">
      <alignment vertical="center"/>
    </xf>
    <xf numFmtId="0" fontId="23" fillId="39" borderId="9" applyNumberFormat="0" applyAlignment="0" applyProtection="0">
      <alignment vertical="center"/>
    </xf>
    <xf numFmtId="0" fontId="20" fillId="37" borderId="0" applyNumberFormat="0" applyBorder="0" applyAlignment="0" applyProtection="0">
      <alignment vertical="center"/>
    </xf>
    <xf numFmtId="0" fontId="19" fillId="35"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2" fillId="28" borderId="2" applyNumberFormat="0" applyAlignment="0" applyProtection="0">
      <alignment vertical="center"/>
    </xf>
    <xf numFmtId="0" fontId="14" fillId="44" borderId="8"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35" fillId="0" borderId="0"/>
    <xf numFmtId="0" fontId="14" fillId="0" borderId="0">
      <alignment vertical="center"/>
    </xf>
    <xf numFmtId="0" fontId="35" fillId="0" borderId="0">
      <alignment vertical="center"/>
    </xf>
    <xf numFmtId="0" fontId="13" fillId="0" borderId="0"/>
    <xf numFmtId="0" fontId="1" fillId="0" borderId="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5" fillId="0" borderId="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35" fillId="0" borderId="0"/>
    <xf numFmtId="0" fontId="14" fillId="0" borderId="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4" fillId="0" borderId="0">
      <alignment vertical="center"/>
    </xf>
    <xf numFmtId="0" fontId="14" fillId="0" borderId="0">
      <alignment vertical="center"/>
    </xf>
    <xf numFmtId="0" fontId="13" fillId="0" borderId="0"/>
    <xf numFmtId="0" fontId="1" fillId="0" borderId="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6" fillId="24" borderId="3" applyNumberFormat="0" applyAlignment="0" applyProtection="0">
      <alignment vertical="center"/>
    </xf>
    <xf numFmtId="0" fontId="19" fillId="5" borderId="0" applyNumberFormat="0" applyBorder="0" applyAlignment="0" applyProtection="0">
      <alignment vertical="center"/>
    </xf>
    <xf numFmtId="0" fontId="21" fillId="15" borderId="0" applyNumberFormat="0" applyBorder="0" applyAlignment="0" applyProtection="0">
      <alignment vertical="center"/>
    </xf>
    <xf numFmtId="0" fontId="20" fillId="4" borderId="0" applyNumberFormat="0" applyBorder="0" applyAlignment="0" applyProtection="0">
      <alignment vertical="center"/>
    </xf>
    <xf numFmtId="0" fontId="19" fillId="5" borderId="0" applyNumberFormat="0" applyBorder="0" applyAlignment="0" applyProtection="0">
      <alignment vertical="center"/>
    </xf>
    <xf numFmtId="0" fontId="26" fillId="24" borderId="3" applyNumberFormat="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0" borderId="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3" fillId="36" borderId="9" applyNumberFormat="0" applyAlignment="0" applyProtection="0">
      <alignment vertical="center"/>
    </xf>
    <xf numFmtId="0" fontId="30" fillId="21" borderId="0" applyNumberFormat="0" applyBorder="0" applyAlignment="0" applyProtection="0">
      <alignment vertical="center"/>
    </xf>
    <xf numFmtId="0" fontId="10" fillId="32" borderId="0" applyNumberFormat="0" applyBorder="0" applyAlignment="0" applyProtection="0">
      <alignment vertical="center"/>
    </xf>
    <xf numFmtId="0" fontId="30" fillId="15" borderId="0" applyNumberFormat="0" applyBorder="0" applyAlignment="0" applyProtection="0">
      <alignment vertical="center"/>
    </xf>
    <xf numFmtId="0" fontId="10" fillId="8" borderId="0" applyNumberFormat="0" applyBorder="0" applyAlignment="0" applyProtection="0">
      <alignment vertical="center"/>
    </xf>
    <xf numFmtId="0" fontId="24" fillId="36" borderId="2" applyNumberFormat="0" applyAlignment="0" applyProtection="0">
      <alignment vertical="center"/>
    </xf>
    <xf numFmtId="0" fontId="26" fillId="24" borderId="3" applyNumberFormat="0" applyAlignment="0" applyProtection="0">
      <alignment vertical="center"/>
    </xf>
    <xf numFmtId="0" fontId="10" fillId="7" borderId="0" applyNumberFormat="0" applyBorder="0" applyAlignment="0" applyProtection="0">
      <alignment vertical="center"/>
    </xf>
    <xf numFmtId="0" fontId="24" fillId="25" borderId="2" applyNumberFormat="0" applyAlignment="0" applyProtection="0">
      <alignment vertical="center"/>
    </xf>
    <xf numFmtId="0" fontId="10" fillId="9" borderId="0" applyNumberFormat="0" applyBorder="0" applyAlignment="0" applyProtection="0">
      <alignment vertical="center"/>
    </xf>
    <xf numFmtId="0" fontId="20" fillId="37" borderId="0" applyNumberFormat="0" applyBorder="0" applyAlignment="0" applyProtection="0">
      <alignment vertical="center"/>
    </xf>
    <xf numFmtId="0" fontId="10" fillId="10" borderId="0" applyNumberFormat="0" applyBorder="0" applyAlignment="0" applyProtection="0">
      <alignment vertical="center"/>
    </xf>
    <xf numFmtId="0" fontId="28" fillId="0" borderId="0" applyNumberFormat="0" applyFill="0" applyBorder="0" applyAlignment="0" applyProtection="0">
      <alignment vertical="center"/>
    </xf>
    <xf numFmtId="0" fontId="10" fillId="9" borderId="0" applyNumberFormat="0" applyBorder="0" applyAlignment="0" applyProtection="0">
      <alignment vertical="center"/>
    </xf>
    <xf numFmtId="0" fontId="30" fillId="51" borderId="0" applyNumberFormat="0" applyBorder="0" applyAlignment="0" applyProtection="0">
      <alignment vertical="center"/>
    </xf>
    <xf numFmtId="0" fontId="10" fillId="38" borderId="0" applyNumberFormat="0" applyBorder="0" applyAlignment="0" applyProtection="0">
      <alignment vertical="center"/>
    </xf>
    <xf numFmtId="0" fontId="33" fillId="0" borderId="0" applyNumberFormat="0" applyFill="0" applyBorder="0" applyAlignment="0" applyProtection="0">
      <alignment vertical="center"/>
    </xf>
    <xf numFmtId="0" fontId="30" fillId="28" borderId="0" applyNumberFormat="0" applyBorder="0" applyAlignment="0" applyProtection="0">
      <alignment vertical="center"/>
    </xf>
    <xf numFmtId="0" fontId="30" fillId="42" borderId="0" applyNumberFormat="0" applyBorder="0" applyAlignment="0" applyProtection="0">
      <alignment vertical="center"/>
    </xf>
    <xf numFmtId="0" fontId="30" fillId="49" borderId="0" applyNumberFormat="0" applyBorder="0" applyAlignment="0" applyProtection="0">
      <alignment vertical="center"/>
    </xf>
    <xf numFmtId="0" fontId="10" fillId="38" borderId="0" applyNumberFormat="0" applyBorder="0" applyAlignment="0" applyProtection="0">
      <alignment vertical="center"/>
    </xf>
    <xf numFmtId="0" fontId="30" fillId="18" borderId="0" applyNumberFormat="0" applyBorder="0" applyAlignment="0" applyProtection="0">
      <alignment vertical="center"/>
    </xf>
    <xf numFmtId="0" fontId="14" fillId="0" borderId="0">
      <alignment vertical="center"/>
    </xf>
    <xf numFmtId="0" fontId="10" fillId="14" borderId="0" applyNumberFormat="0" applyBorder="0" applyAlignment="0" applyProtection="0">
      <alignment vertical="center"/>
    </xf>
    <xf numFmtId="0" fontId="30" fillId="41" borderId="0" applyNumberFormat="0" applyBorder="0" applyAlignment="0" applyProtection="0">
      <alignment vertical="center"/>
    </xf>
    <xf numFmtId="0" fontId="10" fillId="14" borderId="0" applyNumberFormat="0" applyBorder="0" applyAlignment="0" applyProtection="0">
      <alignment vertical="center"/>
    </xf>
    <xf numFmtId="0" fontId="23" fillId="25" borderId="9" applyNumberFormat="0" applyAlignment="0" applyProtection="0">
      <alignment vertical="center"/>
    </xf>
    <xf numFmtId="0" fontId="10" fillId="15" borderId="0" applyNumberFormat="0" applyBorder="0" applyAlignment="0" applyProtection="0">
      <alignment vertical="center"/>
    </xf>
    <xf numFmtId="0" fontId="10" fillId="32" borderId="0" applyNumberFormat="0" applyBorder="0" applyAlignment="0" applyProtection="0">
      <alignment vertical="center"/>
    </xf>
    <xf numFmtId="0" fontId="23" fillId="39" borderId="9" applyNumberFormat="0" applyAlignment="0" applyProtection="0">
      <alignment vertical="center"/>
    </xf>
    <xf numFmtId="0" fontId="30" fillId="30" borderId="0" applyNumberFormat="0" applyBorder="0" applyAlignment="0" applyProtection="0">
      <alignment vertical="center"/>
    </xf>
    <xf numFmtId="0" fontId="19" fillId="5" borderId="0" applyNumberFormat="0" applyBorder="0" applyAlignment="0" applyProtection="0">
      <alignment vertical="center"/>
    </xf>
    <xf numFmtId="0" fontId="30" fillId="18" borderId="0" applyNumberFormat="0" applyBorder="0" applyAlignment="0" applyProtection="0">
      <alignment vertical="center"/>
    </xf>
    <xf numFmtId="0" fontId="30" fillId="30" borderId="0" applyNumberFormat="0" applyBorder="0" applyAlignment="0" applyProtection="0">
      <alignment vertical="center"/>
    </xf>
    <xf numFmtId="0" fontId="30" fillId="18" borderId="0" applyNumberFormat="0" applyBorder="0" applyAlignment="0" applyProtection="0">
      <alignment vertical="center"/>
    </xf>
    <xf numFmtId="0" fontId="10" fillId="32" borderId="0" applyNumberFormat="0" applyBorder="0" applyAlignment="0" applyProtection="0">
      <alignment vertical="center"/>
    </xf>
    <xf numFmtId="0" fontId="10" fillId="8" borderId="0" applyNumberFormat="0" applyBorder="0" applyAlignment="0" applyProtection="0">
      <alignment vertical="center"/>
    </xf>
    <xf numFmtId="0" fontId="20" fillId="4" borderId="0" applyNumberFormat="0" applyBorder="0" applyAlignment="0" applyProtection="0">
      <alignment vertical="center"/>
    </xf>
    <xf numFmtId="0" fontId="25" fillId="0" borderId="7" applyNumberFormat="0" applyFill="0" applyAlignment="0" applyProtection="0">
      <alignment vertical="center"/>
    </xf>
    <xf numFmtId="0" fontId="10" fillId="39" borderId="0" applyNumberFormat="0" applyBorder="0" applyAlignment="0" applyProtection="0">
      <alignment vertical="center"/>
    </xf>
    <xf numFmtId="0" fontId="23" fillId="25" borderId="9" applyNumberFormat="0" applyAlignment="0" applyProtection="0">
      <alignment vertical="center"/>
    </xf>
    <xf numFmtId="0" fontId="10" fillId="40" borderId="0" applyNumberFormat="0" applyBorder="0" applyAlignment="0" applyProtection="0">
      <alignment vertical="center"/>
    </xf>
    <xf numFmtId="0" fontId="19" fillId="5" borderId="0" applyNumberFormat="0" applyBorder="0" applyAlignment="0" applyProtection="0">
      <alignment vertical="center"/>
    </xf>
    <xf numFmtId="0" fontId="30" fillId="9" borderId="0" applyNumberFormat="0" applyBorder="0" applyAlignment="0" applyProtection="0">
      <alignment vertical="center"/>
    </xf>
    <xf numFmtId="0" fontId="14" fillId="10" borderId="8" applyNumberFormat="0" applyFont="0" applyAlignment="0" applyProtection="0">
      <alignment vertical="center"/>
    </xf>
    <xf numFmtId="0" fontId="30" fillId="22" borderId="0" applyNumberFormat="0" applyBorder="0" applyAlignment="0" applyProtection="0">
      <alignment vertical="center"/>
    </xf>
    <xf numFmtId="0" fontId="30" fillId="15" borderId="0" applyNumberFormat="0" applyBorder="0" applyAlignment="0" applyProtection="0">
      <alignment vertical="center"/>
    </xf>
    <xf numFmtId="0" fontId="10" fillId="7" borderId="0" applyNumberFormat="0" applyBorder="0" applyAlignment="0" applyProtection="0">
      <alignment vertical="center"/>
    </xf>
    <xf numFmtId="0" fontId="22" fillId="15" borderId="2" applyNumberFormat="0" applyAlignment="0" applyProtection="0">
      <alignment vertical="center"/>
    </xf>
    <xf numFmtId="0" fontId="26" fillId="24" borderId="3" applyNumberFormat="0" applyAlignment="0" applyProtection="0">
      <alignment vertical="center"/>
    </xf>
    <xf numFmtId="0" fontId="20" fillId="4" borderId="0" applyNumberFormat="0" applyBorder="0" applyAlignment="0" applyProtection="0">
      <alignment vertical="center"/>
    </xf>
    <xf numFmtId="0" fontId="22" fillId="28" borderId="2" applyNumberFormat="0" applyAlignment="0" applyProtection="0">
      <alignment vertical="center"/>
    </xf>
    <xf numFmtId="0" fontId="10" fillId="44" borderId="0" applyNumberFormat="0" applyBorder="0" applyAlignment="0" applyProtection="0">
      <alignment vertical="center"/>
    </xf>
    <xf numFmtId="0" fontId="30" fillId="21" borderId="0" applyNumberFormat="0" applyBorder="0" applyAlignment="0" applyProtection="0">
      <alignment vertical="center"/>
    </xf>
    <xf numFmtId="0" fontId="10" fillId="30" borderId="0" applyNumberFormat="0" applyBorder="0" applyAlignment="0" applyProtection="0">
      <alignment vertical="center"/>
    </xf>
    <xf numFmtId="0" fontId="10" fillId="8" borderId="0" applyNumberFormat="0" applyBorder="0" applyAlignment="0" applyProtection="0">
      <alignment vertical="center"/>
    </xf>
    <xf numFmtId="0" fontId="10" fillId="28" borderId="0" applyNumberFormat="0" applyBorder="0" applyAlignment="0" applyProtection="0">
      <alignment vertical="center"/>
    </xf>
    <xf numFmtId="0" fontId="21" fillId="15" borderId="0" applyNumberFormat="0" applyBorder="0" applyAlignment="0" applyProtection="0">
      <alignment vertical="center"/>
    </xf>
    <xf numFmtId="0" fontId="34" fillId="0" borderId="0" applyNumberFormat="0" applyFill="0" applyBorder="0" applyAlignment="0" applyProtection="0">
      <alignment vertical="center"/>
    </xf>
    <xf numFmtId="0" fontId="10" fillId="44" borderId="0" applyNumberFormat="0" applyBorder="0" applyAlignment="0" applyProtection="0">
      <alignment vertical="center"/>
    </xf>
    <xf numFmtId="0" fontId="19" fillId="35" borderId="0" applyNumberFormat="0" applyBorder="0" applyAlignment="0" applyProtection="0">
      <alignment vertical="center"/>
    </xf>
    <xf numFmtId="0" fontId="30" fillId="48" borderId="0" applyNumberFormat="0" applyBorder="0" applyAlignment="0" applyProtection="0">
      <alignment vertical="center"/>
    </xf>
    <xf numFmtId="0" fontId="21" fillId="28" borderId="0" applyNumberFormat="0" applyBorder="0" applyAlignment="0" applyProtection="0">
      <alignment vertical="center"/>
    </xf>
    <xf numFmtId="0" fontId="30" fillId="45" borderId="0" applyNumberFormat="0" applyBorder="0" applyAlignment="0" applyProtection="0">
      <alignment vertical="center"/>
    </xf>
    <xf numFmtId="0" fontId="30" fillId="26" borderId="0" applyNumberFormat="0" applyBorder="0" applyAlignment="0" applyProtection="0">
      <alignment vertical="center"/>
    </xf>
    <xf numFmtId="0" fontId="10" fillId="10" borderId="0" applyNumberFormat="0" applyBorder="0" applyAlignment="0" applyProtection="0">
      <alignment vertical="center"/>
    </xf>
    <xf numFmtId="0" fontId="30" fillId="39" borderId="0" applyNumberFormat="0" applyBorder="0" applyAlignment="0" applyProtection="0">
      <alignment vertical="center"/>
    </xf>
    <xf numFmtId="0" fontId="30" fillId="18" borderId="0" applyNumberFormat="0" applyBorder="0" applyAlignment="0" applyProtection="0">
      <alignment vertical="center"/>
    </xf>
    <xf numFmtId="0" fontId="30" fillId="45" borderId="0" applyNumberFormat="0" applyBorder="0" applyAlignment="0" applyProtection="0">
      <alignment vertical="center"/>
    </xf>
    <xf numFmtId="0" fontId="10" fillId="46" borderId="0" applyNumberFormat="0" applyBorder="0" applyAlignment="0" applyProtection="0">
      <alignment vertical="center"/>
    </xf>
    <xf numFmtId="0" fontId="30" fillId="14" borderId="0" applyNumberFormat="0" applyBorder="0" applyAlignment="0" applyProtection="0">
      <alignment vertical="center"/>
    </xf>
    <xf numFmtId="0" fontId="22" fillId="15" borderId="2" applyNumberFormat="0" applyAlignment="0" applyProtection="0">
      <alignment vertical="center"/>
    </xf>
    <xf numFmtId="0" fontId="32" fillId="0" borderId="5" applyNumberFormat="0" applyFill="0" applyAlignment="0" applyProtection="0">
      <alignment vertical="center"/>
    </xf>
    <xf numFmtId="0" fontId="10" fillId="14" borderId="0" applyNumberFormat="0" applyBorder="0" applyAlignment="0" applyProtection="0">
      <alignment vertical="center"/>
    </xf>
    <xf numFmtId="0" fontId="10" fillId="10" borderId="0" applyNumberFormat="0" applyBorder="0" applyAlignment="0" applyProtection="0">
      <alignment vertical="center"/>
    </xf>
    <xf numFmtId="0" fontId="10" fillId="30" borderId="0" applyNumberFormat="0" applyBorder="0" applyAlignment="0" applyProtection="0">
      <alignment vertical="center"/>
    </xf>
    <xf numFmtId="0" fontId="10" fillId="15" borderId="0" applyNumberFormat="0" applyBorder="0" applyAlignment="0" applyProtection="0">
      <alignment vertical="center"/>
    </xf>
    <xf numFmtId="0" fontId="21" fillId="15" borderId="0" applyNumberFormat="0" applyBorder="0" applyAlignment="0" applyProtection="0">
      <alignment vertical="center"/>
    </xf>
    <xf numFmtId="0" fontId="30" fillId="23" borderId="0" applyNumberFormat="0" applyBorder="0" applyAlignment="0" applyProtection="0">
      <alignment vertical="center"/>
    </xf>
    <xf numFmtId="0" fontId="24" fillId="25" borderId="2" applyNumberFormat="0" applyAlignment="0" applyProtection="0">
      <alignment vertical="center"/>
    </xf>
    <xf numFmtId="0" fontId="10" fillId="15" borderId="0" applyNumberFormat="0" applyBorder="0" applyAlignment="0" applyProtection="0">
      <alignment vertical="center"/>
    </xf>
    <xf numFmtId="0" fontId="30" fillId="47" borderId="0" applyNumberFormat="0" applyBorder="0" applyAlignment="0" applyProtection="0">
      <alignment vertical="center"/>
    </xf>
    <xf numFmtId="0" fontId="10" fillId="29" borderId="0" applyNumberFormat="0" applyBorder="0" applyAlignment="0" applyProtection="0">
      <alignment vertical="center"/>
    </xf>
    <xf numFmtId="0" fontId="30" fillId="22" borderId="0" applyNumberFormat="0" applyBorder="0" applyAlignment="0" applyProtection="0">
      <alignment vertical="center"/>
    </xf>
    <xf numFmtId="0" fontId="29" fillId="0" borderId="13" applyNumberFormat="0" applyFill="0" applyAlignment="0" applyProtection="0">
      <alignment vertical="center"/>
    </xf>
    <xf numFmtId="0" fontId="30" fillId="41" borderId="0" applyNumberFormat="0" applyBorder="0" applyAlignment="0" applyProtection="0">
      <alignment vertical="center"/>
    </xf>
    <xf numFmtId="0" fontId="10" fillId="8" borderId="0" applyNumberFormat="0" applyBorder="0" applyAlignment="0" applyProtection="0">
      <alignment vertical="center"/>
    </xf>
    <xf numFmtId="0" fontId="30" fillId="51" borderId="0" applyNumberFormat="0" applyBorder="0" applyAlignment="0" applyProtection="0">
      <alignment vertical="center"/>
    </xf>
    <xf numFmtId="0" fontId="14" fillId="10" borderId="8" applyNumberFormat="0" applyFont="0" applyAlignment="0" applyProtection="0">
      <alignment vertical="center"/>
    </xf>
    <xf numFmtId="0" fontId="14" fillId="44" borderId="8" applyNumberFormat="0" applyFont="0" applyAlignment="0" applyProtection="0">
      <alignment vertical="center"/>
    </xf>
    <xf numFmtId="0" fontId="10" fillId="9" borderId="0" applyNumberFormat="0" applyBorder="0" applyAlignment="0" applyProtection="0">
      <alignment vertical="center"/>
    </xf>
    <xf numFmtId="0" fontId="26" fillId="43" borderId="3" applyNumberFormat="0" applyAlignment="0" applyProtection="0">
      <alignment vertical="center"/>
    </xf>
    <xf numFmtId="0" fontId="19" fillId="35" borderId="0" applyNumberFormat="0" applyBorder="0" applyAlignment="0" applyProtection="0">
      <alignment vertical="center"/>
    </xf>
    <xf numFmtId="0" fontId="30" fillId="26" borderId="0" applyNumberFormat="0" applyBorder="0" applyAlignment="0" applyProtection="0">
      <alignment vertical="center"/>
    </xf>
    <xf numFmtId="0" fontId="30" fillId="50" borderId="0" applyNumberFormat="0" applyBorder="0" applyAlignment="0" applyProtection="0">
      <alignment vertical="center"/>
    </xf>
    <xf numFmtId="0" fontId="10" fillId="28" borderId="0" applyNumberFormat="0" applyBorder="0" applyAlignment="0" applyProtection="0">
      <alignment vertical="center"/>
    </xf>
    <xf numFmtId="0" fontId="27" fillId="0" borderId="0" applyNumberFormat="0" applyFill="0" applyBorder="0" applyAlignment="0" applyProtection="0">
      <alignment vertical="center"/>
    </xf>
    <xf numFmtId="0" fontId="24" fillId="39" borderId="2" applyNumberFormat="0" applyAlignment="0" applyProtection="0">
      <alignment vertical="center"/>
    </xf>
    <xf numFmtId="0" fontId="33" fillId="0" borderId="12" applyNumberFormat="0" applyFill="0" applyAlignment="0" applyProtection="0">
      <alignment vertical="center"/>
    </xf>
    <xf numFmtId="0" fontId="30" fillId="18" borderId="0" applyNumberFormat="0" applyBorder="0" applyAlignment="0" applyProtection="0">
      <alignment vertical="center"/>
    </xf>
    <xf numFmtId="0" fontId="10" fillId="11"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21" fillId="28" borderId="0" applyNumberFormat="0" applyBorder="0" applyAlignment="0" applyProtection="0">
      <alignment vertical="center"/>
    </xf>
    <xf numFmtId="0" fontId="30" fillId="47" borderId="0" applyNumberFormat="0" applyBorder="0" applyAlignment="0" applyProtection="0">
      <alignment vertical="center"/>
    </xf>
    <xf numFmtId="0" fontId="30" fillId="18" borderId="0" applyNumberFormat="0" applyBorder="0" applyAlignment="0" applyProtection="0">
      <alignment vertical="center"/>
    </xf>
    <xf numFmtId="0" fontId="10" fillId="15" borderId="0" applyNumberFormat="0" applyBorder="0" applyAlignment="0" applyProtection="0">
      <alignment vertical="center"/>
    </xf>
    <xf numFmtId="0" fontId="30" fillId="18"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10" fillId="39" borderId="0" applyNumberFormat="0" applyBorder="0" applyAlignment="0" applyProtection="0">
      <alignment vertical="center"/>
    </xf>
    <xf numFmtId="0" fontId="31" fillId="0" borderId="11" applyNumberFormat="0" applyFill="0" applyAlignment="0" applyProtection="0">
      <alignment vertical="center"/>
    </xf>
    <xf numFmtId="0" fontId="10" fillId="38" borderId="0" applyNumberFormat="0" applyBorder="0" applyAlignment="0" applyProtection="0">
      <alignment vertical="center"/>
    </xf>
    <xf numFmtId="0" fontId="30" fillId="9" borderId="0" applyNumberFormat="0" applyBorder="0" applyAlignment="0" applyProtection="0">
      <alignment vertical="center"/>
    </xf>
    <xf numFmtId="0" fontId="10" fillId="30" borderId="0" applyNumberFormat="0" applyBorder="0" applyAlignment="0" applyProtection="0">
      <alignment vertical="center"/>
    </xf>
    <xf numFmtId="0" fontId="30" fillId="14" borderId="0" applyNumberFormat="0" applyBorder="0" applyAlignment="0" applyProtection="0">
      <alignment vertical="center"/>
    </xf>
    <xf numFmtId="0" fontId="10" fillId="31"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30" borderId="0" applyNumberFormat="0" applyBorder="0" applyAlignment="0" applyProtection="0">
      <alignment vertical="center"/>
    </xf>
    <xf numFmtId="0" fontId="10" fillId="29" borderId="0" applyNumberFormat="0" applyBorder="0" applyAlignment="0" applyProtection="0">
      <alignment vertical="center"/>
    </xf>
    <xf numFmtId="0" fontId="30" fillId="9" borderId="0" applyNumberFormat="0" applyBorder="0" applyAlignment="0" applyProtection="0">
      <alignment vertical="center"/>
    </xf>
    <xf numFmtId="0" fontId="10" fillId="11" borderId="0" applyNumberFormat="0" applyBorder="0" applyAlignment="0" applyProtection="0">
      <alignment vertical="center"/>
    </xf>
    <xf numFmtId="0" fontId="10" fillId="40" borderId="0" applyNumberFormat="0" applyBorder="0" applyAlignment="0" applyProtection="0">
      <alignment vertical="center"/>
    </xf>
    <xf numFmtId="0" fontId="30" fillId="31" borderId="0" applyNumberFormat="0" applyBorder="0" applyAlignment="0" applyProtection="0">
      <alignment vertical="center"/>
    </xf>
    <xf numFmtId="0" fontId="30" fillId="23" borderId="0" applyNumberFormat="0" applyBorder="0" applyAlignment="0" applyProtection="0">
      <alignment vertical="center"/>
    </xf>
    <xf numFmtId="0" fontId="10" fillId="44" borderId="8" applyNumberFormat="0" applyFont="0" applyAlignment="0" applyProtection="0">
      <alignment vertical="center"/>
    </xf>
    <xf numFmtId="0" fontId="22" fillId="38" borderId="2" applyNumberFormat="0" applyAlignment="0" applyProtection="0">
      <alignment vertical="center"/>
    </xf>
    <xf numFmtId="0" fontId="30" fillId="41" borderId="0" applyNumberFormat="0" applyBorder="0" applyAlignment="0" applyProtection="0">
      <alignment vertical="center"/>
    </xf>
    <xf numFmtId="0" fontId="10" fillId="37" borderId="0" applyNumberFormat="0" applyBorder="0" applyAlignment="0" applyProtection="0">
      <alignment vertical="center"/>
    </xf>
    <xf numFmtId="0" fontId="30" fillId="41" borderId="0" applyNumberFormat="0" applyBorder="0" applyAlignment="0" applyProtection="0">
      <alignment vertical="center"/>
    </xf>
    <xf numFmtId="0" fontId="35" fillId="0" borderId="0"/>
    <xf numFmtId="0" fontId="35" fillId="0" borderId="0"/>
    <xf numFmtId="0" fontId="1" fillId="0" borderId="0">
      <alignment vertical="center"/>
    </xf>
    <xf numFmtId="0" fontId="35" fillId="0" borderId="0"/>
    <xf numFmtId="0" fontId="35" fillId="0" borderId="0"/>
    <xf numFmtId="0" fontId="35" fillId="0" borderId="0"/>
    <xf numFmtId="0" fontId="35" fillId="0" borderId="0"/>
    <xf numFmtId="0" fontId="35" fillId="0" borderId="0"/>
    <xf numFmtId="0" fontId="35" fillId="0" borderId="0">
      <alignment vertical="center"/>
    </xf>
    <xf numFmtId="0" fontId="1" fillId="0" borderId="0">
      <alignment vertical="center"/>
    </xf>
    <xf numFmtId="0" fontId="35" fillId="0" borderId="0">
      <alignment vertical="center"/>
    </xf>
    <xf numFmtId="0" fontId="35"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9">
    <xf numFmtId="0" fontId="0" fillId="0" borderId="0" xfId="0" applyAlignment="1"/>
    <xf numFmtId="0" fontId="3" fillId="0" borderId="1" xfId="0" applyNumberFormat="1" applyFont="1" applyBorder="1" applyAlignment="1">
      <alignment horizontal="left"/>
    </xf>
    <xf numFmtId="49" fontId="4" fillId="0" borderId="1" xfId="0" applyNumberFormat="1" applyFont="1" applyBorder="1" applyAlignment="1">
      <alignment horizontal="center" vertical="center"/>
    </xf>
    <xf numFmtId="49" fontId="4" fillId="0" borderId="1" xfId="0" applyNumberFormat="1" applyFont="1" applyBorder="1" applyAlignment="1">
      <alignment horizontal="center"/>
    </xf>
    <xf numFmtId="0" fontId="4" fillId="0" borderId="0" xfId="0" applyNumberFormat="1" applyFont="1" applyBorder="1" applyAlignment="1">
      <alignment horizontal="center" vertical="center"/>
    </xf>
    <xf numFmtId="49" fontId="4" fillId="0" borderId="1" xfId="0" applyNumberFormat="1" applyFont="1" applyFill="1" applyBorder="1" applyAlignment="1">
      <alignment horizontal="center"/>
    </xf>
    <xf numFmtId="49" fontId="4" fillId="0" borderId="0" xfId="0" applyNumberFormat="1" applyFont="1" applyBorder="1" applyAlignment="1">
      <alignment horizontal="center" vertical="center"/>
    </xf>
    <xf numFmtId="49" fontId="4" fillId="0" borderId="0" xfId="0" applyNumberFormat="1" applyFont="1" applyBorder="1" applyAlignment="1">
      <alignment horizontal="center"/>
    </xf>
    <xf numFmtId="0" fontId="4" fillId="0" borderId="1" xfId="0" applyFont="1" applyBorder="1" applyAlignment="1">
      <alignment horizontal="center"/>
    </xf>
    <xf numFmtId="0" fontId="4" fillId="0" borderId="0" xfId="0" applyFont="1" applyBorder="1" applyAlignment="1">
      <alignment horizontal="center"/>
    </xf>
    <xf numFmtId="0" fontId="4" fillId="0" borderId="0" xfId="0" applyNumberFormat="1" applyFont="1" applyAlignment="1">
      <alignment horizontal="left"/>
    </xf>
    <xf numFmtId="0" fontId="5" fillId="0" borderId="0" xfId="0" applyNumberFormat="1" applyFont="1" applyAlignment="1">
      <alignment horizontal="center"/>
    </xf>
    <xf numFmtId="0" fontId="6" fillId="0" borderId="0" xfId="0" applyNumberFormat="1" applyFont="1" applyAlignment="1">
      <alignment horizontal="center"/>
    </xf>
    <xf numFmtId="0" fontId="3" fillId="0" borderId="0" xfId="0" applyNumberFormat="1" applyFont="1" applyAlignment="1">
      <alignment horizontal="center"/>
    </xf>
    <xf numFmtId="0" fontId="4" fillId="0" borderId="0" xfId="0" applyNumberFormat="1" applyFont="1" applyAlignment="1">
      <alignment horizontal="center"/>
    </xf>
    <xf numFmtId="0" fontId="7" fillId="2" borderId="1" xfId="1" applyNumberFormat="1" applyFont="1" applyFill="1" applyBorder="1" applyAlignment="1">
      <alignment horizontal="center" vertical="center"/>
    </xf>
    <xf numFmtId="0" fontId="8" fillId="0" borderId="1" xfId="1" applyNumberFormat="1" applyFont="1" applyBorder="1" applyAlignment="1">
      <alignment horizontal="left" vertical="top" wrapText="1"/>
    </xf>
    <xf numFmtId="0" fontId="8" fillId="0" borderId="1" xfId="1" applyNumberFormat="1" applyFont="1" applyBorder="1" applyAlignment="1">
      <alignment horizontal="center" vertical="top" wrapText="1"/>
    </xf>
    <xf numFmtId="0" fontId="8" fillId="0" borderId="0" xfId="1" applyFont="1" applyAlignment="1">
      <alignment horizontal="left" vertical="top" wrapText="1"/>
    </xf>
    <xf numFmtId="0" fontId="9" fillId="0" borderId="1" xfId="1" applyNumberFormat="1" applyFont="1" applyBorder="1" applyAlignment="1">
      <alignment horizontal="left" vertical="top" wrapText="1"/>
    </xf>
    <xf numFmtId="0" fontId="4" fillId="0" borderId="1" xfId="0" applyNumberFormat="1" applyFont="1" applyBorder="1" applyAlignment="1">
      <alignment horizontal="center"/>
    </xf>
    <xf numFmtId="0" fontId="8" fillId="0" borderId="0" xfId="1" applyFont="1" applyAlignment="1">
      <alignment horizontal="left" vertical="top" wrapText="1"/>
    </xf>
    <xf numFmtId="0" fontId="11" fillId="0" borderId="1" xfId="0" applyNumberFormat="1" applyFont="1" applyBorder="1" applyAlignment="1">
      <alignment horizontal="center"/>
    </xf>
    <xf numFmtId="49" fontId="11" fillId="0" borderId="1" xfId="0" applyNumberFormat="1" applyFont="1" applyBorder="1" applyAlignment="1">
      <alignment horizontal="center"/>
    </xf>
    <xf numFmtId="0" fontId="36" fillId="0" borderId="1" xfId="0" applyFont="1" applyBorder="1" applyAlignment="1">
      <alignment horizontal="center" vertical="center"/>
    </xf>
    <xf numFmtId="0" fontId="36" fillId="0" borderId="14" xfId="0" applyFont="1" applyBorder="1" applyAlignment="1">
      <alignment horizontal="center" vertical="center"/>
    </xf>
    <xf numFmtId="0" fontId="11" fillId="0" borderId="1" xfId="0" applyNumberFormat="1" applyFont="1" applyFill="1" applyBorder="1" applyAlignment="1">
      <alignment horizontal="center"/>
    </xf>
    <xf numFmtId="0" fontId="11" fillId="27" borderId="1" xfId="0" applyNumberFormat="1" applyFont="1" applyFill="1" applyBorder="1" applyAlignment="1">
      <alignment horizontal="center"/>
    </xf>
    <xf numFmtId="0" fontId="4" fillId="0" borderId="15" xfId="0" applyNumberFormat="1" applyFont="1" applyBorder="1" applyAlignment="1">
      <alignment horizontal="center"/>
    </xf>
  </cellXfs>
  <cellStyles count="3924">
    <cellStyle name="20% - Accent1" xfId="5"/>
    <cellStyle name="20% - Accent1 2" xfId="91"/>
    <cellStyle name="20% - Accent1 2 2" xfId="224"/>
    <cellStyle name="20% - Accent1 2 2 2" xfId="871"/>
    <cellStyle name="20% - Accent1 2 3" xfId="225"/>
    <cellStyle name="20% - Accent1 2 3 2" xfId="872"/>
    <cellStyle name="20% - Accent1 2 4" xfId="726"/>
    <cellStyle name="20% - Accent1 2 4 2" xfId="2660"/>
    <cellStyle name="20% - Accent1 2 4 3" xfId="2459"/>
    <cellStyle name="20% - Accent1 2 5" xfId="223"/>
    <cellStyle name="20% - Accent1 2 5 2" xfId="870"/>
    <cellStyle name="20% - Accent1 2 6" xfId="2267"/>
    <cellStyle name="20% - Accent1 2 6 2" xfId="2521"/>
    <cellStyle name="20% - Accent1 2 7" xfId="2211"/>
    <cellStyle name="20% - Accent1 3" xfId="226"/>
    <cellStyle name="20% - Accent1 3 2" xfId="873"/>
    <cellStyle name="20% - Accent1 3 3" xfId="3838"/>
    <cellStyle name="20% - Accent1 4" xfId="647"/>
    <cellStyle name="20% - Accent1 5" xfId="222"/>
    <cellStyle name="20% - Accent1 5 2" xfId="869"/>
    <cellStyle name="20% - Accent1 5 3" xfId="2394"/>
    <cellStyle name="20% - Accent1 6" xfId="2266"/>
    <cellStyle name="20% - Accent1 6 2" xfId="2520"/>
    <cellStyle name="20% - Accent1 7" xfId="2137"/>
    <cellStyle name="20% - Accent2" xfId="6"/>
    <cellStyle name="20% - Accent2 2" xfId="92"/>
    <cellStyle name="20% - Accent2 2 2" xfId="229"/>
    <cellStyle name="20% - Accent2 2 2 2" xfId="876"/>
    <cellStyle name="20% - Accent2 2 3" xfId="230"/>
    <cellStyle name="20% - Accent2 2 3 2" xfId="877"/>
    <cellStyle name="20% - Accent2 2 4" xfId="727"/>
    <cellStyle name="20% - Accent2 2 4 2" xfId="2661"/>
    <cellStyle name="20% - Accent2 2 4 3" xfId="2453"/>
    <cellStyle name="20% - Accent2 2 5" xfId="228"/>
    <cellStyle name="20% - Accent2 2 5 2" xfId="875"/>
    <cellStyle name="20% - Accent2 2 6" xfId="2269"/>
    <cellStyle name="20% - Accent2 2 6 2" xfId="2523"/>
    <cellStyle name="20% - Accent2 2 7" xfId="2205"/>
    <cellStyle name="20% - Accent2 3" xfId="231"/>
    <cellStyle name="20% - Accent2 3 2" xfId="878"/>
    <cellStyle name="20% - Accent2 3 3" xfId="3899"/>
    <cellStyle name="20% - Accent2 4" xfId="648"/>
    <cellStyle name="20% - Accent2 5" xfId="227"/>
    <cellStyle name="20% - Accent2 5 2" xfId="874"/>
    <cellStyle name="20% - Accent2 5 3" xfId="2388"/>
    <cellStyle name="20% - Accent2 6" xfId="2268"/>
    <cellStyle name="20% - Accent2 6 2" xfId="2522"/>
    <cellStyle name="20% - Accent2 7" xfId="2131"/>
    <cellStyle name="20% - Accent3" xfId="7"/>
    <cellStyle name="20% - Accent3 2" xfId="93"/>
    <cellStyle name="20% - Accent3 2 2" xfId="234"/>
    <cellStyle name="20% - Accent3 2 2 2" xfId="881"/>
    <cellStyle name="20% - Accent3 2 3" xfId="235"/>
    <cellStyle name="20% - Accent3 2 3 2" xfId="882"/>
    <cellStyle name="20% - Accent3 2 4" xfId="728"/>
    <cellStyle name="20% - Accent3 2 4 2" xfId="2662"/>
    <cellStyle name="20% - Accent3 2 4 3" xfId="2455"/>
    <cellStyle name="20% - Accent3 2 5" xfId="233"/>
    <cellStyle name="20% - Accent3 2 5 2" xfId="880"/>
    <cellStyle name="20% - Accent3 2 6" xfId="2271"/>
    <cellStyle name="20% - Accent3 2 6 2" xfId="2525"/>
    <cellStyle name="20% - Accent3 2 7" xfId="2207"/>
    <cellStyle name="20% - Accent3 3" xfId="236"/>
    <cellStyle name="20% - Accent3 3 2" xfId="883"/>
    <cellStyle name="20% - Accent3 3 3" xfId="2193"/>
    <cellStyle name="20% - Accent3 4" xfId="649"/>
    <cellStyle name="20% - Accent3 5" xfId="232"/>
    <cellStyle name="20% - Accent3 5 2" xfId="879"/>
    <cellStyle name="20% - Accent3 5 3" xfId="2390"/>
    <cellStyle name="20% - Accent3 6" xfId="2270"/>
    <cellStyle name="20% - Accent3 6 2" xfId="2524"/>
    <cellStyle name="20% - Accent3 7" xfId="2133"/>
    <cellStyle name="20% - Accent4" xfId="8"/>
    <cellStyle name="20% - Accent4 2" xfId="94"/>
    <cellStyle name="20% - Accent4 2 2" xfId="239"/>
    <cellStyle name="20% - Accent4 2 2 2" xfId="886"/>
    <cellStyle name="20% - Accent4 2 3" xfId="240"/>
    <cellStyle name="20% - Accent4 2 3 2" xfId="887"/>
    <cellStyle name="20% - Accent4 2 4" xfId="729"/>
    <cellStyle name="20% - Accent4 2 4 2" xfId="2663"/>
    <cellStyle name="20% - Accent4 2 4 3" xfId="2449"/>
    <cellStyle name="20% - Accent4 2 5" xfId="238"/>
    <cellStyle name="20% - Accent4 2 5 2" xfId="885"/>
    <cellStyle name="20% - Accent4 2 6" xfId="2273"/>
    <cellStyle name="20% - Accent4 2 6 2" xfId="2527"/>
    <cellStyle name="20% - Accent4 2 7" xfId="2201"/>
    <cellStyle name="20% - Accent4 3" xfId="241"/>
    <cellStyle name="20% - Accent4 3 2" xfId="888"/>
    <cellStyle name="20% - Accent4 3 3" xfId="3890"/>
    <cellStyle name="20% - Accent4 4" xfId="650"/>
    <cellStyle name="20% - Accent4 5" xfId="237"/>
    <cellStyle name="20% - Accent4 5 2" xfId="884"/>
    <cellStyle name="20% - Accent4 5 3" xfId="2384"/>
    <cellStyle name="20% - Accent4 6" xfId="2272"/>
    <cellStyle name="20% - Accent4 6 2" xfId="2526"/>
    <cellStyle name="20% - Accent4 7" xfId="2127"/>
    <cellStyle name="20% - Accent5" xfId="9"/>
    <cellStyle name="20% - Accent5 2" xfId="95"/>
    <cellStyle name="20% - Accent5 2 2" xfId="244"/>
    <cellStyle name="20% - Accent5 2 2 2" xfId="891"/>
    <cellStyle name="20% - Accent5 2 3" xfId="245"/>
    <cellStyle name="20% - Accent5 2 3 2" xfId="892"/>
    <cellStyle name="20% - Accent5 2 4" xfId="730"/>
    <cellStyle name="20% - Accent5 2 4 2" xfId="2664"/>
    <cellStyle name="20% - Accent5 2 4 3" xfId="2456"/>
    <cellStyle name="20% - Accent5 2 5" xfId="243"/>
    <cellStyle name="20% - Accent5 2 5 2" xfId="890"/>
    <cellStyle name="20% - Accent5 2 6" xfId="2275"/>
    <cellStyle name="20% - Accent5 2 6 2" xfId="2529"/>
    <cellStyle name="20% - Accent5 2 7" xfId="2208"/>
    <cellStyle name="20% - Accent5 3" xfId="246"/>
    <cellStyle name="20% - Accent5 3 2" xfId="893"/>
    <cellStyle name="20% - Accent5 3 3" xfId="3810"/>
    <cellStyle name="20% - Accent5 4" xfId="651"/>
    <cellStyle name="20% - Accent5 5" xfId="242"/>
    <cellStyle name="20% - Accent5 5 2" xfId="889"/>
    <cellStyle name="20% - Accent5 5 3" xfId="2391"/>
    <cellStyle name="20% - Accent5 6" xfId="2274"/>
    <cellStyle name="20% - Accent5 6 2" xfId="2528"/>
    <cellStyle name="20% - Accent5 7" xfId="2134"/>
    <cellStyle name="20% - Accent6" xfId="10"/>
    <cellStyle name="20% - Accent6 2" xfId="96"/>
    <cellStyle name="20% - Accent6 2 2" xfId="249"/>
    <cellStyle name="20% - Accent6 2 2 2" xfId="896"/>
    <cellStyle name="20% - Accent6 2 3" xfId="250"/>
    <cellStyle name="20% - Accent6 2 3 2" xfId="897"/>
    <cellStyle name="20% - Accent6 2 4" xfId="731"/>
    <cellStyle name="20% - Accent6 2 4 2" xfId="2665"/>
    <cellStyle name="20% - Accent6 2 4 3" xfId="2457"/>
    <cellStyle name="20% - Accent6 2 5" xfId="248"/>
    <cellStyle name="20% - Accent6 2 5 2" xfId="895"/>
    <cellStyle name="20% - Accent6 2 6" xfId="2277"/>
    <cellStyle name="20% - Accent6 2 6 2" xfId="2531"/>
    <cellStyle name="20% - Accent6 2 7" xfId="2209"/>
    <cellStyle name="20% - Accent6 3" xfId="251"/>
    <cellStyle name="20% - Accent6 3 2" xfId="898"/>
    <cellStyle name="20% - Accent6 3 3" xfId="3789"/>
    <cellStyle name="20% - Accent6 4" xfId="652"/>
    <cellStyle name="20% - Accent6 5" xfId="247"/>
    <cellStyle name="20% - Accent6 5 2" xfId="894"/>
    <cellStyle name="20% - Accent6 5 3" xfId="2392"/>
    <cellStyle name="20% - Accent6 6" xfId="2276"/>
    <cellStyle name="20% - Accent6 6 2" xfId="2530"/>
    <cellStyle name="20% - Accent6 7" xfId="2135"/>
    <cellStyle name="20% - 强调文字颜色 1 2" xfId="11"/>
    <cellStyle name="20% - 强调文字颜色 1 2 2" xfId="97"/>
    <cellStyle name="20% - 强调文字颜色 1 2 2 2" xfId="254"/>
    <cellStyle name="20% - 强调文字颜色 1 2 2 2 2" xfId="901"/>
    <cellStyle name="20% - 强调文字颜色 1 2 2 2 2 2" xfId="3106"/>
    <cellStyle name="20% - 强调文字颜色 1 2 2 2 3" xfId="2721"/>
    <cellStyle name="20% - 强调文字颜色 1 2 2 2 3 2" xfId="2722"/>
    <cellStyle name="20% - 强调文字颜色 1 2 2 2 3 2 2" xfId="3108"/>
    <cellStyle name="20% - 强调文字颜色 1 2 2 2 3 3" xfId="3107"/>
    <cellStyle name="20% - 强调文字颜色 1 2 2 2 4" xfId="2723"/>
    <cellStyle name="20% - 强调文字颜色 1 2 2 2 4 2" xfId="3109"/>
    <cellStyle name="20% - 强调文字颜色 1 2 2 2 5" xfId="2724"/>
    <cellStyle name="20% - 强调文字颜色 1 2 2 2 5 2" xfId="3110"/>
    <cellStyle name="20% - 强调文字颜色 1 2 2 2 6" xfId="3105"/>
    <cellStyle name="20% - 强调文字颜色 1 2 2 3" xfId="255"/>
    <cellStyle name="20% - 强调文字颜色 1 2 2 3 2" xfId="902"/>
    <cellStyle name="20% - 强调文字颜色 1 2 2 3 2 2" xfId="3112"/>
    <cellStyle name="20% - 强调文字颜色 1 2 2 3 3" xfId="3111"/>
    <cellStyle name="20% - 强调文字颜色 1 2 2 4" xfId="732"/>
    <cellStyle name="20% - 强调文字颜色 1 2 2 4 2" xfId="2666"/>
    <cellStyle name="20% - 强调文字颜色 1 2 2 4 3" xfId="2448"/>
    <cellStyle name="20% - 强调文字颜色 1 2 2 5" xfId="253"/>
    <cellStyle name="20% - 强调文字颜色 1 2 2 5 2" xfId="900"/>
    <cellStyle name="20% - 强调文字颜色 1 2 2 6" xfId="2279"/>
    <cellStyle name="20% - 强调文字颜色 1 2 2 6 2" xfId="2533"/>
    <cellStyle name="20% - 强调文字颜色 1 2 2 7" xfId="2200"/>
    <cellStyle name="20% - 强调文字颜色 1 2 3" xfId="256"/>
    <cellStyle name="20% - 强调文字颜色 1 2 3 2" xfId="903"/>
    <cellStyle name="20% - 强调文字颜色 1 2 3 2 2" xfId="3114"/>
    <cellStyle name="20% - 强调文字颜色 1 2 3 3" xfId="2725"/>
    <cellStyle name="20% - 强调文字颜色 1 2 3 3 2" xfId="2726"/>
    <cellStyle name="20% - 强调文字颜色 1 2 3 3 2 2" xfId="3116"/>
    <cellStyle name="20% - 强调文字颜色 1 2 3 3 3" xfId="3115"/>
    <cellStyle name="20% - 强调文字颜色 1 2 3 4" xfId="2727"/>
    <cellStyle name="20% - 强调文字颜色 1 2 3 4 2" xfId="3117"/>
    <cellStyle name="20% - 强调文字颜色 1 2 3 5" xfId="2728"/>
    <cellStyle name="20% - 强调文字颜色 1 2 3 5 2" xfId="3118"/>
    <cellStyle name="20% - 强调文字颜色 1 2 3 6" xfId="3113"/>
    <cellStyle name="20% - 强调文字颜色 1 2 3 6 2" xfId="3719"/>
    <cellStyle name="20% - 强调文字颜色 1 2 3 7" xfId="3056"/>
    <cellStyle name="20% - 强调文字颜色 1 2 3 8" xfId="3773"/>
    <cellStyle name="20% - 强调文字颜色 1 2 3 9" xfId="3784"/>
    <cellStyle name="20% - 强调文字颜色 1 2 4" xfId="653"/>
    <cellStyle name="20% - 强调文字颜色 1 2 4 2" xfId="2729"/>
    <cellStyle name="20% - 强调文字颜色 1 2 4 2 2" xfId="3120"/>
    <cellStyle name="20% - 强调文字颜色 1 2 4 3" xfId="3119"/>
    <cellStyle name="20% - 强调文字颜色 1 2 5" xfId="252"/>
    <cellStyle name="20% - 强调文字颜色 1 2 5 2" xfId="899"/>
    <cellStyle name="20% - 强调文字颜色 1 2 5 3" xfId="2383"/>
    <cellStyle name="20% - 强调文字颜色 1 2 6" xfId="2278"/>
    <cellStyle name="20% - 强调文字颜色 1 2 6 2" xfId="2532"/>
    <cellStyle name="20% - 强调文字颜色 1 2 7" xfId="3805"/>
    <cellStyle name="20% - 强调文字颜色 1 2 8" xfId="2126"/>
    <cellStyle name="20% - 强调文字颜色 2 2" xfId="12"/>
    <cellStyle name="20% - 强调文字颜色 2 2 2" xfId="98"/>
    <cellStyle name="20% - 强调文字颜色 2 2 2 2" xfId="259"/>
    <cellStyle name="20% - 强调文字颜色 2 2 2 2 2" xfId="906"/>
    <cellStyle name="20% - 强调文字颜色 2 2 2 2 2 2" xfId="3122"/>
    <cellStyle name="20% - 强调文字颜色 2 2 2 2 3" xfId="2730"/>
    <cellStyle name="20% - 强调文字颜色 2 2 2 2 3 2" xfId="2731"/>
    <cellStyle name="20% - 强调文字颜色 2 2 2 2 3 2 2" xfId="3124"/>
    <cellStyle name="20% - 强调文字颜色 2 2 2 2 3 3" xfId="3123"/>
    <cellStyle name="20% - 强调文字颜色 2 2 2 2 4" xfId="2732"/>
    <cellStyle name="20% - 强调文字颜色 2 2 2 2 4 2" xfId="3125"/>
    <cellStyle name="20% - 强调文字颜色 2 2 2 2 5" xfId="2733"/>
    <cellStyle name="20% - 强调文字颜色 2 2 2 2 5 2" xfId="3126"/>
    <cellStyle name="20% - 强调文字颜色 2 2 2 2 6" xfId="3121"/>
    <cellStyle name="20% - 强调文字颜色 2 2 2 3" xfId="260"/>
    <cellStyle name="20% - 强调文字颜色 2 2 2 3 2" xfId="907"/>
    <cellStyle name="20% - 强调文字颜色 2 2 2 3 2 2" xfId="3128"/>
    <cellStyle name="20% - 强调文字颜色 2 2 2 3 3" xfId="3127"/>
    <cellStyle name="20% - 强调文字颜色 2 2 2 4" xfId="733"/>
    <cellStyle name="20% - 强调文字颜色 2 2 2 4 2" xfId="2667"/>
    <cellStyle name="20% - 强调文字颜色 2 2 2 4 3" xfId="2460"/>
    <cellStyle name="20% - 强调文字颜色 2 2 2 5" xfId="258"/>
    <cellStyle name="20% - 强调文字颜色 2 2 2 5 2" xfId="905"/>
    <cellStyle name="20% - 强调文字颜色 2 2 2 6" xfId="2281"/>
    <cellStyle name="20% - 强调文字颜色 2 2 2 6 2" xfId="2535"/>
    <cellStyle name="20% - 强调文字颜色 2 2 2 7" xfId="2212"/>
    <cellStyle name="20% - 强调文字颜色 2 2 3" xfId="261"/>
    <cellStyle name="20% - 强调文字颜色 2 2 3 2" xfId="908"/>
    <cellStyle name="20% - 强调文字颜色 2 2 3 2 2" xfId="3130"/>
    <cellStyle name="20% - 强调文字颜色 2 2 3 3" xfId="2734"/>
    <cellStyle name="20% - 强调文字颜色 2 2 3 3 2" xfId="2735"/>
    <cellStyle name="20% - 强调文字颜色 2 2 3 3 2 2" xfId="3132"/>
    <cellStyle name="20% - 强调文字颜色 2 2 3 3 3" xfId="3131"/>
    <cellStyle name="20% - 强调文字颜色 2 2 3 4" xfId="2736"/>
    <cellStyle name="20% - 强调文字颜色 2 2 3 4 2" xfId="3133"/>
    <cellStyle name="20% - 强调文字颜色 2 2 3 5" xfId="2737"/>
    <cellStyle name="20% - 强调文字颜色 2 2 3 5 2" xfId="3134"/>
    <cellStyle name="20% - 强调文字颜色 2 2 3 6" xfId="3129"/>
    <cellStyle name="20% - 强调文字颜色 2 2 3 6 2" xfId="3720"/>
    <cellStyle name="20% - 强调文字颜色 2 2 3 7" xfId="3057"/>
    <cellStyle name="20% - 强调文字颜色 2 2 3 8" xfId="3871"/>
    <cellStyle name="20% - 强调文字颜色 2 2 3 9" xfId="3884"/>
    <cellStyle name="20% - 强调文字颜色 2 2 4" xfId="654"/>
    <cellStyle name="20% - 强调文字颜色 2 2 4 2" xfId="2738"/>
    <cellStyle name="20% - 强调文字颜色 2 2 4 2 2" xfId="3136"/>
    <cellStyle name="20% - 强调文字颜色 2 2 4 3" xfId="3135"/>
    <cellStyle name="20% - 强调文字颜色 2 2 5" xfId="257"/>
    <cellStyle name="20% - 强调文字颜色 2 2 5 2" xfId="904"/>
    <cellStyle name="20% - 强调文字颜色 2 2 5 3" xfId="2395"/>
    <cellStyle name="20% - 强调文字颜色 2 2 6" xfId="2280"/>
    <cellStyle name="20% - 强调文字颜色 2 2 6 2" xfId="2534"/>
    <cellStyle name="20% - 强调文字颜色 2 2 7" xfId="3778"/>
    <cellStyle name="20% - 强调文字颜色 2 2 8" xfId="2138"/>
    <cellStyle name="20% - 强调文字颜色 3 2" xfId="13"/>
    <cellStyle name="20% - 强调文字颜色 3 2 2" xfId="99"/>
    <cellStyle name="20% - 强调文字颜色 3 2 2 2" xfId="264"/>
    <cellStyle name="20% - 强调文字颜色 3 2 2 2 2" xfId="911"/>
    <cellStyle name="20% - 强调文字颜色 3 2 2 2 2 2" xfId="3138"/>
    <cellStyle name="20% - 强调文字颜色 3 2 2 2 3" xfId="2739"/>
    <cellStyle name="20% - 强调文字颜色 3 2 2 2 3 2" xfId="2740"/>
    <cellStyle name="20% - 强调文字颜色 3 2 2 2 3 2 2" xfId="3140"/>
    <cellStyle name="20% - 强调文字颜色 3 2 2 2 3 3" xfId="3139"/>
    <cellStyle name="20% - 强调文字颜色 3 2 2 2 4" xfId="2741"/>
    <cellStyle name="20% - 强调文字颜色 3 2 2 2 4 2" xfId="3141"/>
    <cellStyle name="20% - 强调文字颜色 3 2 2 2 5" xfId="2742"/>
    <cellStyle name="20% - 强调文字颜色 3 2 2 2 5 2" xfId="3142"/>
    <cellStyle name="20% - 强调文字颜色 3 2 2 2 6" xfId="3137"/>
    <cellStyle name="20% - 强调文字颜色 3 2 2 3" xfId="265"/>
    <cellStyle name="20% - 强调文字颜色 3 2 2 3 2" xfId="912"/>
    <cellStyle name="20% - 强调文字颜色 3 2 2 3 2 2" xfId="3144"/>
    <cellStyle name="20% - 强调文字颜色 3 2 2 3 3" xfId="3143"/>
    <cellStyle name="20% - 强调文字颜色 3 2 2 4" xfId="734"/>
    <cellStyle name="20% - 强调文字颜色 3 2 2 4 2" xfId="2668"/>
    <cellStyle name="20% - 强调文字颜色 3 2 2 4 3" xfId="2461"/>
    <cellStyle name="20% - 强调文字颜色 3 2 2 5" xfId="263"/>
    <cellStyle name="20% - 强调文字颜色 3 2 2 5 2" xfId="910"/>
    <cellStyle name="20% - 强调文字颜色 3 2 2 6" xfId="2283"/>
    <cellStyle name="20% - 强调文字颜色 3 2 2 6 2" xfId="2537"/>
    <cellStyle name="20% - 强调文字颜色 3 2 2 7" xfId="2213"/>
    <cellStyle name="20% - 强调文字颜色 3 2 3" xfId="266"/>
    <cellStyle name="20% - 强调文字颜色 3 2 3 2" xfId="913"/>
    <cellStyle name="20% - 强调文字颜色 3 2 3 2 2" xfId="3146"/>
    <cellStyle name="20% - 强调文字颜色 3 2 3 3" xfId="2743"/>
    <cellStyle name="20% - 强调文字颜色 3 2 3 3 2" xfId="2744"/>
    <cellStyle name="20% - 强调文字颜色 3 2 3 3 2 2" xfId="3148"/>
    <cellStyle name="20% - 强调文字颜色 3 2 3 3 3" xfId="3147"/>
    <cellStyle name="20% - 强调文字颜色 3 2 3 4" xfId="2745"/>
    <cellStyle name="20% - 强调文字颜色 3 2 3 4 2" xfId="3149"/>
    <cellStyle name="20% - 强调文字颜色 3 2 3 5" xfId="2746"/>
    <cellStyle name="20% - 强调文字颜色 3 2 3 5 2" xfId="3150"/>
    <cellStyle name="20% - 强调文字颜色 3 2 3 6" xfId="3145"/>
    <cellStyle name="20% - 强调文字颜色 3 2 3 6 2" xfId="3721"/>
    <cellStyle name="20% - 强调文字颜色 3 2 3 7" xfId="3058"/>
    <cellStyle name="20% - 强调文字颜色 3 2 3 8" xfId="3843"/>
    <cellStyle name="20% - 强调文字颜色 3 2 3 9" xfId="3828"/>
    <cellStyle name="20% - 强调文字颜色 3 2 4" xfId="655"/>
    <cellStyle name="20% - 强调文字颜色 3 2 4 2" xfId="2747"/>
    <cellStyle name="20% - 强调文字颜色 3 2 4 2 2" xfId="3152"/>
    <cellStyle name="20% - 强调文字颜色 3 2 4 3" xfId="3151"/>
    <cellStyle name="20% - 强调文字颜色 3 2 5" xfId="262"/>
    <cellStyle name="20% - 强调文字颜色 3 2 5 2" xfId="909"/>
    <cellStyle name="20% - 强调文字颜色 3 2 5 3" xfId="2396"/>
    <cellStyle name="20% - 强调文字颜色 3 2 6" xfId="2282"/>
    <cellStyle name="20% - 强调文字颜色 3 2 6 2" xfId="2536"/>
    <cellStyle name="20% - 强调文字颜色 3 2 7" xfId="3872"/>
    <cellStyle name="20% - 强调文字颜色 3 2 8" xfId="2139"/>
    <cellStyle name="20% - 强调文字颜色 4 2" xfId="14"/>
    <cellStyle name="20% - 强调文字颜色 4 2 2" xfId="100"/>
    <cellStyle name="20% - 强调文字颜色 4 2 2 2" xfId="269"/>
    <cellStyle name="20% - 强调文字颜色 4 2 2 2 2" xfId="916"/>
    <cellStyle name="20% - 强调文字颜色 4 2 2 2 2 2" xfId="3154"/>
    <cellStyle name="20% - 强调文字颜色 4 2 2 2 3" xfId="2748"/>
    <cellStyle name="20% - 强调文字颜色 4 2 2 2 3 2" xfId="2749"/>
    <cellStyle name="20% - 强调文字颜色 4 2 2 2 3 2 2" xfId="3156"/>
    <cellStyle name="20% - 强调文字颜色 4 2 2 2 3 3" xfId="3155"/>
    <cellStyle name="20% - 强调文字颜色 4 2 2 2 4" xfId="2750"/>
    <cellStyle name="20% - 强调文字颜色 4 2 2 2 4 2" xfId="3157"/>
    <cellStyle name="20% - 强调文字颜色 4 2 2 2 5" xfId="2751"/>
    <cellStyle name="20% - 强调文字颜色 4 2 2 2 5 2" xfId="3158"/>
    <cellStyle name="20% - 强调文字颜色 4 2 2 2 6" xfId="3153"/>
    <cellStyle name="20% - 强调文字颜色 4 2 2 3" xfId="270"/>
    <cellStyle name="20% - 强调文字颜色 4 2 2 3 2" xfId="917"/>
    <cellStyle name="20% - 强调文字颜色 4 2 2 3 2 2" xfId="3160"/>
    <cellStyle name="20% - 强调文字颜色 4 2 2 3 3" xfId="3159"/>
    <cellStyle name="20% - 强调文字颜色 4 2 2 4" xfId="735"/>
    <cellStyle name="20% - 强调文字颜色 4 2 2 4 2" xfId="2669"/>
    <cellStyle name="20% - 强调文字颜色 4 2 2 4 3" xfId="2463"/>
    <cellStyle name="20% - 强调文字颜色 4 2 2 5" xfId="268"/>
    <cellStyle name="20% - 强调文字颜色 4 2 2 5 2" xfId="915"/>
    <cellStyle name="20% - 强调文字颜色 4 2 2 6" xfId="2285"/>
    <cellStyle name="20% - 强调文字颜色 4 2 2 6 2" xfId="2539"/>
    <cellStyle name="20% - 强调文字颜色 4 2 2 7" xfId="2216"/>
    <cellStyle name="20% - 强调文字颜色 4 2 3" xfId="271"/>
    <cellStyle name="20% - 强调文字颜色 4 2 3 2" xfId="918"/>
    <cellStyle name="20% - 强调文字颜色 4 2 3 2 2" xfId="3162"/>
    <cellStyle name="20% - 强调文字颜色 4 2 3 3" xfId="2752"/>
    <cellStyle name="20% - 强调文字颜色 4 2 3 3 2" xfId="2753"/>
    <cellStyle name="20% - 强调文字颜色 4 2 3 3 2 2" xfId="3164"/>
    <cellStyle name="20% - 强调文字颜色 4 2 3 3 3" xfId="3163"/>
    <cellStyle name="20% - 强调文字颜色 4 2 3 4" xfId="2754"/>
    <cellStyle name="20% - 强调文字颜色 4 2 3 4 2" xfId="3165"/>
    <cellStyle name="20% - 强调文字颜色 4 2 3 5" xfId="2755"/>
    <cellStyle name="20% - 强调文字颜色 4 2 3 5 2" xfId="3166"/>
    <cellStyle name="20% - 强调文字颜色 4 2 3 6" xfId="3161"/>
    <cellStyle name="20% - 强调文字颜色 4 2 3 6 2" xfId="3722"/>
    <cellStyle name="20% - 强调文字颜色 4 2 3 7" xfId="3059"/>
    <cellStyle name="20% - 强调文字颜色 4 2 3 8" xfId="3824"/>
    <cellStyle name="20% - 强调文字颜色 4 2 3 9" xfId="3882"/>
    <cellStyle name="20% - 强调文字颜色 4 2 4" xfId="656"/>
    <cellStyle name="20% - 强调文字颜色 4 2 4 2" xfId="2756"/>
    <cellStyle name="20% - 强调文字颜色 4 2 4 2 2" xfId="3168"/>
    <cellStyle name="20% - 强调文字颜色 4 2 4 3" xfId="3167"/>
    <cellStyle name="20% - 强调文字颜色 4 2 5" xfId="267"/>
    <cellStyle name="20% - 强调文字颜色 4 2 5 2" xfId="914"/>
    <cellStyle name="20% - 强调文字颜色 4 2 5 3" xfId="2398"/>
    <cellStyle name="20% - 强调文字颜色 4 2 6" xfId="2284"/>
    <cellStyle name="20% - 强调文字颜色 4 2 6 2" xfId="2538"/>
    <cellStyle name="20% - 强调文字颜色 4 2 7" xfId="3855"/>
    <cellStyle name="20% - 强调文字颜色 4 2 8" xfId="2141"/>
    <cellStyle name="20% - 强调文字颜色 5 2" xfId="15"/>
    <cellStyle name="20% - 强调文字颜色 5 2 2" xfId="101"/>
    <cellStyle name="20% - 强调文字颜色 5 2 2 2" xfId="274"/>
    <cellStyle name="20% - 强调文字颜色 5 2 2 2 2" xfId="921"/>
    <cellStyle name="20% - 强调文字颜色 5 2 2 2 2 2" xfId="3170"/>
    <cellStyle name="20% - 强调文字颜色 5 2 2 2 3" xfId="2757"/>
    <cellStyle name="20% - 强调文字颜色 5 2 2 2 3 2" xfId="2758"/>
    <cellStyle name="20% - 强调文字颜色 5 2 2 2 3 2 2" xfId="3172"/>
    <cellStyle name="20% - 强调文字颜色 5 2 2 2 3 3" xfId="3171"/>
    <cellStyle name="20% - 强调文字颜色 5 2 2 2 4" xfId="2759"/>
    <cellStyle name="20% - 强调文字颜色 5 2 2 2 4 2" xfId="3173"/>
    <cellStyle name="20% - 强调文字颜色 5 2 2 2 5" xfId="2760"/>
    <cellStyle name="20% - 强调文字颜色 5 2 2 2 5 2" xfId="3174"/>
    <cellStyle name="20% - 强调文字颜色 5 2 2 2 6" xfId="3169"/>
    <cellStyle name="20% - 强调文字颜色 5 2 2 3" xfId="275"/>
    <cellStyle name="20% - 强调文字颜色 5 2 2 3 2" xfId="922"/>
    <cellStyle name="20% - 强调文字颜色 5 2 2 3 2 2" xfId="3176"/>
    <cellStyle name="20% - 强调文字颜色 5 2 2 3 3" xfId="3175"/>
    <cellStyle name="20% - 强调文字颜色 5 2 2 4" xfId="736"/>
    <cellStyle name="20% - 强调文字颜色 5 2 2 4 2" xfId="2670"/>
    <cellStyle name="20% - 强调文字颜色 5 2 2 4 3" xfId="2464"/>
    <cellStyle name="20% - 强调文字颜色 5 2 2 5" xfId="273"/>
    <cellStyle name="20% - 强调文字颜色 5 2 2 5 2" xfId="920"/>
    <cellStyle name="20% - 强调文字颜色 5 2 2 6" xfId="2287"/>
    <cellStyle name="20% - 强调文字颜色 5 2 2 6 2" xfId="2541"/>
    <cellStyle name="20% - 强调文字颜色 5 2 2 7" xfId="2217"/>
    <cellStyle name="20% - 强调文字颜色 5 2 3" xfId="276"/>
    <cellStyle name="20% - 强调文字颜色 5 2 3 2" xfId="923"/>
    <cellStyle name="20% - 强调文字颜色 5 2 3 2 2" xfId="3178"/>
    <cellStyle name="20% - 强调文字颜色 5 2 3 3" xfId="2761"/>
    <cellStyle name="20% - 强调文字颜色 5 2 3 3 2" xfId="2762"/>
    <cellStyle name="20% - 强调文字颜色 5 2 3 3 2 2" xfId="3180"/>
    <cellStyle name="20% - 强调文字颜色 5 2 3 3 3" xfId="3179"/>
    <cellStyle name="20% - 强调文字颜色 5 2 3 4" xfId="2763"/>
    <cellStyle name="20% - 强调文字颜色 5 2 3 4 2" xfId="3181"/>
    <cellStyle name="20% - 强调文字颜色 5 2 3 5" xfId="2764"/>
    <cellStyle name="20% - 强调文字颜色 5 2 3 5 2" xfId="3182"/>
    <cellStyle name="20% - 强调文字颜色 5 2 3 6" xfId="3177"/>
    <cellStyle name="20% - 强调文字颜色 5 2 3 6 2" xfId="3723"/>
    <cellStyle name="20% - 强调文字颜色 5 2 3 7" xfId="3060"/>
    <cellStyle name="20% - 强调文字颜色 5 2 3 8" xfId="3776"/>
    <cellStyle name="20% - 强调文字颜色 5 2 3 9" xfId="3893"/>
    <cellStyle name="20% - 强调文字颜色 5 2 4" xfId="657"/>
    <cellStyle name="20% - 强调文字颜色 5 2 4 2" xfId="2765"/>
    <cellStyle name="20% - 强调文字颜色 5 2 4 2 2" xfId="3184"/>
    <cellStyle name="20% - 强调文字颜色 5 2 4 3" xfId="3183"/>
    <cellStyle name="20% - 强调文字颜色 5 2 5" xfId="272"/>
    <cellStyle name="20% - 强调文字颜色 5 2 5 2" xfId="919"/>
    <cellStyle name="20% - 强调文字颜色 5 2 5 3" xfId="2399"/>
    <cellStyle name="20% - 强调文字颜色 5 2 6" xfId="2286"/>
    <cellStyle name="20% - 强调文字颜色 5 2 6 2" xfId="2540"/>
    <cellStyle name="20% - 强调文字颜色 5 2 7" xfId="3816"/>
    <cellStyle name="20% - 强调文字颜色 5 2 8" xfId="2142"/>
    <cellStyle name="20% - 强调文字颜色 6 2" xfId="16"/>
    <cellStyle name="20% - 强调文字颜色 6 2 2" xfId="102"/>
    <cellStyle name="20% - 强调文字颜色 6 2 2 2" xfId="279"/>
    <cellStyle name="20% - 强调文字颜色 6 2 2 2 2" xfId="926"/>
    <cellStyle name="20% - 强调文字颜色 6 2 2 2 2 2" xfId="3186"/>
    <cellStyle name="20% - 强调文字颜色 6 2 2 2 3" xfId="2766"/>
    <cellStyle name="20% - 强调文字颜色 6 2 2 2 3 2" xfId="2767"/>
    <cellStyle name="20% - 强调文字颜色 6 2 2 2 3 2 2" xfId="3188"/>
    <cellStyle name="20% - 强调文字颜色 6 2 2 2 3 3" xfId="3187"/>
    <cellStyle name="20% - 强调文字颜色 6 2 2 2 4" xfId="2768"/>
    <cellStyle name="20% - 强调文字颜色 6 2 2 2 4 2" xfId="3189"/>
    <cellStyle name="20% - 强调文字颜色 6 2 2 2 5" xfId="2769"/>
    <cellStyle name="20% - 强调文字颜色 6 2 2 2 5 2" xfId="3190"/>
    <cellStyle name="20% - 强调文字颜色 6 2 2 2 6" xfId="3185"/>
    <cellStyle name="20% - 强调文字颜色 6 2 2 3" xfId="280"/>
    <cellStyle name="20% - 强调文字颜色 6 2 2 3 2" xfId="927"/>
    <cellStyle name="20% - 强调文字颜色 6 2 2 3 2 2" xfId="3192"/>
    <cellStyle name="20% - 强调文字颜色 6 2 2 3 3" xfId="3191"/>
    <cellStyle name="20% - 强调文字颜色 6 2 2 4" xfId="737"/>
    <cellStyle name="20% - 强调文字颜色 6 2 2 4 2" xfId="2671"/>
    <cellStyle name="20% - 强调文字颜色 6 2 2 4 3" xfId="2465"/>
    <cellStyle name="20% - 强调文字颜色 6 2 2 5" xfId="278"/>
    <cellStyle name="20% - 强调文字颜色 6 2 2 5 2" xfId="925"/>
    <cellStyle name="20% - 强调文字颜色 6 2 2 6" xfId="2289"/>
    <cellStyle name="20% - 强调文字颜色 6 2 2 6 2" xfId="2543"/>
    <cellStyle name="20% - 强调文字颜色 6 2 2 7" xfId="2218"/>
    <cellStyle name="20% - 强调文字颜色 6 2 3" xfId="281"/>
    <cellStyle name="20% - 强调文字颜色 6 2 3 2" xfId="928"/>
    <cellStyle name="20% - 强调文字颜色 6 2 3 2 2" xfId="3194"/>
    <cellStyle name="20% - 强调文字颜色 6 2 3 3" xfId="2770"/>
    <cellStyle name="20% - 强调文字颜色 6 2 3 3 2" xfId="2771"/>
    <cellStyle name="20% - 强调文字颜色 6 2 3 3 2 2" xfId="3196"/>
    <cellStyle name="20% - 强调文字颜色 6 2 3 3 3" xfId="3195"/>
    <cellStyle name="20% - 强调文字颜色 6 2 3 4" xfId="2772"/>
    <cellStyle name="20% - 强调文字颜色 6 2 3 4 2" xfId="3197"/>
    <cellStyle name="20% - 强调文字颜色 6 2 3 5" xfId="2773"/>
    <cellStyle name="20% - 强调文字颜色 6 2 3 5 2" xfId="3198"/>
    <cellStyle name="20% - 强调文字颜色 6 2 3 6" xfId="3193"/>
    <cellStyle name="20% - 强调文字颜色 6 2 3 6 2" xfId="3724"/>
    <cellStyle name="20% - 强调文字颜色 6 2 3 7" xfId="3061"/>
    <cellStyle name="20% - 强调文字颜色 6 2 3 8" xfId="3780"/>
    <cellStyle name="20% - 强调文字颜色 6 2 3 9" xfId="3821"/>
    <cellStyle name="20% - 强调文字颜色 6 2 4" xfId="658"/>
    <cellStyle name="20% - 强调文字颜色 6 2 4 2" xfId="2774"/>
    <cellStyle name="20% - 强调文字颜色 6 2 4 2 2" xfId="3200"/>
    <cellStyle name="20% - 强调文字颜色 6 2 4 3" xfId="3199"/>
    <cellStyle name="20% - 强调文字颜色 6 2 5" xfId="277"/>
    <cellStyle name="20% - 强调文字颜色 6 2 5 2" xfId="924"/>
    <cellStyle name="20% - 强调文字颜色 6 2 5 3" xfId="2400"/>
    <cellStyle name="20% - 强调文字颜色 6 2 6" xfId="2288"/>
    <cellStyle name="20% - 强调文字颜色 6 2 6 2" xfId="2542"/>
    <cellStyle name="20% - 强调文字颜色 6 2 7" xfId="3834"/>
    <cellStyle name="20% - 强调文字颜色 6 2 8" xfId="2143"/>
    <cellStyle name="40% - Accent1" xfId="17"/>
    <cellStyle name="40% - Accent1 2" xfId="103"/>
    <cellStyle name="40% - Accent1 2 2" xfId="284"/>
    <cellStyle name="40% - Accent1 2 2 2" xfId="931"/>
    <cellStyle name="40% - Accent1 2 3" xfId="285"/>
    <cellStyle name="40% - Accent1 2 3 2" xfId="932"/>
    <cellStyle name="40% - Accent1 2 4" xfId="738"/>
    <cellStyle name="40% - Accent1 2 4 2" xfId="2672"/>
    <cellStyle name="40% - Accent1 2 4 3" xfId="2466"/>
    <cellStyle name="40% - Accent1 2 5" xfId="283"/>
    <cellStyle name="40% - Accent1 2 5 2" xfId="930"/>
    <cellStyle name="40% - Accent1 2 6" xfId="2291"/>
    <cellStyle name="40% - Accent1 2 6 2" xfId="2545"/>
    <cellStyle name="40% - Accent1 2 7" xfId="2219"/>
    <cellStyle name="40% - Accent1 3" xfId="286"/>
    <cellStyle name="40% - Accent1 3 2" xfId="933"/>
    <cellStyle name="40% - Accent1 3 3" xfId="3804"/>
    <cellStyle name="40% - Accent1 4" xfId="659"/>
    <cellStyle name="40% - Accent1 5" xfId="282"/>
    <cellStyle name="40% - Accent1 5 2" xfId="929"/>
    <cellStyle name="40% - Accent1 5 3" xfId="2401"/>
    <cellStyle name="40% - Accent1 6" xfId="2290"/>
    <cellStyle name="40% - Accent1 6 2" xfId="2544"/>
    <cellStyle name="40% - Accent1 7" xfId="2144"/>
    <cellStyle name="40% - Accent2" xfId="18"/>
    <cellStyle name="40% - Accent2 2" xfId="104"/>
    <cellStyle name="40% - Accent2 2 2" xfId="289"/>
    <cellStyle name="40% - Accent2 2 2 2" xfId="936"/>
    <cellStyle name="40% - Accent2 2 3" xfId="290"/>
    <cellStyle name="40% - Accent2 2 3 2" xfId="937"/>
    <cellStyle name="40% - Accent2 2 4" xfId="739"/>
    <cellStyle name="40% - Accent2 2 4 2" xfId="2673"/>
    <cellStyle name="40% - Accent2 2 4 3" xfId="2467"/>
    <cellStyle name="40% - Accent2 2 5" xfId="288"/>
    <cellStyle name="40% - Accent2 2 5 2" xfId="935"/>
    <cellStyle name="40% - Accent2 2 6" xfId="2293"/>
    <cellStyle name="40% - Accent2 2 6 2" xfId="2547"/>
    <cellStyle name="40% - Accent2 2 7" xfId="2220"/>
    <cellStyle name="40% - Accent2 3" xfId="291"/>
    <cellStyle name="40% - Accent2 3 2" xfId="938"/>
    <cellStyle name="40% - Accent2 3 3" xfId="3844"/>
    <cellStyle name="40% - Accent2 4" xfId="660"/>
    <cellStyle name="40% - Accent2 5" xfId="287"/>
    <cellStyle name="40% - Accent2 5 2" xfId="934"/>
    <cellStyle name="40% - Accent2 5 3" xfId="2402"/>
    <cellStyle name="40% - Accent2 6" xfId="2292"/>
    <cellStyle name="40% - Accent2 6 2" xfId="2546"/>
    <cellStyle name="40% - Accent2 7" xfId="2145"/>
    <cellStyle name="40% - Accent3" xfId="19"/>
    <cellStyle name="40% - Accent3 2" xfId="105"/>
    <cellStyle name="40% - Accent3 2 2" xfId="294"/>
    <cellStyle name="40% - Accent3 2 2 2" xfId="941"/>
    <cellStyle name="40% - Accent3 2 3" xfId="295"/>
    <cellStyle name="40% - Accent3 2 3 2" xfId="942"/>
    <cellStyle name="40% - Accent3 2 4" xfId="740"/>
    <cellStyle name="40% - Accent3 2 4 2" xfId="2674"/>
    <cellStyle name="40% - Accent3 2 4 3" xfId="2462"/>
    <cellStyle name="40% - Accent3 2 5" xfId="293"/>
    <cellStyle name="40% - Accent3 2 5 2" xfId="940"/>
    <cellStyle name="40% - Accent3 2 6" xfId="2295"/>
    <cellStyle name="40% - Accent3 2 6 2" xfId="2549"/>
    <cellStyle name="40% - Accent3 2 7" xfId="2214"/>
    <cellStyle name="40% - Accent3 3" xfId="296"/>
    <cellStyle name="40% - Accent3 3 2" xfId="943"/>
    <cellStyle name="40% - Accent3 3 3" xfId="3886"/>
    <cellStyle name="40% - Accent3 4" xfId="661"/>
    <cellStyle name="40% - Accent3 5" xfId="292"/>
    <cellStyle name="40% - Accent3 5 2" xfId="939"/>
    <cellStyle name="40% - Accent3 5 3" xfId="2397"/>
    <cellStyle name="40% - Accent3 6" xfId="2294"/>
    <cellStyle name="40% - Accent3 6 2" xfId="2548"/>
    <cellStyle name="40% - Accent3 7" xfId="2140"/>
    <cellStyle name="40% - Accent4" xfId="20"/>
    <cellStyle name="40% - Accent4 2" xfId="106"/>
    <cellStyle name="40% - Accent4 2 2" xfId="299"/>
    <cellStyle name="40% - Accent4 2 2 2" xfId="946"/>
    <cellStyle name="40% - Accent4 2 3" xfId="300"/>
    <cellStyle name="40% - Accent4 2 3 2" xfId="947"/>
    <cellStyle name="40% - Accent4 2 4" xfId="741"/>
    <cellStyle name="40% - Accent4 2 4 2" xfId="2675"/>
    <cellStyle name="40% - Accent4 2 4 3" xfId="2468"/>
    <cellStyle name="40% - Accent4 2 5" xfId="298"/>
    <cellStyle name="40% - Accent4 2 5 2" xfId="945"/>
    <cellStyle name="40% - Accent4 2 6" xfId="2297"/>
    <cellStyle name="40% - Accent4 2 6 2" xfId="2551"/>
    <cellStyle name="40% - Accent4 2 7" xfId="2221"/>
    <cellStyle name="40% - Accent4 3" xfId="301"/>
    <cellStyle name="40% - Accent4 3 2" xfId="948"/>
    <cellStyle name="40% - Accent4 3 3" xfId="3851"/>
    <cellStyle name="40% - Accent4 4" xfId="662"/>
    <cellStyle name="40% - Accent4 5" xfId="297"/>
    <cellStyle name="40% - Accent4 5 2" xfId="944"/>
    <cellStyle name="40% - Accent4 5 3" xfId="2403"/>
    <cellStyle name="40% - Accent4 6" xfId="2296"/>
    <cellStyle name="40% - Accent4 6 2" xfId="2550"/>
    <cellStyle name="40% - Accent4 7" xfId="2146"/>
    <cellStyle name="40% - Accent5" xfId="21"/>
    <cellStyle name="40% - Accent5 2" xfId="107"/>
    <cellStyle name="40% - Accent5 2 2" xfId="304"/>
    <cellStyle name="40% - Accent5 2 2 2" xfId="951"/>
    <cellStyle name="40% - Accent5 2 3" xfId="305"/>
    <cellStyle name="40% - Accent5 2 3 2" xfId="952"/>
    <cellStyle name="40% - Accent5 2 4" xfId="742"/>
    <cellStyle name="40% - Accent5 2 4 2" xfId="2676"/>
    <cellStyle name="40% - Accent5 2 4 3" xfId="2469"/>
    <cellStyle name="40% - Accent5 2 5" xfId="303"/>
    <cellStyle name="40% - Accent5 2 5 2" xfId="950"/>
    <cellStyle name="40% - Accent5 2 6" xfId="2299"/>
    <cellStyle name="40% - Accent5 2 6 2" xfId="2553"/>
    <cellStyle name="40% - Accent5 2 7" xfId="2222"/>
    <cellStyle name="40% - Accent5 3" xfId="306"/>
    <cellStyle name="40% - Accent5 3 2" xfId="953"/>
    <cellStyle name="40% - Accent5 3 3" xfId="3797"/>
    <cellStyle name="40% - Accent5 4" xfId="663"/>
    <cellStyle name="40% - Accent5 5" xfId="302"/>
    <cellStyle name="40% - Accent5 5 2" xfId="949"/>
    <cellStyle name="40% - Accent5 5 3" xfId="2404"/>
    <cellStyle name="40% - Accent5 6" xfId="2298"/>
    <cellStyle name="40% - Accent5 6 2" xfId="2552"/>
    <cellStyle name="40% - Accent5 7" xfId="2147"/>
    <cellStyle name="40% - Accent6" xfId="22"/>
    <cellStyle name="40% - Accent6 2" xfId="108"/>
    <cellStyle name="40% - Accent6 2 2" xfId="309"/>
    <cellStyle name="40% - Accent6 2 2 2" xfId="956"/>
    <cellStyle name="40% - Accent6 2 3" xfId="310"/>
    <cellStyle name="40% - Accent6 2 3 2" xfId="957"/>
    <cellStyle name="40% - Accent6 2 4" xfId="743"/>
    <cellStyle name="40% - Accent6 2 4 2" xfId="2677"/>
    <cellStyle name="40% - Accent6 2 4 3" xfId="2470"/>
    <cellStyle name="40% - Accent6 2 5" xfId="308"/>
    <cellStyle name="40% - Accent6 2 5 2" xfId="955"/>
    <cellStyle name="40% - Accent6 2 6" xfId="2301"/>
    <cellStyle name="40% - Accent6 2 6 2" xfId="2555"/>
    <cellStyle name="40% - Accent6 2 7" xfId="2223"/>
    <cellStyle name="40% - Accent6 3" xfId="311"/>
    <cellStyle name="40% - Accent6 3 2" xfId="958"/>
    <cellStyle name="40% - Accent6 3 3" xfId="2194"/>
    <cellStyle name="40% - Accent6 4" xfId="664"/>
    <cellStyle name="40% - Accent6 5" xfId="307"/>
    <cellStyle name="40% - Accent6 5 2" xfId="954"/>
    <cellStyle name="40% - Accent6 5 3" xfId="2405"/>
    <cellStyle name="40% - Accent6 6" xfId="2300"/>
    <cellStyle name="40% - Accent6 6 2" xfId="2554"/>
    <cellStyle name="40% - Accent6 7" xfId="2148"/>
    <cellStyle name="40% - 强调文字颜色 1 2" xfId="23"/>
    <cellStyle name="40% - 强调文字颜色 1 2 2" xfId="109"/>
    <cellStyle name="40% - 强调文字颜色 1 2 2 2" xfId="314"/>
    <cellStyle name="40% - 强调文字颜色 1 2 2 2 2" xfId="961"/>
    <cellStyle name="40% - 强调文字颜色 1 2 2 2 2 2" xfId="3202"/>
    <cellStyle name="40% - 强调文字颜色 1 2 2 2 3" xfId="2775"/>
    <cellStyle name="40% - 强调文字颜色 1 2 2 2 3 2" xfId="2776"/>
    <cellStyle name="40% - 强调文字颜色 1 2 2 2 3 2 2" xfId="3204"/>
    <cellStyle name="40% - 强调文字颜色 1 2 2 2 3 3" xfId="3203"/>
    <cellStyle name="40% - 强调文字颜色 1 2 2 2 4" xfId="2777"/>
    <cellStyle name="40% - 强调文字颜色 1 2 2 2 4 2" xfId="3205"/>
    <cellStyle name="40% - 强调文字颜色 1 2 2 2 5" xfId="2778"/>
    <cellStyle name="40% - 强调文字颜色 1 2 2 2 5 2" xfId="3206"/>
    <cellStyle name="40% - 强调文字颜色 1 2 2 2 6" xfId="3201"/>
    <cellStyle name="40% - 强调文字颜色 1 2 2 3" xfId="315"/>
    <cellStyle name="40% - 强调文字颜色 1 2 2 3 2" xfId="962"/>
    <cellStyle name="40% - 强调文字颜色 1 2 2 3 2 2" xfId="3208"/>
    <cellStyle name="40% - 强调文字颜色 1 2 2 3 3" xfId="3207"/>
    <cellStyle name="40% - 强调文字颜色 1 2 2 4" xfId="744"/>
    <cellStyle name="40% - 强调文字颜色 1 2 2 4 2" xfId="2678"/>
    <cellStyle name="40% - 强调文字颜色 1 2 2 4 3" xfId="2471"/>
    <cellStyle name="40% - 强调文字颜色 1 2 2 5" xfId="313"/>
    <cellStyle name="40% - 强调文字颜色 1 2 2 5 2" xfId="960"/>
    <cellStyle name="40% - 强调文字颜色 1 2 2 6" xfId="2303"/>
    <cellStyle name="40% - 强调文字颜色 1 2 2 6 2" xfId="2557"/>
    <cellStyle name="40% - 强调文字颜色 1 2 2 7" xfId="2224"/>
    <cellStyle name="40% - 强调文字颜色 1 2 3" xfId="316"/>
    <cellStyle name="40% - 强调文字颜色 1 2 3 2" xfId="963"/>
    <cellStyle name="40% - 强调文字颜色 1 2 3 2 2" xfId="3210"/>
    <cellStyle name="40% - 强调文字颜色 1 2 3 3" xfId="2779"/>
    <cellStyle name="40% - 强调文字颜色 1 2 3 3 2" xfId="2780"/>
    <cellStyle name="40% - 强调文字颜色 1 2 3 3 2 2" xfId="3212"/>
    <cellStyle name="40% - 强调文字颜色 1 2 3 3 3" xfId="3211"/>
    <cellStyle name="40% - 强调文字颜色 1 2 3 4" xfId="2781"/>
    <cellStyle name="40% - 强调文字颜色 1 2 3 4 2" xfId="3213"/>
    <cellStyle name="40% - 强调文字颜色 1 2 3 5" xfId="2782"/>
    <cellStyle name="40% - 强调文字颜色 1 2 3 5 2" xfId="3214"/>
    <cellStyle name="40% - 强调文字颜色 1 2 3 6" xfId="3209"/>
    <cellStyle name="40% - 强调文字颜色 1 2 3 6 2" xfId="3725"/>
    <cellStyle name="40% - 强调文字颜色 1 2 3 7" xfId="3062"/>
    <cellStyle name="40% - 强调文字颜色 1 2 3 8" xfId="3870"/>
    <cellStyle name="40% - 强调文字颜色 1 2 3 9" xfId="3808"/>
    <cellStyle name="40% - 强调文字颜色 1 2 4" xfId="665"/>
    <cellStyle name="40% - 强调文字颜色 1 2 4 2" xfId="2783"/>
    <cellStyle name="40% - 强调文字颜色 1 2 4 2 2" xfId="3216"/>
    <cellStyle name="40% - 强调文字颜色 1 2 4 3" xfId="3215"/>
    <cellStyle name="40% - 强调文字颜色 1 2 5" xfId="312"/>
    <cellStyle name="40% - 强调文字颜色 1 2 5 2" xfId="959"/>
    <cellStyle name="40% - 强调文字颜色 1 2 5 3" xfId="2406"/>
    <cellStyle name="40% - 强调文字颜色 1 2 6" xfId="2302"/>
    <cellStyle name="40% - 强调文字颜色 1 2 6 2" xfId="2556"/>
    <cellStyle name="40% - 强调文字颜色 1 2 7" xfId="3794"/>
    <cellStyle name="40% - 强调文字颜色 1 2 8" xfId="2149"/>
    <cellStyle name="40% - 强调文字颜色 2 2" xfId="24"/>
    <cellStyle name="40% - 强调文字颜色 2 2 2" xfId="110"/>
    <cellStyle name="40% - 强调文字颜色 2 2 2 2" xfId="319"/>
    <cellStyle name="40% - 强调文字颜色 2 2 2 2 2" xfId="966"/>
    <cellStyle name="40% - 强调文字颜色 2 2 2 2 2 2" xfId="3218"/>
    <cellStyle name="40% - 强调文字颜色 2 2 2 2 3" xfId="2784"/>
    <cellStyle name="40% - 强调文字颜色 2 2 2 2 3 2" xfId="2785"/>
    <cellStyle name="40% - 强调文字颜色 2 2 2 2 3 2 2" xfId="3220"/>
    <cellStyle name="40% - 强调文字颜色 2 2 2 2 3 3" xfId="3219"/>
    <cellStyle name="40% - 强调文字颜色 2 2 2 2 4" xfId="2786"/>
    <cellStyle name="40% - 强调文字颜色 2 2 2 2 4 2" xfId="3221"/>
    <cellStyle name="40% - 强调文字颜色 2 2 2 2 5" xfId="2787"/>
    <cellStyle name="40% - 强调文字颜色 2 2 2 2 5 2" xfId="3222"/>
    <cellStyle name="40% - 强调文字颜色 2 2 2 2 6" xfId="3217"/>
    <cellStyle name="40% - 强调文字颜色 2 2 2 3" xfId="320"/>
    <cellStyle name="40% - 强调文字颜色 2 2 2 3 2" xfId="967"/>
    <cellStyle name="40% - 强调文字颜色 2 2 2 3 2 2" xfId="3224"/>
    <cellStyle name="40% - 强调文字颜色 2 2 2 3 3" xfId="3223"/>
    <cellStyle name="40% - 强调文字颜色 2 2 2 4" xfId="745"/>
    <cellStyle name="40% - 强调文字颜色 2 2 2 4 2" xfId="2679"/>
    <cellStyle name="40% - 强调文字颜色 2 2 2 4 3" xfId="2472"/>
    <cellStyle name="40% - 强调文字颜色 2 2 2 5" xfId="318"/>
    <cellStyle name="40% - 强调文字颜色 2 2 2 5 2" xfId="965"/>
    <cellStyle name="40% - 强调文字颜色 2 2 2 6" xfId="2305"/>
    <cellStyle name="40% - 强调文字颜色 2 2 2 6 2" xfId="2559"/>
    <cellStyle name="40% - 强调文字颜色 2 2 2 7" xfId="2225"/>
    <cellStyle name="40% - 强调文字颜色 2 2 3" xfId="321"/>
    <cellStyle name="40% - 强调文字颜色 2 2 3 2" xfId="968"/>
    <cellStyle name="40% - 强调文字颜色 2 2 3 2 2" xfId="3226"/>
    <cellStyle name="40% - 强调文字颜色 2 2 3 3" xfId="2788"/>
    <cellStyle name="40% - 强调文字颜色 2 2 3 3 2" xfId="2789"/>
    <cellStyle name="40% - 强调文字颜色 2 2 3 3 2 2" xfId="3228"/>
    <cellStyle name="40% - 强调文字颜色 2 2 3 3 3" xfId="3227"/>
    <cellStyle name="40% - 强调文字颜色 2 2 3 4" xfId="2790"/>
    <cellStyle name="40% - 强调文字颜色 2 2 3 4 2" xfId="3229"/>
    <cellStyle name="40% - 强调文字颜色 2 2 3 5" xfId="2791"/>
    <cellStyle name="40% - 强调文字颜色 2 2 3 5 2" xfId="3230"/>
    <cellStyle name="40% - 强调文字颜色 2 2 3 6" xfId="3225"/>
    <cellStyle name="40% - 强调文字颜色 2 2 3 6 2" xfId="3726"/>
    <cellStyle name="40% - 强调文字颜色 2 2 3 7" xfId="3063"/>
    <cellStyle name="40% - 强调文字颜色 2 2 3 8" xfId="3859"/>
    <cellStyle name="40% - 强调文字颜色 2 2 3 9" xfId="3823"/>
    <cellStyle name="40% - 强调文字颜色 2 2 4" xfId="666"/>
    <cellStyle name="40% - 强调文字颜色 2 2 4 2" xfId="2792"/>
    <cellStyle name="40% - 强调文字颜色 2 2 4 2 2" xfId="3232"/>
    <cellStyle name="40% - 强调文字颜色 2 2 4 3" xfId="3231"/>
    <cellStyle name="40% - 强调文字颜色 2 2 5" xfId="317"/>
    <cellStyle name="40% - 强调文字颜色 2 2 5 2" xfId="964"/>
    <cellStyle name="40% - 强调文字颜色 2 2 5 3" xfId="2407"/>
    <cellStyle name="40% - 强调文字颜色 2 2 6" xfId="2304"/>
    <cellStyle name="40% - 强调文字颜色 2 2 6 2" xfId="2558"/>
    <cellStyle name="40% - 强调文字颜色 2 2 7" xfId="3782"/>
    <cellStyle name="40% - 强调文字颜色 2 2 8" xfId="2150"/>
    <cellStyle name="40% - 强调文字颜色 3 2" xfId="25"/>
    <cellStyle name="40% - 强调文字颜色 3 2 2" xfId="111"/>
    <cellStyle name="40% - 强调文字颜色 3 2 2 2" xfId="324"/>
    <cellStyle name="40% - 强调文字颜色 3 2 2 2 2" xfId="971"/>
    <cellStyle name="40% - 强调文字颜色 3 2 2 2 2 2" xfId="3234"/>
    <cellStyle name="40% - 强调文字颜色 3 2 2 2 3" xfId="2793"/>
    <cellStyle name="40% - 强调文字颜色 3 2 2 2 3 2" xfId="2794"/>
    <cellStyle name="40% - 强调文字颜色 3 2 2 2 3 2 2" xfId="3236"/>
    <cellStyle name="40% - 强调文字颜色 3 2 2 2 3 3" xfId="3235"/>
    <cellStyle name="40% - 强调文字颜色 3 2 2 2 4" xfId="2795"/>
    <cellStyle name="40% - 强调文字颜色 3 2 2 2 4 2" xfId="3237"/>
    <cellStyle name="40% - 强调文字颜色 3 2 2 2 5" xfId="2796"/>
    <cellStyle name="40% - 强调文字颜色 3 2 2 2 5 2" xfId="3238"/>
    <cellStyle name="40% - 强调文字颜色 3 2 2 2 6" xfId="3233"/>
    <cellStyle name="40% - 强调文字颜色 3 2 2 3" xfId="325"/>
    <cellStyle name="40% - 强调文字颜色 3 2 2 3 2" xfId="972"/>
    <cellStyle name="40% - 强调文字颜色 3 2 2 3 2 2" xfId="3240"/>
    <cellStyle name="40% - 强调文字颜色 3 2 2 3 3" xfId="3239"/>
    <cellStyle name="40% - 强调文字颜色 3 2 2 4" xfId="746"/>
    <cellStyle name="40% - 强调文字颜色 3 2 2 4 2" xfId="2680"/>
    <cellStyle name="40% - 强调文字颜色 3 2 2 4 3" xfId="2473"/>
    <cellStyle name="40% - 强调文字颜色 3 2 2 5" xfId="323"/>
    <cellStyle name="40% - 强调文字颜色 3 2 2 5 2" xfId="970"/>
    <cellStyle name="40% - 强调文字颜色 3 2 2 6" xfId="2307"/>
    <cellStyle name="40% - 强调文字颜色 3 2 2 6 2" xfId="2561"/>
    <cellStyle name="40% - 强调文字颜色 3 2 2 7" xfId="2226"/>
    <cellStyle name="40% - 强调文字颜色 3 2 3" xfId="326"/>
    <cellStyle name="40% - 强调文字颜色 3 2 3 2" xfId="973"/>
    <cellStyle name="40% - 强调文字颜色 3 2 3 2 2" xfId="3242"/>
    <cellStyle name="40% - 强调文字颜色 3 2 3 3" xfId="2797"/>
    <cellStyle name="40% - 强调文字颜色 3 2 3 3 2" xfId="2798"/>
    <cellStyle name="40% - 强调文字颜色 3 2 3 3 2 2" xfId="3244"/>
    <cellStyle name="40% - 强调文字颜色 3 2 3 3 3" xfId="3243"/>
    <cellStyle name="40% - 强调文字颜色 3 2 3 4" xfId="2799"/>
    <cellStyle name="40% - 强调文字颜色 3 2 3 4 2" xfId="3245"/>
    <cellStyle name="40% - 强调文字颜色 3 2 3 5" xfId="2800"/>
    <cellStyle name="40% - 强调文字颜色 3 2 3 5 2" xfId="3246"/>
    <cellStyle name="40% - 强调文字颜色 3 2 3 6" xfId="3241"/>
    <cellStyle name="40% - 强调文字颜色 3 2 3 6 2" xfId="3727"/>
    <cellStyle name="40% - 强调文字颜色 3 2 3 7" xfId="3064"/>
    <cellStyle name="40% - 强调文字颜色 3 2 3 8" xfId="3876"/>
    <cellStyle name="40% - 强调文字颜色 3 2 3 9" xfId="3825"/>
    <cellStyle name="40% - 强调文字颜色 3 2 4" xfId="667"/>
    <cellStyle name="40% - 强调文字颜色 3 2 4 2" xfId="2801"/>
    <cellStyle name="40% - 强调文字颜色 3 2 4 2 2" xfId="3248"/>
    <cellStyle name="40% - 强调文字颜色 3 2 4 3" xfId="3247"/>
    <cellStyle name="40% - 强调文字颜色 3 2 5" xfId="322"/>
    <cellStyle name="40% - 强调文字颜色 3 2 5 2" xfId="969"/>
    <cellStyle name="40% - 强调文字颜色 3 2 5 3" xfId="2408"/>
    <cellStyle name="40% - 强调文字颜色 3 2 6" xfId="2306"/>
    <cellStyle name="40% - 强调文字颜色 3 2 6 2" xfId="2560"/>
    <cellStyle name="40% - 强调文字颜色 3 2 7" xfId="3796"/>
    <cellStyle name="40% - 强调文字颜色 3 2 8" xfId="2151"/>
    <cellStyle name="40% - 强调文字颜色 4 2" xfId="26"/>
    <cellStyle name="40% - 强调文字颜色 4 2 2" xfId="112"/>
    <cellStyle name="40% - 强调文字颜色 4 2 2 2" xfId="329"/>
    <cellStyle name="40% - 强调文字颜色 4 2 2 2 2" xfId="976"/>
    <cellStyle name="40% - 强调文字颜色 4 2 2 2 2 2" xfId="3250"/>
    <cellStyle name="40% - 强调文字颜色 4 2 2 2 3" xfId="2802"/>
    <cellStyle name="40% - 强调文字颜色 4 2 2 2 3 2" xfId="2803"/>
    <cellStyle name="40% - 强调文字颜色 4 2 2 2 3 2 2" xfId="3252"/>
    <cellStyle name="40% - 强调文字颜色 4 2 2 2 3 3" xfId="3251"/>
    <cellStyle name="40% - 强调文字颜色 4 2 2 2 4" xfId="2804"/>
    <cellStyle name="40% - 强调文字颜色 4 2 2 2 4 2" xfId="3253"/>
    <cellStyle name="40% - 强调文字颜色 4 2 2 2 5" xfId="2805"/>
    <cellStyle name="40% - 强调文字颜色 4 2 2 2 5 2" xfId="3254"/>
    <cellStyle name="40% - 强调文字颜色 4 2 2 2 6" xfId="3249"/>
    <cellStyle name="40% - 强调文字颜色 4 2 2 3" xfId="330"/>
    <cellStyle name="40% - 强调文字颜色 4 2 2 3 2" xfId="977"/>
    <cellStyle name="40% - 强调文字颜色 4 2 2 3 2 2" xfId="3256"/>
    <cellStyle name="40% - 强调文字颜色 4 2 2 3 3" xfId="3255"/>
    <cellStyle name="40% - 强调文字颜色 4 2 2 4" xfId="747"/>
    <cellStyle name="40% - 强调文字颜色 4 2 2 4 2" xfId="2681"/>
    <cellStyle name="40% - 强调文字颜色 4 2 2 4 3" xfId="2452"/>
    <cellStyle name="40% - 强调文字颜色 4 2 2 5" xfId="328"/>
    <cellStyle name="40% - 强调文字颜色 4 2 2 5 2" xfId="975"/>
    <cellStyle name="40% - 强调文字颜色 4 2 2 6" xfId="2309"/>
    <cellStyle name="40% - 强调文字颜色 4 2 2 6 2" xfId="2563"/>
    <cellStyle name="40% - 强调文字颜色 4 2 2 7" xfId="2204"/>
    <cellStyle name="40% - 强调文字颜色 4 2 3" xfId="331"/>
    <cellStyle name="40% - 强调文字颜色 4 2 3 2" xfId="978"/>
    <cellStyle name="40% - 强调文字颜色 4 2 3 2 2" xfId="3258"/>
    <cellStyle name="40% - 强调文字颜色 4 2 3 3" xfId="2806"/>
    <cellStyle name="40% - 强调文字颜色 4 2 3 3 2" xfId="2807"/>
    <cellStyle name="40% - 强调文字颜色 4 2 3 3 2 2" xfId="3260"/>
    <cellStyle name="40% - 强调文字颜色 4 2 3 3 3" xfId="3259"/>
    <cellStyle name="40% - 强调文字颜色 4 2 3 4" xfId="2808"/>
    <cellStyle name="40% - 强调文字颜色 4 2 3 4 2" xfId="3261"/>
    <cellStyle name="40% - 强调文字颜色 4 2 3 5" xfId="2809"/>
    <cellStyle name="40% - 强调文字颜色 4 2 3 5 2" xfId="3262"/>
    <cellStyle name="40% - 强调文字颜色 4 2 3 6" xfId="3257"/>
    <cellStyle name="40% - 强调文字颜色 4 2 3 6 2" xfId="3728"/>
    <cellStyle name="40% - 强调文字颜色 4 2 3 7" xfId="3065"/>
    <cellStyle name="40% - 强调文字颜色 4 2 3 8" xfId="3842"/>
    <cellStyle name="40% - 强调文字颜色 4 2 3 9" xfId="3880"/>
    <cellStyle name="40% - 强调文字颜色 4 2 4" xfId="668"/>
    <cellStyle name="40% - 强调文字颜色 4 2 4 2" xfId="2810"/>
    <cellStyle name="40% - 强调文字颜色 4 2 4 2 2" xfId="3264"/>
    <cellStyle name="40% - 强调文字颜色 4 2 4 3" xfId="3263"/>
    <cellStyle name="40% - 强调文字颜色 4 2 5" xfId="327"/>
    <cellStyle name="40% - 强调文字颜色 4 2 5 2" xfId="974"/>
    <cellStyle name="40% - 强调文字颜色 4 2 5 3" xfId="2387"/>
    <cellStyle name="40% - 强调文字颜色 4 2 6" xfId="2308"/>
    <cellStyle name="40% - 强调文字颜色 4 2 6 2" xfId="2562"/>
    <cellStyle name="40% - 强调文字颜色 4 2 7" xfId="3792"/>
    <cellStyle name="40% - 强调文字颜色 4 2 8" xfId="2130"/>
    <cellStyle name="40% - 强调文字颜色 5 2" xfId="27"/>
    <cellStyle name="40% - 强调文字颜色 5 2 2" xfId="113"/>
    <cellStyle name="40% - 强调文字颜色 5 2 2 2" xfId="334"/>
    <cellStyle name="40% - 强调文字颜色 5 2 2 2 2" xfId="981"/>
    <cellStyle name="40% - 强调文字颜色 5 2 2 2 2 2" xfId="3266"/>
    <cellStyle name="40% - 强调文字颜色 5 2 2 2 3" xfId="2811"/>
    <cellStyle name="40% - 强调文字颜色 5 2 2 2 3 2" xfId="2812"/>
    <cellStyle name="40% - 强调文字颜色 5 2 2 2 3 2 2" xfId="3268"/>
    <cellStyle name="40% - 强调文字颜色 5 2 2 2 3 3" xfId="3267"/>
    <cellStyle name="40% - 强调文字颜色 5 2 2 2 4" xfId="2813"/>
    <cellStyle name="40% - 强调文字颜色 5 2 2 2 4 2" xfId="3269"/>
    <cellStyle name="40% - 强调文字颜色 5 2 2 2 5" xfId="2814"/>
    <cellStyle name="40% - 强调文字颜色 5 2 2 2 5 2" xfId="3270"/>
    <cellStyle name="40% - 强调文字颜色 5 2 2 2 6" xfId="3265"/>
    <cellStyle name="40% - 强调文字颜色 5 2 2 3" xfId="335"/>
    <cellStyle name="40% - 强调文字颜色 5 2 2 3 2" xfId="982"/>
    <cellStyle name="40% - 强调文字颜色 5 2 2 3 2 2" xfId="3272"/>
    <cellStyle name="40% - 强调文字颜色 5 2 2 3 3" xfId="3271"/>
    <cellStyle name="40% - 强调文字颜色 5 2 2 4" xfId="748"/>
    <cellStyle name="40% - 强调文字颜色 5 2 2 4 2" xfId="2682"/>
    <cellStyle name="40% - 强调文字颜色 5 2 2 4 3" xfId="2474"/>
    <cellStyle name="40% - 强调文字颜色 5 2 2 5" xfId="333"/>
    <cellStyle name="40% - 强调文字颜色 5 2 2 5 2" xfId="980"/>
    <cellStyle name="40% - 强调文字颜色 5 2 2 6" xfId="2311"/>
    <cellStyle name="40% - 强调文字颜色 5 2 2 6 2" xfId="2565"/>
    <cellStyle name="40% - 强调文字颜色 5 2 2 7" xfId="2227"/>
    <cellStyle name="40% - 强调文字颜色 5 2 3" xfId="336"/>
    <cellStyle name="40% - 强调文字颜色 5 2 3 2" xfId="983"/>
    <cellStyle name="40% - 强调文字颜色 5 2 3 2 2" xfId="3274"/>
    <cellStyle name="40% - 强调文字颜色 5 2 3 3" xfId="2815"/>
    <cellStyle name="40% - 强调文字颜色 5 2 3 3 2" xfId="2816"/>
    <cellStyle name="40% - 强调文字颜色 5 2 3 3 2 2" xfId="3276"/>
    <cellStyle name="40% - 强调文字颜色 5 2 3 3 3" xfId="3275"/>
    <cellStyle name="40% - 强调文字颜色 5 2 3 4" xfId="2817"/>
    <cellStyle name="40% - 强调文字颜色 5 2 3 4 2" xfId="3277"/>
    <cellStyle name="40% - 强调文字颜色 5 2 3 5" xfId="2818"/>
    <cellStyle name="40% - 强调文字颜色 5 2 3 5 2" xfId="3278"/>
    <cellStyle name="40% - 强调文字颜色 5 2 3 6" xfId="3273"/>
    <cellStyle name="40% - 强调文字颜色 5 2 3 6 2" xfId="3729"/>
    <cellStyle name="40% - 强调文字颜色 5 2 3 7" xfId="3066"/>
    <cellStyle name="40% - 强调文字颜色 5 2 3 8" xfId="3892"/>
    <cellStyle name="40% - 强调文字颜色 5 2 3 9" xfId="3771"/>
    <cellStyle name="40% - 强调文字颜色 5 2 4" xfId="669"/>
    <cellStyle name="40% - 强调文字颜色 5 2 4 2" xfId="2819"/>
    <cellStyle name="40% - 强调文字颜色 5 2 4 2 2" xfId="3280"/>
    <cellStyle name="40% - 强调文字颜色 5 2 4 3" xfId="3279"/>
    <cellStyle name="40% - 强调文字颜色 5 2 5" xfId="332"/>
    <cellStyle name="40% - 强调文字颜色 5 2 5 2" xfId="979"/>
    <cellStyle name="40% - 强调文字颜色 5 2 5 3" xfId="2409"/>
    <cellStyle name="40% - 强调文字颜色 5 2 6" xfId="2310"/>
    <cellStyle name="40% - 强调文字颜色 5 2 6 2" xfId="2564"/>
    <cellStyle name="40% - 强调文字颜色 5 2 7" xfId="3869"/>
    <cellStyle name="40% - 强调文字颜色 5 2 8" xfId="2152"/>
    <cellStyle name="40% - 强调文字颜色 6 2" xfId="28"/>
    <cellStyle name="40% - 强调文字颜色 6 2 2" xfId="114"/>
    <cellStyle name="40% - 强调文字颜色 6 2 2 2" xfId="339"/>
    <cellStyle name="40% - 强调文字颜色 6 2 2 2 2" xfId="986"/>
    <cellStyle name="40% - 强调文字颜色 6 2 2 2 2 2" xfId="3282"/>
    <cellStyle name="40% - 强调文字颜色 6 2 2 2 3" xfId="2820"/>
    <cellStyle name="40% - 强调文字颜色 6 2 2 2 3 2" xfId="2821"/>
    <cellStyle name="40% - 强调文字颜色 6 2 2 2 3 2 2" xfId="3284"/>
    <cellStyle name="40% - 强调文字颜色 6 2 2 2 3 3" xfId="3283"/>
    <cellStyle name="40% - 强调文字颜色 6 2 2 2 4" xfId="2822"/>
    <cellStyle name="40% - 强调文字颜色 6 2 2 2 4 2" xfId="3285"/>
    <cellStyle name="40% - 强调文字颜色 6 2 2 2 5" xfId="2823"/>
    <cellStyle name="40% - 强调文字颜色 6 2 2 2 5 2" xfId="3286"/>
    <cellStyle name="40% - 强调文字颜色 6 2 2 2 6" xfId="3281"/>
    <cellStyle name="40% - 强调文字颜色 6 2 2 3" xfId="340"/>
    <cellStyle name="40% - 强调文字颜色 6 2 2 3 2" xfId="987"/>
    <cellStyle name="40% - 强调文字颜色 6 2 2 3 2 2" xfId="3288"/>
    <cellStyle name="40% - 强调文字颜色 6 2 2 3 3" xfId="3287"/>
    <cellStyle name="40% - 强调文字颜色 6 2 2 4" xfId="749"/>
    <cellStyle name="40% - 强调文字颜色 6 2 2 4 2" xfId="2683"/>
    <cellStyle name="40% - 强调文字颜色 6 2 2 4 3" xfId="2475"/>
    <cellStyle name="40% - 强调文字颜色 6 2 2 5" xfId="338"/>
    <cellStyle name="40% - 强调文字颜色 6 2 2 5 2" xfId="985"/>
    <cellStyle name="40% - 强调文字颜色 6 2 2 6" xfId="2313"/>
    <cellStyle name="40% - 强调文字颜色 6 2 2 6 2" xfId="2567"/>
    <cellStyle name="40% - 强调文字颜色 6 2 2 7" xfId="2228"/>
    <cellStyle name="40% - 强调文字颜色 6 2 3" xfId="341"/>
    <cellStyle name="40% - 强调文字颜色 6 2 3 2" xfId="988"/>
    <cellStyle name="40% - 强调文字颜色 6 2 3 2 2" xfId="3290"/>
    <cellStyle name="40% - 强调文字颜色 6 2 3 3" xfId="2824"/>
    <cellStyle name="40% - 强调文字颜色 6 2 3 3 2" xfId="2825"/>
    <cellStyle name="40% - 强调文字颜色 6 2 3 3 2 2" xfId="3292"/>
    <cellStyle name="40% - 强调文字颜色 6 2 3 3 3" xfId="3291"/>
    <cellStyle name="40% - 强调文字颜色 6 2 3 4" xfId="2826"/>
    <cellStyle name="40% - 强调文字颜色 6 2 3 4 2" xfId="3293"/>
    <cellStyle name="40% - 强调文字颜色 6 2 3 5" xfId="2827"/>
    <cellStyle name="40% - 强调文字颜色 6 2 3 5 2" xfId="3294"/>
    <cellStyle name="40% - 强调文字颜色 6 2 3 6" xfId="3289"/>
    <cellStyle name="40% - 强调文字颜色 6 2 3 6 2" xfId="3730"/>
    <cellStyle name="40% - 强调文字颜色 6 2 3 7" xfId="3067"/>
    <cellStyle name="40% - 强调文字颜色 6 2 3 8" xfId="3845"/>
    <cellStyle name="40% - 强调文字颜色 6 2 3 9" xfId="3864"/>
    <cellStyle name="40% - 强调文字颜色 6 2 4" xfId="670"/>
    <cellStyle name="40% - 强调文字颜色 6 2 4 2" xfId="2828"/>
    <cellStyle name="40% - 强调文字颜色 6 2 4 2 2" xfId="3296"/>
    <cellStyle name="40% - 强调文字颜色 6 2 4 3" xfId="3295"/>
    <cellStyle name="40% - 强调文字颜色 6 2 5" xfId="337"/>
    <cellStyle name="40% - 强调文字颜色 6 2 5 2" xfId="984"/>
    <cellStyle name="40% - 强调文字颜色 6 2 5 3" xfId="2410"/>
    <cellStyle name="40% - 强调文字颜色 6 2 6" xfId="2312"/>
    <cellStyle name="40% - 强调文字颜色 6 2 6 2" xfId="2566"/>
    <cellStyle name="40% - 强调文字颜色 6 2 7" xfId="3849"/>
    <cellStyle name="40% - 强调文字颜色 6 2 8" xfId="2153"/>
    <cellStyle name="60% - Accent1" xfId="29"/>
    <cellStyle name="60% - Accent1 2" xfId="115"/>
    <cellStyle name="60% - Accent1 2 2" xfId="344"/>
    <cellStyle name="60% - Accent1 2 2 2" xfId="991"/>
    <cellStyle name="60% - Accent1 2 3" xfId="345"/>
    <cellStyle name="60% - Accent1 2 3 2" xfId="992"/>
    <cellStyle name="60% - Accent1 2 4" xfId="750"/>
    <cellStyle name="60% - Accent1 2 4 2" xfId="2684"/>
    <cellStyle name="60% - Accent1 2 4 3" xfId="2476"/>
    <cellStyle name="60% - Accent1 2 5" xfId="343"/>
    <cellStyle name="60% - Accent1 2 5 2" xfId="990"/>
    <cellStyle name="60% - Accent1 2 6" xfId="2315"/>
    <cellStyle name="60% - Accent1 2 6 2" xfId="2569"/>
    <cellStyle name="60% - Accent1 2 7" xfId="2229"/>
    <cellStyle name="60% - Accent1 3" xfId="346"/>
    <cellStyle name="60% - Accent1 3 2" xfId="993"/>
    <cellStyle name="60% - Accent1 3 3" xfId="2199"/>
    <cellStyle name="60% - Accent1 4" xfId="671"/>
    <cellStyle name="60% - Accent1 5" xfId="342"/>
    <cellStyle name="60% - Accent1 5 2" xfId="989"/>
    <cellStyle name="60% - Accent1 5 3" xfId="2411"/>
    <cellStyle name="60% - Accent1 6" xfId="2314"/>
    <cellStyle name="60% - Accent1 6 2" xfId="2568"/>
    <cellStyle name="60% - Accent1 7" xfId="2154"/>
    <cellStyle name="60% - Accent2" xfId="30"/>
    <cellStyle name="60% - Accent2 2" xfId="116"/>
    <cellStyle name="60% - Accent2 2 2" xfId="349"/>
    <cellStyle name="60% - Accent2 2 2 2" xfId="996"/>
    <cellStyle name="60% - Accent2 2 3" xfId="350"/>
    <cellStyle name="60% - Accent2 2 3 2" xfId="997"/>
    <cellStyle name="60% - Accent2 2 4" xfId="751"/>
    <cellStyle name="60% - Accent2 2 4 2" xfId="2685"/>
    <cellStyle name="60% - Accent2 2 4 3" xfId="2477"/>
    <cellStyle name="60% - Accent2 2 5" xfId="348"/>
    <cellStyle name="60% - Accent2 2 5 2" xfId="995"/>
    <cellStyle name="60% - Accent2 2 6" xfId="2317"/>
    <cellStyle name="60% - Accent2 2 6 2" xfId="2571"/>
    <cellStyle name="60% - Accent2 2 7" xfId="2230"/>
    <cellStyle name="60% - Accent2 3" xfId="351"/>
    <cellStyle name="60% - Accent2 3 2" xfId="998"/>
    <cellStyle name="60% - Accent2 3 3" xfId="3799"/>
    <cellStyle name="60% - Accent2 4" xfId="672"/>
    <cellStyle name="60% - Accent2 5" xfId="347"/>
    <cellStyle name="60% - Accent2 5 2" xfId="994"/>
    <cellStyle name="60% - Accent2 5 3" xfId="2412"/>
    <cellStyle name="60% - Accent2 6" xfId="2316"/>
    <cellStyle name="60% - Accent2 6 2" xfId="2570"/>
    <cellStyle name="60% - Accent2 7" xfId="2155"/>
    <cellStyle name="60% - Accent3" xfId="31"/>
    <cellStyle name="60% - Accent3 2" xfId="117"/>
    <cellStyle name="60% - Accent3 2 2" xfId="354"/>
    <cellStyle name="60% - Accent3 2 2 2" xfId="1001"/>
    <cellStyle name="60% - Accent3 2 3" xfId="355"/>
    <cellStyle name="60% - Accent3 2 3 2" xfId="1002"/>
    <cellStyle name="60% - Accent3 2 4" xfId="752"/>
    <cellStyle name="60% - Accent3 2 4 2" xfId="2686"/>
    <cellStyle name="60% - Accent3 2 4 3" xfId="2478"/>
    <cellStyle name="60% - Accent3 2 5" xfId="353"/>
    <cellStyle name="60% - Accent3 2 5 2" xfId="1000"/>
    <cellStyle name="60% - Accent3 2 6" xfId="2319"/>
    <cellStyle name="60% - Accent3 2 6 2" xfId="2573"/>
    <cellStyle name="60% - Accent3 2 7" xfId="2231"/>
    <cellStyle name="60% - Accent3 3" xfId="356"/>
    <cellStyle name="60% - Accent3 3 2" xfId="1003"/>
    <cellStyle name="60% - Accent3 3 3" xfId="3894"/>
    <cellStyle name="60% - Accent3 4" xfId="673"/>
    <cellStyle name="60% - Accent3 5" xfId="352"/>
    <cellStyle name="60% - Accent3 5 2" xfId="999"/>
    <cellStyle name="60% - Accent3 5 3" xfId="2413"/>
    <cellStyle name="60% - Accent3 6" xfId="2318"/>
    <cellStyle name="60% - Accent3 6 2" xfId="2572"/>
    <cellStyle name="60% - Accent3 7" xfId="2156"/>
    <cellStyle name="60% - Accent4" xfId="32"/>
    <cellStyle name="60% - Accent4 2" xfId="118"/>
    <cellStyle name="60% - Accent4 2 2" xfId="359"/>
    <cellStyle name="60% - Accent4 2 2 2" xfId="1006"/>
    <cellStyle name="60% - Accent4 2 3" xfId="360"/>
    <cellStyle name="60% - Accent4 2 3 2" xfId="1007"/>
    <cellStyle name="60% - Accent4 2 4" xfId="753"/>
    <cellStyle name="60% - Accent4 2 4 2" xfId="2687"/>
    <cellStyle name="60% - Accent4 2 4 3" xfId="2479"/>
    <cellStyle name="60% - Accent4 2 5" xfId="358"/>
    <cellStyle name="60% - Accent4 2 5 2" xfId="1005"/>
    <cellStyle name="60% - Accent4 2 6" xfId="2321"/>
    <cellStyle name="60% - Accent4 2 6 2" xfId="2575"/>
    <cellStyle name="60% - Accent4 2 7" xfId="2232"/>
    <cellStyle name="60% - Accent4 3" xfId="361"/>
    <cellStyle name="60% - Accent4 3 2" xfId="1008"/>
    <cellStyle name="60% - Accent4 3 3" xfId="3837"/>
    <cellStyle name="60% - Accent4 4" xfId="674"/>
    <cellStyle name="60% - Accent4 5" xfId="357"/>
    <cellStyle name="60% - Accent4 5 2" xfId="1004"/>
    <cellStyle name="60% - Accent4 5 3" xfId="2414"/>
    <cellStyle name="60% - Accent4 6" xfId="2320"/>
    <cellStyle name="60% - Accent4 6 2" xfId="2574"/>
    <cellStyle name="60% - Accent4 7" xfId="2157"/>
    <cellStyle name="60% - Accent5" xfId="33"/>
    <cellStyle name="60% - Accent5 2" xfId="119"/>
    <cellStyle name="60% - Accent5 2 2" xfId="364"/>
    <cellStyle name="60% - Accent5 2 2 2" xfId="1011"/>
    <cellStyle name="60% - Accent5 2 3" xfId="365"/>
    <cellStyle name="60% - Accent5 2 3 2" xfId="1012"/>
    <cellStyle name="60% - Accent5 2 4" xfId="754"/>
    <cellStyle name="60% - Accent5 2 4 2" xfId="2688"/>
    <cellStyle name="60% - Accent5 2 4 3" xfId="2481"/>
    <cellStyle name="60% - Accent5 2 5" xfId="363"/>
    <cellStyle name="60% - Accent5 2 5 2" xfId="1010"/>
    <cellStyle name="60% - Accent5 2 6" xfId="2323"/>
    <cellStyle name="60% - Accent5 2 6 2" xfId="2577"/>
    <cellStyle name="60% - Accent5 2 7" xfId="2234"/>
    <cellStyle name="60% - Accent5 3" xfId="366"/>
    <cellStyle name="60% - Accent5 3 2" xfId="1013"/>
    <cellStyle name="60% - Accent5 3 3" xfId="3854"/>
    <cellStyle name="60% - Accent5 4" xfId="675"/>
    <cellStyle name="60% - Accent5 5" xfId="362"/>
    <cellStyle name="60% - Accent5 5 2" xfId="1009"/>
    <cellStyle name="60% - Accent5 5 3" xfId="2416"/>
    <cellStyle name="60% - Accent5 6" xfId="2322"/>
    <cellStyle name="60% - Accent5 6 2" xfId="2576"/>
    <cellStyle name="60% - Accent5 7" xfId="2159"/>
    <cellStyle name="60% - Accent6" xfId="34"/>
    <cellStyle name="60% - Accent6 2" xfId="120"/>
    <cellStyle name="60% - Accent6 2 2" xfId="369"/>
    <cellStyle name="60% - Accent6 2 2 2" xfId="1016"/>
    <cellStyle name="60% - Accent6 2 3" xfId="370"/>
    <cellStyle name="60% - Accent6 2 3 2" xfId="1017"/>
    <cellStyle name="60% - Accent6 2 4" xfId="755"/>
    <cellStyle name="60% - Accent6 2 4 2" xfId="2689"/>
    <cellStyle name="60% - Accent6 2 4 3" xfId="2482"/>
    <cellStyle name="60% - Accent6 2 5" xfId="368"/>
    <cellStyle name="60% - Accent6 2 5 2" xfId="1015"/>
    <cellStyle name="60% - Accent6 2 6" xfId="2325"/>
    <cellStyle name="60% - Accent6 2 6 2" xfId="2579"/>
    <cellStyle name="60% - Accent6 2 7" xfId="2235"/>
    <cellStyle name="60% - Accent6 3" xfId="371"/>
    <cellStyle name="60% - Accent6 3 2" xfId="1018"/>
    <cellStyle name="60% - Accent6 3 3" xfId="3788"/>
    <cellStyle name="60% - Accent6 4" xfId="676"/>
    <cellStyle name="60% - Accent6 5" xfId="367"/>
    <cellStyle name="60% - Accent6 5 2" xfId="1014"/>
    <cellStyle name="60% - Accent6 5 3" xfId="2417"/>
    <cellStyle name="60% - Accent6 6" xfId="2324"/>
    <cellStyle name="60% - Accent6 6 2" xfId="2578"/>
    <cellStyle name="60% - Accent6 7" xfId="2160"/>
    <cellStyle name="60% - 强调文字颜色 1 2" xfId="35"/>
    <cellStyle name="60% - 强调文字颜色 1 2 2" xfId="121"/>
    <cellStyle name="60% - 强调文字颜色 1 2 2 2" xfId="374"/>
    <cellStyle name="60% - 强调文字颜色 1 2 2 2 2" xfId="1021"/>
    <cellStyle name="60% - 强调文字颜色 1 2 2 2 2 2" xfId="3298"/>
    <cellStyle name="60% - 强调文字颜色 1 2 2 2 3" xfId="2829"/>
    <cellStyle name="60% - 强调文字颜色 1 2 2 2 3 2" xfId="2830"/>
    <cellStyle name="60% - 强调文字颜色 1 2 2 2 3 2 2" xfId="3300"/>
    <cellStyle name="60% - 强调文字颜色 1 2 2 2 3 3" xfId="3299"/>
    <cellStyle name="60% - 强调文字颜色 1 2 2 2 4" xfId="2831"/>
    <cellStyle name="60% - 强调文字颜色 1 2 2 2 4 2" xfId="3301"/>
    <cellStyle name="60% - 强调文字颜色 1 2 2 2 5" xfId="2832"/>
    <cellStyle name="60% - 强调文字颜色 1 2 2 2 5 2" xfId="3302"/>
    <cellStyle name="60% - 强调文字颜色 1 2 2 2 6" xfId="3297"/>
    <cellStyle name="60% - 强调文字颜色 1 2 2 3" xfId="375"/>
    <cellStyle name="60% - 强调文字颜色 1 2 2 3 2" xfId="1022"/>
    <cellStyle name="60% - 强调文字颜色 1 2 2 3 2 2" xfId="3304"/>
    <cellStyle name="60% - 强调文字颜色 1 2 2 3 3" xfId="3303"/>
    <cellStyle name="60% - 强调文字颜色 1 2 2 4" xfId="756"/>
    <cellStyle name="60% - 强调文字颜色 1 2 2 4 2" xfId="2690"/>
    <cellStyle name="60% - 强调文字颜色 1 2 2 4 3" xfId="2483"/>
    <cellStyle name="60% - 强调文字颜色 1 2 2 5" xfId="373"/>
    <cellStyle name="60% - 强调文字颜色 1 2 2 5 2" xfId="1020"/>
    <cellStyle name="60% - 强调文字颜色 1 2 2 6" xfId="2327"/>
    <cellStyle name="60% - 强调文字颜色 1 2 2 6 2" xfId="2581"/>
    <cellStyle name="60% - 强调文字颜色 1 2 2 7" xfId="2236"/>
    <cellStyle name="60% - 强调文字颜色 1 2 3" xfId="376"/>
    <cellStyle name="60% - 强调文字颜色 1 2 3 2" xfId="1023"/>
    <cellStyle name="60% - 强调文字颜色 1 2 3 2 2" xfId="3306"/>
    <cellStyle name="60% - 强调文字颜色 1 2 3 3" xfId="2833"/>
    <cellStyle name="60% - 强调文字颜色 1 2 3 3 2" xfId="2834"/>
    <cellStyle name="60% - 强调文字颜色 1 2 3 3 2 2" xfId="3308"/>
    <cellStyle name="60% - 强调文字颜色 1 2 3 3 3" xfId="3307"/>
    <cellStyle name="60% - 强调文字颜色 1 2 3 4" xfId="2835"/>
    <cellStyle name="60% - 强调文字颜色 1 2 3 4 2" xfId="3309"/>
    <cellStyle name="60% - 强调文字颜色 1 2 3 5" xfId="2836"/>
    <cellStyle name="60% - 强调文字颜色 1 2 3 5 2" xfId="3310"/>
    <cellStyle name="60% - 强调文字颜色 1 2 3 6" xfId="3305"/>
    <cellStyle name="60% - 强调文字颜色 1 2 3 6 2" xfId="3731"/>
    <cellStyle name="60% - 强调文字颜色 1 2 3 7" xfId="3068"/>
    <cellStyle name="60% - 强调文字颜色 1 2 3 8" xfId="3868"/>
    <cellStyle name="60% - 强调文字颜色 1 2 3 9" xfId="3900"/>
    <cellStyle name="60% - 强调文字颜色 1 2 4" xfId="677"/>
    <cellStyle name="60% - 强调文字颜色 1 2 4 2" xfId="2837"/>
    <cellStyle name="60% - 强调文字颜色 1 2 4 2 2" xfId="3312"/>
    <cellStyle name="60% - 强调文字颜色 1 2 4 3" xfId="3311"/>
    <cellStyle name="60% - 强调文字颜色 1 2 5" xfId="372"/>
    <cellStyle name="60% - 强调文字颜色 1 2 5 2" xfId="1019"/>
    <cellStyle name="60% - 强调文字颜色 1 2 5 3" xfId="2418"/>
    <cellStyle name="60% - 强调文字颜色 1 2 6" xfId="2326"/>
    <cellStyle name="60% - 强调文字颜色 1 2 6 2" xfId="2580"/>
    <cellStyle name="60% - 强调文字颜色 1 2 7" xfId="3803"/>
    <cellStyle name="60% - 强调文字颜色 1 2 8" xfId="2161"/>
    <cellStyle name="60% - 强调文字颜色 2 2" xfId="36"/>
    <cellStyle name="60% - 强调文字颜色 2 2 2" xfId="122"/>
    <cellStyle name="60% - 强调文字颜色 2 2 2 2" xfId="379"/>
    <cellStyle name="60% - 强调文字颜色 2 2 2 2 2" xfId="1026"/>
    <cellStyle name="60% - 强调文字颜色 2 2 2 2 2 2" xfId="3314"/>
    <cellStyle name="60% - 强调文字颜色 2 2 2 2 3" xfId="2838"/>
    <cellStyle name="60% - 强调文字颜色 2 2 2 2 3 2" xfId="2839"/>
    <cellStyle name="60% - 强调文字颜色 2 2 2 2 3 2 2" xfId="3316"/>
    <cellStyle name="60% - 强调文字颜色 2 2 2 2 3 3" xfId="3315"/>
    <cellStyle name="60% - 强调文字颜色 2 2 2 2 4" xfId="2840"/>
    <cellStyle name="60% - 强调文字颜色 2 2 2 2 4 2" xfId="3317"/>
    <cellStyle name="60% - 强调文字颜色 2 2 2 2 5" xfId="2841"/>
    <cellStyle name="60% - 强调文字颜色 2 2 2 2 5 2" xfId="3318"/>
    <cellStyle name="60% - 强调文字颜色 2 2 2 2 6" xfId="3313"/>
    <cellStyle name="60% - 强调文字颜色 2 2 2 3" xfId="380"/>
    <cellStyle name="60% - 强调文字颜色 2 2 2 3 2" xfId="1027"/>
    <cellStyle name="60% - 强调文字颜色 2 2 2 3 2 2" xfId="3320"/>
    <cellStyle name="60% - 强调文字颜色 2 2 2 3 3" xfId="3319"/>
    <cellStyle name="60% - 强调文字颜色 2 2 2 4" xfId="757"/>
    <cellStyle name="60% - 强调文字颜色 2 2 2 4 2" xfId="2691"/>
    <cellStyle name="60% - 强调文字颜色 2 2 2 4 3" xfId="2484"/>
    <cellStyle name="60% - 强调文字颜色 2 2 2 5" xfId="378"/>
    <cellStyle name="60% - 强调文字颜色 2 2 2 5 2" xfId="1025"/>
    <cellStyle name="60% - 强调文字颜色 2 2 2 6" xfId="2329"/>
    <cellStyle name="60% - 强调文字颜色 2 2 2 6 2" xfId="2583"/>
    <cellStyle name="60% - 强调文字颜色 2 2 2 7" xfId="2237"/>
    <cellStyle name="60% - 强调文字颜色 2 2 3" xfId="381"/>
    <cellStyle name="60% - 强调文字颜色 2 2 3 2" xfId="1028"/>
    <cellStyle name="60% - 强调文字颜色 2 2 3 2 2" xfId="3322"/>
    <cellStyle name="60% - 强调文字颜色 2 2 3 3" xfId="2842"/>
    <cellStyle name="60% - 强调文字颜色 2 2 3 3 2" xfId="2843"/>
    <cellStyle name="60% - 强调文字颜色 2 2 3 3 2 2" xfId="3324"/>
    <cellStyle name="60% - 强调文字颜色 2 2 3 3 3" xfId="3323"/>
    <cellStyle name="60% - 强调文字颜色 2 2 3 4" xfId="2844"/>
    <cellStyle name="60% - 强调文字颜色 2 2 3 4 2" xfId="3325"/>
    <cellStyle name="60% - 强调文字颜色 2 2 3 5" xfId="2845"/>
    <cellStyle name="60% - 强调文字颜色 2 2 3 5 2" xfId="3326"/>
    <cellStyle name="60% - 强调文字颜色 2 2 3 6" xfId="3321"/>
    <cellStyle name="60% - 强调文字颜色 2 2 3 6 2" xfId="3732"/>
    <cellStyle name="60% - 强调文字颜色 2 2 3 7" xfId="3069"/>
    <cellStyle name="60% - 强调文字颜色 2 2 3 8" xfId="3888"/>
    <cellStyle name="60% - 强调文字颜色 2 2 3 9" xfId="3889"/>
    <cellStyle name="60% - 强调文字颜色 2 2 4" xfId="678"/>
    <cellStyle name="60% - 强调文字颜色 2 2 4 2" xfId="2846"/>
    <cellStyle name="60% - 强调文字颜色 2 2 4 2 2" xfId="3328"/>
    <cellStyle name="60% - 强调文字颜色 2 2 4 3" xfId="3327"/>
    <cellStyle name="60% - 强调文字颜色 2 2 5" xfId="377"/>
    <cellStyle name="60% - 强调文字颜色 2 2 5 2" xfId="1024"/>
    <cellStyle name="60% - 强调文字颜色 2 2 5 3" xfId="2419"/>
    <cellStyle name="60% - 强调文字颜色 2 2 6" xfId="2328"/>
    <cellStyle name="60% - 强调文字颜色 2 2 6 2" xfId="2582"/>
    <cellStyle name="60% - 强调文字颜色 2 2 7" xfId="3891"/>
    <cellStyle name="60% - 强调文字颜色 2 2 8" xfId="2162"/>
    <cellStyle name="60% - 强调文字颜色 3 2" xfId="37"/>
    <cellStyle name="60% - 强调文字颜色 3 2 2" xfId="123"/>
    <cellStyle name="60% - 强调文字颜色 3 2 2 2" xfId="384"/>
    <cellStyle name="60% - 强调文字颜色 3 2 2 2 2" xfId="1031"/>
    <cellStyle name="60% - 强调文字颜色 3 2 2 2 2 2" xfId="3330"/>
    <cellStyle name="60% - 强调文字颜色 3 2 2 2 3" xfId="2847"/>
    <cellStyle name="60% - 强调文字颜色 3 2 2 2 3 2" xfId="2848"/>
    <cellStyle name="60% - 强调文字颜色 3 2 2 2 3 2 2" xfId="3332"/>
    <cellStyle name="60% - 强调文字颜色 3 2 2 2 3 3" xfId="3331"/>
    <cellStyle name="60% - 强调文字颜色 3 2 2 2 4" xfId="2849"/>
    <cellStyle name="60% - 强调文字颜色 3 2 2 2 4 2" xfId="3333"/>
    <cellStyle name="60% - 强调文字颜色 3 2 2 2 5" xfId="2850"/>
    <cellStyle name="60% - 强调文字颜色 3 2 2 2 5 2" xfId="3334"/>
    <cellStyle name="60% - 强调文字颜色 3 2 2 2 6" xfId="3329"/>
    <cellStyle name="60% - 强调文字颜色 3 2 2 3" xfId="385"/>
    <cellStyle name="60% - 强调文字颜色 3 2 2 3 2" xfId="1032"/>
    <cellStyle name="60% - 强调文字颜色 3 2 2 3 2 2" xfId="3336"/>
    <cellStyle name="60% - 强调文字颜色 3 2 2 3 3" xfId="3335"/>
    <cellStyle name="60% - 强调文字颜色 3 2 2 4" xfId="758"/>
    <cellStyle name="60% - 强调文字颜色 3 2 2 4 2" xfId="2692"/>
    <cellStyle name="60% - 强调文字颜色 3 2 2 4 3" xfId="2485"/>
    <cellStyle name="60% - 强调文字颜色 3 2 2 5" xfId="383"/>
    <cellStyle name="60% - 强调文字颜色 3 2 2 5 2" xfId="1030"/>
    <cellStyle name="60% - 强调文字颜色 3 2 2 6" xfId="2331"/>
    <cellStyle name="60% - 强调文字颜色 3 2 2 6 2" xfId="2585"/>
    <cellStyle name="60% - 强调文字颜色 3 2 2 7" xfId="2238"/>
    <cellStyle name="60% - 强调文字颜色 3 2 3" xfId="386"/>
    <cellStyle name="60% - 强调文字颜色 3 2 3 2" xfId="1033"/>
    <cellStyle name="60% - 强调文字颜色 3 2 3 2 2" xfId="3338"/>
    <cellStyle name="60% - 强调文字颜色 3 2 3 3" xfId="2851"/>
    <cellStyle name="60% - 强调文字颜色 3 2 3 3 2" xfId="2852"/>
    <cellStyle name="60% - 强调文字颜色 3 2 3 3 2 2" xfId="3340"/>
    <cellStyle name="60% - 强调文字颜色 3 2 3 3 3" xfId="3339"/>
    <cellStyle name="60% - 强调文字颜色 3 2 3 4" xfId="2853"/>
    <cellStyle name="60% - 强调文字颜色 3 2 3 4 2" xfId="3341"/>
    <cellStyle name="60% - 强调文字颜色 3 2 3 5" xfId="2854"/>
    <cellStyle name="60% - 强调文字颜色 3 2 3 5 2" xfId="3342"/>
    <cellStyle name="60% - 强调文字颜色 3 2 3 6" xfId="3337"/>
    <cellStyle name="60% - 强调文字颜色 3 2 3 6 2" xfId="3733"/>
    <cellStyle name="60% - 强调文字颜色 3 2 3 7" xfId="3070"/>
    <cellStyle name="60% - 强调文字颜色 3 2 3 8" xfId="3772"/>
    <cellStyle name="60% - 强调文字颜色 3 2 3 9" xfId="3786"/>
    <cellStyle name="60% - 强调文字颜色 3 2 4" xfId="679"/>
    <cellStyle name="60% - 强调文字颜色 3 2 4 2" xfId="2855"/>
    <cellStyle name="60% - 强调文字颜色 3 2 4 2 2" xfId="3344"/>
    <cellStyle name="60% - 强调文字颜色 3 2 4 3" xfId="3343"/>
    <cellStyle name="60% - 强调文字颜色 3 2 5" xfId="382"/>
    <cellStyle name="60% - 强调文字颜色 3 2 5 2" xfId="1029"/>
    <cellStyle name="60% - 强调文字颜色 3 2 5 3" xfId="2420"/>
    <cellStyle name="60% - 强调文字颜色 3 2 6" xfId="2330"/>
    <cellStyle name="60% - 强调文字颜色 3 2 6 2" xfId="2584"/>
    <cellStyle name="60% - 强调文字颜色 3 2 7" xfId="3815"/>
    <cellStyle name="60% - 强调文字颜色 3 2 8" xfId="2163"/>
    <cellStyle name="60% - 强调文字颜色 4 2" xfId="38"/>
    <cellStyle name="60% - 强调文字颜色 4 2 2" xfId="124"/>
    <cellStyle name="60% - 强调文字颜色 4 2 2 2" xfId="389"/>
    <cellStyle name="60% - 强调文字颜色 4 2 2 2 2" xfId="1036"/>
    <cellStyle name="60% - 强调文字颜色 4 2 2 2 2 2" xfId="3346"/>
    <cellStyle name="60% - 强调文字颜色 4 2 2 2 3" xfId="2856"/>
    <cellStyle name="60% - 强调文字颜色 4 2 2 2 3 2" xfId="2857"/>
    <cellStyle name="60% - 强调文字颜色 4 2 2 2 3 2 2" xfId="3348"/>
    <cellStyle name="60% - 强调文字颜色 4 2 2 2 3 3" xfId="3347"/>
    <cellStyle name="60% - 强调文字颜色 4 2 2 2 4" xfId="2858"/>
    <cellStyle name="60% - 强调文字颜色 4 2 2 2 4 2" xfId="3349"/>
    <cellStyle name="60% - 强调文字颜色 4 2 2 2 5" xfId="2859"/>
    <cellStyle name="60% - 强调文字颜色 4 2 2 2 5 2" xfId="3350"/>
    <cellStyle name="60% - 强调文字颜色 4 2 2 2 6" xfId="3345"/>
    <cellStyle name="60% - 强调文字颜色 4 2 2 3" xfId="390"/>
    <cellStyle name="60% - 强调文字颜色 4 2 2 3 2" xfId="1037"/>
    <cellStyle name="60% - 强调文字颜色 4 2 2 3 2 2" xfId="3352"/>
    <cellStyle name="60% - 强调文字颜色 4 2 2 3 3" xfId="3351"/>
    <cellStyle name="60% - 强调文字颜色 4 2 2 4" xfId="759"/>
    <cellStyle name="60% - 强调文字颜色 4 2 2 4 2" xfId="2693"/>
    <cellStyle name="60% - 强调文字颜色 4 2 2 4 3" xfId="2487"/>
    <cellStyle name="60% - 强调文字颜色 4 2 2 5" xfId="388"/>
    <cellStyle name="60% - 强调文字颜色 4 2 2 5 2" xfId="1035"/>
    <cellStyle name="60% - 强调文字颜色 4 2 2 6" xfId="2333"/>
    <cellStyle name="60% - 强调文字颜色 4 2 2 6 2" xfId="2587"/>
    <cellStyle name="60% - 强调文字颜色 4 2 2 7" xfId="2240"/>
    <cellStyle name="60% - 强调文字颜色 4 2 3" xfId="391"/>
    <cellStyle name="60% - 强调文字颜色 4 2 3 2" xfId="1038"/>
    <cellStyle name="60% - 强调文字颜色 4 2 3 2 2" xfId="3354"/>
    <cellStyle name="60% - 强调文字颜色 4 2 3 3" xfId="2860"/>
    <cellStyle name="60% - 强调文字颜色 4 2 3 3 2" xfId="2861"/>
    <cellStyle name="60% - 强调文字颜色 4 2 3 3 2 2" xfId="3356"/>
    <cellStyle name="60% - 强调文字颜色 4 2 3 3 3" xfId="3355"/>
    <cellStyle name="60% - 强调文字颜色 4 2 3 4" xfId="2862"/>
    <cellStyle name="60% - 强调文字颜色 4 2 3 4 2" xfId="3357"/>
    <cellStyle name="60% - 强调文字颜色 4 2 3 5" xfId="2863"/>
    <cellStyle name="60% - 强调文字颜色 4 2 3 5 2" xfId="3358"/>
    <cellStyle name="60% - 强调文字颜色 4 2 3 6" xfId="3353"/>
    <cellStyle name="60% - 强调文字颜色 4 2 3 6 2" xfId="3734"/>
    <cellStyle name="60% - 强调文字颜色 4 2 3 7" xfId="3071"/>
    <cellStyle name="60% - 强调文字颜色 4 2 3 8" xfId="3885"/>
    <cellStyle name="60% - 强调文字颜色 4 2 3 9" xfId="3835"/>
    <cellStyle name="60% - 强调文字颜色 4 2 4" xfId="680"/>
    <cellStyle name="60% - 强调文字颜色 4 2 4 2" xfId="2864"/>
    <cellStyle name="60% - 强调文字颜色 4 2 4 2 2" xfId="3360"/>
    <cellStyle name="60% - 强调文字颜色 4 2 4 3" xfId="3359"/>
    <cellStyle name="60% - 强调文字颜色 4 2 5" xfId="387"/>
    <cellStyle name="60% - 强调文字颜色 4 2 5 2" xfId="1034"/>
    <cellStyle name="60% - 强调文字颜色 4 2 5 3" xfId="2422"/>
    <cellStyle name="60% - 强调文字颜色 4 2 6" xfId="2332"/>
    <cellStyle name="60% - 强调文字颜色 4 2 6 2" xfId="2586"/>
    <cellStyle name="60% - 强调文字颜色 4 2 7" xfId="3839"/>
    <cellStyle name="60% - 强调文字颜色 4 2 8" xfId="2165"/>
    <cellStyle name="60% - 强调文字颜色 5 2" xfId="39"/>
    <cellStyle name="60% - 强调文字颜色 5 2 2" xfId="125"/>
    <cellStyle name="60% - 强调文字颜色 5 2 2 2" xfId="394"/>
    <cellStyle name="60% - 强调文字颜色 5 2 2 2 2" xfId="1041"/>
    <cellStyle name="60% - 强调文字颜色 5 2 2 2 2 2" xfId="3362"/>
    <cellStyle name="60% - 强调文字颜色 5 2 2 2 3" xfId="2865"/>
    <cellStyle name="60% - 强调文字颜色 5 2 2 2 3 2" xfId="2866"/>
    <cellStyle name="60% - 强调文字颜色 5 2 2 2 3 2 2" xfId="3364"/>
    <cellStyle name="60% - 强调文字颜色 5 2 2 2 3 3" xfId="3363"/>
    <cellStyle name="60% - 强调文字颜色 5 2 2 2 4" xfId="2867"/>
    <cellStyle name="60% - 强调文字颜色 5 2 2 2 4 2" xfId="3365"/>
    <cellStyle name="60% - 强调文字颜色 5 2 2 2 5" xfId="2868"/>
    <cellStyle name="60% - 强调文字颜色 5 2 2 2 5 2" xfId="3366"/>
    <cellStyle name="60% - 强调文字颜色 5 2 2 2 6" xfId="3361"/>
    <cellStyle name="60% - 强调文字颜色 5 2 2 3" xfId="395"/>
    <cellStyle name="60% - 强调文字颜色 5 2 2 3 2" xfId="1042"/>
    <cellStyle name="60% - 强调文字颜色 5 2 2 3 2 2" xfId="3368"/>
    <cellStyle name="60% - 强调文字颜色 5 2 2 3 3" xfId="3367"/>
    <cellStyle name="60% - 强调文字颜色 5 2 2 4" xfId="760"/>
    <cellStyle name="60% - 强调文字颜色 5 2 2 4 2" xfId="2694"/>
    <cellStyle name="60% - 强调文字颜色 5 2 2 4 3" xfId="2488"/>
    <cellStyle name="60% - 强调文字颜色 5 2 2 5" xfId="393"/>
    <cellStyle name="60% - 强调文字颜色 5 2 2 5 2" xfId="1040"/>
    <cellStyle name="60% - 强调文字颜色 5 2 2 6" xfId="2335"/>
    <cellStyle name="60% - 强调文字颜色 5 2 2 6 2" xfId="2589"/>
    <cellStyle name="60% - 强调文字颜色 5 2 2 7" xfId="2241"/>
    <cellStyle name="60% - 强调文字颜色 5 2 3" xfId="396"/>
    <cellStyle name="60% - 强调文字颜色 5 2 3 2" xfId="1043"/>
    <cellStyle name="60% - 强调文字颜色 5 2 3 2 2" xfId="3370"/>
    <cellStyle name="60% - 强调文字颜色 5 2 3 3" xfId="2869"/>
    <cellStyle name="60% - 强调文字颜色 5 2 3 3 2" xfId="2870"/>
    <cellStyle name="60% - 强调文字颜色 5 2 3 3 2 2" xfId="3372"/>
    <cellStyle name="60% - 强调文字颜色 5 2 3 3 3" xfId="3371"/>
    <cellStyle name="60% - 强调文字颜色 5 2 3 4" xfId="2871"/>
    <cellStyle name="60% - 强调文字颜色 5 2 3 4 2" xfId="3373"/>
    <cellStyle name="60% - 强调文字颜色 5 2 3 5" xfId="2872"/>
    <cellStyle name="60% - 强调文字颜色 5 2 3 5 2" xfId="3374"/>
    <cellStyle name="60% - 强调文字颜色 5 2 3 6" xfId="3369"/>
    <cellStyle name="60% - 强调文字颜色 5 2 3 6 2" xfId="3735"/>
    <cellStyle name="60% - 强调文字颜色 5 2 3 7" xfId="3072"/>
    <cellStyle name="60% - 强调文字颜色 5 2 3 8" xfId="3801"/>
    <cellStyle name="60% - 强调文字颜色 5 2 3 9" xfId="2198"/>
    <cellStyle name="60% - 强调文字颜色 5 2 4" xfId="681"/>
    <cellStyle name="60% - 强调文字颜色 5 2 4 2" xfId="2873"/>
    <cellStyle name="60% - 强调文字颜色 5 2 4 2 2" xfId="3376"/>
    <cellStyle name="60% - 强调文字颜色 5 2 4 3" xfId="3375"/>
    <cellStyle name="60% - 强调文字颜色 5 2 5" xfId="392"/>
    <cellStyle name="60% - 强调文字颜色 5 2 5 2" xfId="1039"/>
    <cellStyle name="60% - 强调文字颜色 5 2 5 3" xfId="2423"/>
    <cellStyle name="60% - 强调文字颜色 5 2 6" xfId="2334"/>
    <cellStyle name="60% - 强调文字颜色 5 2 6 2" xfId="2588"/>
    <cellStyle name="60% - 强调文字颜色 5 2 7" xfId="3877"/>
    <cellStyle name="60% - 强调文字颜色 5 2 8" xfId="2166"/>
    <cellStyle name="60% - 强调文字颜色 6 2" xfId="40"/>
    <cellStyle name="60% - 强调文字颜色 6 2 2" xfId="126"/>
    <cellStyle name="60% - 强调文字颜色 6 2 2 2" xfId="399"/>
    <cellStyle name="60% - 强调文字颜色 6 2 2 2 2" xfId="1046"/>
    <cellStyle name="60% - 强调文字颜色 6 2 2 2 2 2" xfId="3378"/>
    <cellStyle name="60% - 强调文字颜色 6 2 2 2 3" xfId="2874"/>
    <cellStyle name="60% - 强调文字颜色 6 2 2 2 3 2" xfId="2875"/>
    <cellStyle name="60% - 强调文字颜色 6 2 2 2 3 2 2" xfId="3380"/>
    <cellStyle name="60% - 强调文字颜色 6 2 2 2 3 3" xfId="3379"/>
    <cellStyle name="60% - 强调文字颜色 6 2 2 2 4" xfId="2876"/>
    <cellStyle name="60% - 强调文字颜色 6 2 2 2 4 2" xfId="3381"/>
    <cellStyle name="60% - 强调文字颜色 6 2 2 2 5" xfId="2877"/>
    <cellStyle name="60% - 强调文字颜色 6 2 2 2 5 2" xfId="3382"/>
    <cellStyle name="60% - 强调文字颜色 6 2 2 2 6" xfId="3377"/>
    <cellStyle name="60% - 强调文字颜色 6 2 2 3" xfId="400"/>
    <cellStyle name="60% - 强调文字颜色 6 2 2 3 2" xfId="1047"/>
    <cellStyle name="60% - 强调文字颜色 6 2 2 3 2 2" xfId="3384"/>
    <cellStyle name="60% - 强调文字颜色 6 2 2 3 3" xfId="3383"/>
    <cellStyle name="60% - 强调文字颜色 6 2 2 4" xfId="761"/>
    <cellStyle name="60% - 强调文字颜色 6 2 2 4 2" xfId="2695"/>
    <cellStyle name="60% - 强调文字颜色 6 2 2 4 3" xfId="2489"/>
    <cellStyle name="60% - 强调文字颜色 6 2 2 5" xfId="398"/>
    <cellStyle name="60% - 强调文字颜色 6 2 2 5 2" xfId="1045"/>
    <cellStyle name="60% - 强调文字颜色 6 2 2 6" xfId="2337"/>
    <cellStyle name="60% - 强调文字颜色 6 2 2 6 2" xfId="2591"/>
    <cellStyle name="60% - 强调文字颜色 6 2 2 7" xfId="2242"/>
    <cellStyle name="60% - 强调文字颜色 6 2 3" xfId="401"/>
    <cellStyle name="60% - 强调文字颜色 6 2 3 2" xfId="1048"/>
    <cellStyle name="60% - 强调文字颜色 6 2 3 2 2" xfId="3386"/>
    <cellStyle name="60% - 强调文字颜色 6 2 3 3" xfId="2878"/>
    <cellStyle name="60% - 强调文字颜色 6 2 3 3 2" xfId="2879"/>
    <cellStyle name="60% - 强调文字颜色 6 2 3 3 2 2" xfId="3388"/>
    <cellStyle name="60% - 强调文字颜色 6 2 3 3 3" xfId="3387"/>
    <cellStyle name="60% - 强调文字颜色 6 2 3 4" xfId="2880"/>
    <cellStyle name="60% - 强调文字颜色 6 2 3 4 2" xfId="3389"/>
    <cellStyle name="60% - 强调文字颜色 6 2 3 5" xfId="2881"/>
    <cellStyle name="60% - 强调文字颜色 6 2 3 5 2" xfId="3390"/>
    <cellStyle name="60% - 强调文字颜色 6 2 3 6" xfId="3385"/>
    <cellStyle name="60% - 强调文字颜色 6 2 3 6 2" xfId="3736"/>
    <cellStyle name="60% - 强调文字颜色 6 2 3 7" xfId="3073"/>
    <cellStyle name="60% - 强调文字颜色 6 2 3 8" xfId="3812"/>
    <cellStyle name="60% - 强调文字颜色 6 2 3 9" xfId="3802"/>
    <cellStyle name="60% - 强调文字颜色 6 2 4" xfId="682"/>
    <cellStyle name="60% - 强调文字颜色 6 2 4 2" xfId="2882"/>
    <cellStyle name="60% - 强调文字颜色 6 2 4 2 2" xfId="3392"/>
    <cellStyle name="60% - 强调文字颜色 6 2 4 3" xfId="3391"/>
    <cellStyle name="60% - 强调文字颜色 6 2 5" xfId="397"/>
    <cellStyle name="60% - 强调文字颜色 6 2 5 2" xfId="1044"/>
    <cellStyle name="60% - 强调文字颜色 6 2 5 3" xfId="2424"/>
    <cellStyle name="60% - 强调文字颜色 6 2 6" xfId="2336"/>
    <cellStyle name="60% - 强调文字颜色 6 2 6 2" xfId="2590"/>
    <cellStyle name="60% - 强调文字颜色 6 2 7" xfId="3883"/>
    <cellStyle name="60% - 强调文字颜色 6 2 8" xfId="2167"/>
    <cellStyle name="Accent1" xfId="41"/>
    <cellStyle name="Accent1 2" xfId="127"/>
    <cellStyle name="Accent1 2 2" xfId="404"/>
    <cellStyle name="Accent1 2 2 2" xfId="1051"/>
    <cellStyle name="Accent1 2 3" xfId="405"/>
    <cellStyle name="Accent1 2 3 2" xfId="1052"/>
    <cellStyle name="Accent1 2 4" xfId="762"/>
    <cellStyle name="Accent1 2 4 2" xfId="2696"/>
    <cellStyle name="Accent1 2 4 3" xfId="2490"/>
    <cellStyle name="Accent1 2 5" xfId="403"/>
    <cellStyle name="Accent1 2 5 2" xfId="1050"/>
    <cellStyle name="Accent1 2 6" xfId="2339"/>
    <cellStyle name="Accent1 2 6 2" xfId="2594"/>
    <cellStyle name="Accent1 2 7" xfId="2243"/>
    <cellStyle name="Accent1 3" xfId="406"/>
    <cellStyle name="Accent1 3 2" xfId="1053"/>
    <cellStyle name="Accent1 3 3" xfId="3863"/>
    <cellStyle name="Accent1 4" xfId="683"/>
    <cellStyle name="Accent1 5" xfId="402"/>
    <cellStyle name="Accent1 5 2" xfId="1049"/>
    <cellStyle name="Accent1 5 3" xfId="2425"/>
    <cellStyle name="Accent1 6" xfId="2338"/>
    <cellStyle name="Accent1 6 2" xfId="2593"/>
    <cellStyle name="Accent1 7" xfId="2168"/>
    <cellStyle name="Accent2" xfId="42"/>
    <cellStyle name="Accent2 2" xfId="128"/>
    <cellStyle name="Accent2 2 2" xfId="409"/>
    <cellStyle name="Accent2 2 2 2" xfId="1056"/>
    <cellStyle name="Accent2 2 3" xfId="410"/>
    <cellStyle name="Accent2 2 3 2" xfId="1057"/>
    <cellStyle name="Accent2 2 4" xfId="763"/>
    <cellStyle name="Accent2 2 4 2" xfId="2697"/>
    <cellStyle name="Accent2 2 4 3" xfId="2491"/>
    <cellStyle name="Accent2 2 5" xfId="408"/>
    <cellStyle name="Accent2 2 5 2" xfId="1055"/>
    <cellStyle name="Accent2 2 6" xfId="2341"/>
    <cellStyle name="Accent2 2 6 2" xfId="2596"/>
    <cellStyle name="Accent2 2 7" xfId="2244"/>
    <cellStyle name="Accent2 3" xfId="411"/>
    <cellStyle name="Accent2 3 2" xfId="1058"/>
    <cellStyle name="Accent2 3 3" xfId="3856"/>
    <cellStyle name="Accent2 4" xfId="684"/>
    <cellStyle name="Accent2 5" xfId="407"/>
    <cellStyle name="Accent2 5 2" xfId="1054"/>
    <cellStyle name="Accent2 5 3" xfId="2426"/>
    <cellStyle name="Accent2 6" xfId="2340"/>
    <cellStyle name="Accent2 6 2" xfId="2595"/>
    <cellStyle name="Accent2 7" xfId="2169"/>
    <cellStyle name="Accent3" xfId="43"/>
    <cellStyle name="Accent3 2" xfId="129"/>
    <cellStyle name="Accent3 2 2" xfId="414"/>
    <cellStyle name="Accent3 2 2 2" xfId="1061"/>
    <cellStyle name="Accent3 2 3" xfId="415"/>
    <cellStyle name="Accent3 2 3 2" xfId="1062"/>
    <cellStyle name="Accent3 2 4" xfId="764"/>
    <cellStyle name="Accent3 2 4 2" xfId="2698"/>
    <cellStyle name="Accent3 2 4 3" xfId="2492"/>
    <cellStyle name="Accent3 2 5" xfId="413"/>
    <cellStyle name="Accent3 2 5 2" xfId="1060"/>
    <cellStyle name="Accent3 2 6" xfId="2343"/>
    <cellStyle name="Accent3 2 6 2" xfId="2598"/>
    <cellStyle name="Accent3 2 7" xfId="2245"/>
    <cellStyle name="Accent3 3" xfId="416"/>
    <cellStyle name="Accent3 3 2" xfId="1063"/>
    <cellStyle name="Accent3 3 3" xfId="3874"/>
    <cellStyle name="Accent3 4" xfId="685"/>
    <cellStyle name="Accent3 5" xfId="412"/>
    <cellStyle name="Accent3 5 2" xfId="1059"/>
    <cellStyle name="Accent3 5 3" xfId="2427"/>
    <cellStyle name="Accent3 6" xfId="2342"/>
    <cellStyle name="Accent3 6 2" xfId="2597"/>
    <cellStyle name="Accent3 7" xfId="2170"/>
    <cellStyle name="Accent4" xfId="44"/>
    <cellStyle name="Accent4 2" xfId="130"/>
    <cellStyle name="Accent4 2 2" xfId="419"/>
    <cellStyle name="Accent4 2 2 2" xfId="1066"/>
    <cellStyle name="Accent4 2 3" xfId="420"/>
    <cellStyle name="Accent4 2 3 2" xfId="1067"/>
    <cellStyle name="Accent4 2 4" xfId="765"/>
    <cellStyle name="Accent4 2 4 2" xfId="2699"/>
    <cellStyle name="Accent4 2 4 3" xfId="2493"/>
    <cellStyle name="Accent4 2 5" xfId="418"/>
    <cellStyle name="Accent4 2 5 2" xfId="1065"/>
    <cellStyle name="Accent4 2 6" xfId="2345"/>
    <cellStyle name="Accent4 2 6 2" xfId="2600"/>
    <cellStyle name="Accent4 2 7" xfId="2246"/>
    <cellStyle name="Accent4 3" xfId="421"/>
    <cellStyle name="Accent4 3 2" xfId="1068"/>
    <cellStyle name="Accent4 3 3" xfId="3832"/>
    <cellStyle name="Accent4 4" xfId="686"/>
    <cellStyle name="Accent4 5" xfId="417"/>
    <cellStyle name="Accent4 5 2" xfId="1064"/>
    <cellStyle name="Accent4 5 3" xfId="2428"/>
    <cellStyle name="Accent4 6" xfId="2344"/>
    <cellStyle name="Accent4 6 2" xfId="2599"/>
    <cellStyle name="Accent4 7" xfId="2171"/>
    <cellStyle name="Accent5" xfId="45"/>
    <cellStyle name="Accent5 2" xfId="131"/>
    <cellStyle name="Accent5 2 2" xfId="424"/>
    <cellStyle name="Accent5 2 2 2" xfId="1071"/>
    <cellStyle name="Accent5 2 3" xfId="425"/>
    <cellStyle name="Accent5 2 3 2" xfId="1072"/>
    <cellStyle name="Accent5 2 4" xfId="766"/>
    <cellStyle name="Accent5 2 4 2" xfId="2700"/>
    <cellStyle name="Accent5 2 4 3" xfId="2494"/>
    <cellStyle name="Accent5 2 5" xfId="423"/>
    <cellStyle name="Accent5 2 5 2" xfId="1070"/>
    <cellStyle name="Accent5 2 6" xfId="2347"/>
    <cellStyle name="Accent5 2 6 2" xfId="2602"/>
    <cellStyle name="Accent5 2 7" xfId="2247"/>
    <cellStyle name="Accent5 3" xfId="426"/>
    <cellStyle name="Accent5 3 2" xfId="1073"/>
    <cellStyle name="Accent5 3 3" xfId="3793"/>
    <cellStyle name="Accent5 4" xfId="687"/>
    <cellStyle name="Accent5 5" xfId="422"/>
    <cellStyle name="Accent5 5 2" xfId="1069"/>
    <cellStyle name="Accent5 5 3" xfId="2429"/>
    <cellStyle name="Accent5 6" xfId="2346"/>
    <cellStyle name="Accent5 6 2" xfId="2601"/>
    <cellStyle name="Accent5 7" xfId="2172"/>
    <cellStyle name="Accent6" xfId="46"/>
    <cellStyle name="Accent6 2" xfId="132"/>
    <cellStyle name="Accent6 2 2" xfId="429"/>
    <cellStyle name="Accent6 2 2 2" xfId="1076"/>
    <cellStyle name="Accent6 2 3" xfId="430"/>
    <cellStyle name="Accent6 2 3 2" xfId="1077"/>
    <cellStyle name="Accent6 2 4" xfId="767"/>
    <cellStyle name="Accent6 2 4 2" xfId="2701"/>
    <cellStyle name="Accent6 2 4 3" xfId="2495"/>
    <cellStyle name="Accent6 2 5" xfId="428"/>
    <cellStyle name="Accent6 2 5 2" xfId="1075"/>
    <cellStyle name="Accent6 2 6" xfId="2349"/>
    <cellStyle name="Accent6 2 6 2" xfId="2604"/>
    <cellStyle name="Accent6 2 7" xfId="2248"/>
    <cellStyle name="Accent6 3" xfId="431"/>
    <cellStyle name="Accent6 3 2" xfId="1078"/>
    <cellStyle name="Accent6 3 3" xfId="3787"/>
    <cellStyle name="Accent6 4" xfId="688"/>
    <cellStyle name="Accent6 5" xfId="427"/>
    <cellStyle name="Accent6 5 2" xfId="1074"/>
    <cellStyle name="Accent6 5 3" xfId="2430"/>
    <cellStyle name="Accent6 6" xfId="2348"/>
    <cellStyle name="Accent6 6 2" xfId="2603"/>
    <cellStyle name="Accent6 7" xfId="2173"/>
    <cellStyle name="Bad" xfId="47"/>
    <cellStyle name="Bad 2" xfId="133"/>
    <cellStyle name="Bad 2 2" xfId="434"/>
    <cellStyle name="Bad 2 2 2" xfId="1081"/>
    <cellStyle name="Bad 2 3" xfId="435"/>
    <cellStyle name="Bad 2 3 2" xfId="1082"/>
    <cellStyle name="Bad 2 4" xfId="768"/>
    <cellStyle name="Bad 2 4 2" xfId="2702"/>
    <cellStyle name="Bad 2 4 3" xfId="2496"/>
    <cellStyle name="Bad 2 5" xfId="433"/>
    <cellStyle name="Bad 2 5 2" xfId="1080"/>
    <cellStyle name="Bad 2 6" xfId="2351"/>
    <cellStyle name="Bad 2 6 2" xfId="2606"/>
    <cellStyle name="Bad 2 7" xfId="2249"/>
    <cellStyle name="Bad 3" xfId="436"/>
    <cellStyle name="Bad 3 2" xfId="1083"/>
    <cellStyle name="Bad 3 3" xfId="3779"/>
    <cellStyle name="Bad 4" xfId="689"/>
    <cellStyle name="Bad 5" xfId="432"/>
    <cellStyle name="Bad 5 2" xfId="1079"/>
    <cellStyle name="Bad 5 3" xfId="2431"/>
    <cellStyle name="Bad 6" xfId="2350"/>
    <cellStyle name="Bad 6 2" xfId="2605"/>
    <cellStyle name="Bad 7" xfId="2174"/>
    <cellStyle name="Calculation" xfId="48"/>
    <cellStyle name="Calculation 2" xfId="134"/>
    <cellStyle name="Calculation 2 2" xfId="208"/>
    <cellStyle name="Calculation 2 2 2" xfId="833"/>
    <cellStyle name="Calculation 2 2 2 2" xfId="1462"/>
    <cellStyle name="Calculation 2 2 3" xfId="439"/>
    <cellStyle name="Calculation 2 2 3 2" xfId="1086"/>
    <cellStyle name="Calculation 2 2 3 2 2" xfId="1499"/>
    <cellStyle name="Calculation 2 2 3 3" xfId="1380"/>
    <cellStyle name="Calculation 2 2 4" xfId="1365"/>
    <cellStyle name="Calculation 2 3" xfId="187"/>
    <cellStyle name="Calculation 2 3 2" xfId="812"/>
    <cellStyle name="Calculation 2 3 2 2" xfId="1441"/>
    <cellStyle name="Calculation 2 3 3" xfId="440"/>
    <cellStyle name="Calculation 2 3 3 2" xfId="1087"/>
    <cellStyle name="Calculation 2 3 3 2 2" xfId="1500"/>
    <cellStyle name="Calculation 2 3 3 3" xfId="1381"/>
    <cellStyle name="Calculation 2 3 4" xfId="1344"/>
    <cellStyle name="Calculation 2 4" xfId="769"/>
    <cellStyle name="Calculation 2 4 2" xfId="1430"/>
    <cellStyle name="Calculation 2 4 3" xfId="2497"/>
    <cellStyle name="Calculation 2 5" xfId="438"/>
    <cellStyle name="Calculation 2 5 2" xfId="1085"/>
    <cellStyle name="Calculation 2 5 2 2" xfId="1498"/>
    <cellStyle name="Calculation 2 5 3" xfId="1379"/>
    <cellStyle name="Calculation 2 6" xfId="1323"/>
    <cellStyle name="Calculation 2 6 2" xfId="2608"/>
    <cellStyle name="Calculation 2 7" xfId="2250"/>
    <cellStyle name="Calculation 3" xfId="197"/>
    <cellStyle name="Calculation 3 2" xfId="822"/>
    <cellStyle name="Calculation 3 2 2" xfId="1451"/>
    <cellStyle name="Calculation 3 3" xfId="441"/>
    <cellStyle name="Calculation 3 3 2" xfId="1088"/>
    <cellStyle name="Calculation 3 3 2 2" xfId="1501"/>
    <cellStyle name="Calculation 3 3 3" xfId="1382"/>
    <cellStyle name="Calculation 3 4" xfId="1354"/>
    <cellStyle name="Calculation 3 4 2" xfId="3866"/>
    <cellStyle name="Calculation 4" xfId="176"/>
    <cellStyle name="Calculation 4 2" xfId="1333"/>
    <cellStyle name="Calculation 5" xfId="437"/>
    <cellStyle name="Calculation 5 2" xfId="1084"/>
    <cellStyle name="Calculation 5 2 2" xfId="1497"/>
    <cellStyle name="Calculation 5 3" xfId="1378"/>
    <cellStyle name="Calculation 5 4" xfId="2432"/>
    <cellStyle name="Calculation 6" xfId="1312"/>
    <cellStyle name="Calculation 6 2" xfId="2607"/>
    <cellStyle name="Calculation 7" xfId="2175"/>
    <cellStyle name="Check Cell" xfId="49"/>
    <cellStyle name="Check Cell 2" xfId="135"/>
    <cellStyle name="Check Cell 2 2" xfId="444"/>
    <cellStyle name="Check Cell 2 2 2" xfId="1091"/>
    <cellStyle name="Check Cell 2 3" xfId="445"/>
    <cellStyle name="Check Cell 2 3 2" xfId="1092"/>
    <cellStyle name="Check Cell 2 4" xfId="770"/>
    <cellStyle name="Check Cell 2 4 2" xfId="2703"/>
    <cellStyle name="Check Cell 2 4 3" xfId="2498"/>
    <cellStyle name="Check Cell 2 5" xfId="443"/>
    <cellStyle name="Check Cell 2 5 2" xfId="1090"/>
    <cellStyle name="Check Cell 2 6" xfId="2353"/>
    <cellStyle name="Check Cell 2 6 2" xfId="2610"/>
    <cellStyle name="Check Cell 2 7" xfId="2251"/>
    <cellStyle name="Check Cell 3" xfId="446"/>
    <cellStyle name="Check Cell 3 2" xfId="1093"/>
    <cellStyle name="Check Cell 3 3" xfId="2195"/>
    <cellStyle name="Check Cell 4" xfId="690"/>
    <cellStyle name="Check Cell 5" xfId="442"/>
    <cellStyle name="Check Cell 5 2" xfId="1089"/>
    <cellStyle name="Check Cell 5 3" xfId="2433"/>
    <cellStyle name="Check Cell 6" xfId="2352"/>
    <cellStyle name="Check Cell 6 2" xfId="2609"/>
    <cellStyle name="Check Cell 7" xfId="2176"/>
    <cellStyle name="Explanatory Text" xfId="50"/>
    <cellStyle name="Explanatory Text 2" xfId="136"/>
    <cellStyle name="Explanatory Text 2 2" xfId="449"/>
    <cellStyle name="Explanatory Text 2 2 2" xfId="1096"/>
    <cellStyle name="Explanatory Text 2 3" xfId="450"/>
    <cellStyle name="Explanatory Text 2 3 2" xfId="1097"/>
    <cellStyle name="Explanatory Text 2 4" xfId="771"/>
    <cellStyle name="Explanatory Text 2 5" xfId="448"/>
    <cellStyle name="Explanatory Text 2 5 2" xfId="1095"/>
    <cellStyle name="Explanatory Text 3" xfId="451"/>
    <cellStyle name="Explanatory Text 3 2" xfId="1098"/>
    <cellStyle name="Explanatory Text 4" xfId="691"/>
    <cellStyle name="Explanatory Text 5" xfId="447"/>
    <cellStyle name="Explanatory Text 5 2" xfId="1094"/>
    <cellStyle name="Good" xfId="51"/>
    <cellStyle name="Good 2" xfId="137"/>
    <cellStyle name="Good 2 2" xfId="454"/>
    <cellStyle name="Good 2 2 2" xfId="1101"/>
    <cellStyle name="Good 2 3" xfId="455"/>
    <cellStyle name="Good 2 3 2" xfId="1102"/>
    <cellStyle name="Good 2 4" xfId="772"/>
    <cellStyle name="Good 2 4 2" xfId="2704"/>
    <cellStyle name="Good 2 4 3" xfId="2500"/>
    <cellStyle name="Good 2 5" xfId="453"/>
    <cellStyle name="Good 2 5 2" xfId="1100"/>
    <cellStyle name="Good 2 6" xfId="2355"/>
    <cellStyle name="Good 2 6 2" xfId="2612"/>
    <cellStyle name="Good 2 7" xfId="2253"/>
    <cellStyle name="Good 3" xfId="456"/>
    <cellStyle name="Good 3 2" xfId="1103"/>
    <cellStyle name="Good 3 3" xfId="3861"/>
    <cellStyle name="Good 4" xfId="692"/>
    <cellStyle name="Good 5" xfId="452"/>
    <cellStyle name="Good 5 2" xfId="1099"/>
    <cellStyle name="Good 5 3" xfId="2435"/>
    <cellStyle name="Good 6" xfId="2354"/>
    <cellStyle name="Good 6 2" xfId="2611"/>
    <cellStyle name="Good 7" xfId="2178"/>
    <cellStyle name="Heading 1" xfId="52"/>
    <cellStyle name="Heading 1 2" xfId="138"/>
    <cellStyle name="Heading 1 2 2" xfId="459"/>
    <cellStyle name="Heading 1 2 2 2" xfId="1106"/>
    <cellStyle name="Heading 1 2 3" xfId="460"/>
    <cellStyle name="Heading 1 2 3 2" xfId="1107"/>
    <cellStyle name="Heading 1 2 4" xfId="773"/>
    <cellStyle name="Heading 1 2 5" xfId="458"/>
    <cellStyle name="Heading 1 2 5 2" xfId="1105"/>
    <cellStyle name="Heading 1 3" xfId="461"/>
    <cellStyle name="Heading 1 3 2" xfId="1108"/>
    <cellStyle name="Heading 1 4" xfId="693"/>
    <cellStyle name="Heading 1 5" xfId="457"/>
    <cellStyle name="Heading 1 5 2" xfId="1104"/>
    <cellStyle name="Heading 2" xfId="53"/>
    <cellStyle name="Heading 2 2" xfId="139"/>
    <cellStyle name="Heading 2 2 2" xfId="464"/>
    <cellStyle name="Heading 2 2 2 2" xfId="1111"/>
    <cellStyle name="Heading 2 2 3" xfId="465"/>
    <cellStyle name="Heading 2 2 3 2" xfId="1112"/>
    <cellStyle name="Heading 2 2 4" xfId="774"/>
    <cellStyle name="Heading 2 2 5" xfId="463"/>
    <cellStyle name="Heading 2 2 5 2" xfId="1110"/>
    <cellStyle name="Heading 2 3" xfId="466"/>
    <cellStyle name="Heading 2 3 2" xfId="1113"/>
    <cellStyle name="Heading 2 4" xfId="694"/>
    <cellStyle name="Heading 2 5" xfId="462"/>
    <cellStyle name="Heading 2 5 2" xfId="1109"/>
    <cellStyle name="Heading 3" xfId="54"/>
    <cellStyle name="Heading 3 2" xfId="140"/>
    <cellStyle name="Heading 3 2 2" xfId="469"/>
    <cellStyle name="Heading 3 2 2 2" xfId="1116"/>
    <cellStyle name="Heading 3 2 3" xfId="470"/>
    <cellStyle name="Heading 3 2 3 2" xfId="1117"/>
    <cellStyle name="Heading 3 2 4" xfId="775"/>
    <cellStyle name="Heading 3 2 5" xfId="468"/>
    <cellStyle name="Heading 3 2 5 2" xfId="1115"/>
    <cellStyle name="Heading 3 3" xfId="471"/>
    <cellStyle name="Heading 3 3 2" xfId="1118"/>
    <cellStyle name="Heading 3 4" xfId="695"/>
    <cellStyle name="Heading 3 5" xfId="467"/>
    <cellStyle name="Heading 3 5 2" xfId="1114"/>
    <cellStyle name="Heading 4" xfId="55"/>
    <cellStyle name="Heading 4 2" xfId="141"/>
    <cellStyle name="Heading 4 2 2" xfId="474"/>
    <cellStyle name="Heading 4 2 2 2" xfId="1121"/>
    <cellStyle name="Heading 4 2 3" xfId="475"/>
    <cellStyle name="Heading 4 2 3 2" xfId="1122"/>
    <cellStyle name="Heading 4 2 4" xfId="776"/>
    <cellStyle name="Heading 4 2 5" xfId="473"/>
    <cellStyle name="Heading 4 2 5 2" xfId="1120"/>
    <cellStyle name="Heading 4 3" xfId="476"/>
    <cellStyle name="Heading 4 3 2" xfId="1123"/>
    <cellStyle name="Heading 4 4" xfId="696"/>
    <cellStyle name="Heading 4 5" xfId="472"/>
    <cellStyle name="Heading 4 5 2" xfId="1119"/>
    <cellStyle name="Input" xfId="56"/>
    <cellStyle name="Input 2" xfId="142"/>
    <cellStyle name="Input 2 2" xfId="209"/>
    <cellStyle name="Input 2 2 2" xfId="834"/>
    <cellStyle name="Input 2 2 2 2" xfId="1463"/>
    <cellStyle name="Input 2 2 3" xfId="479"/>
    <cellStyle name="Input 2 2 3 2" xfId="1126"/>
    <cellStyle name="Input 2 2 3 2 2" xfId="1504"/>
    <cellStyle name="Input 2 2 3 3" xfId="1385"/>
    <cellStyle name="Input 2 2 4" xfId="1366"/>
    <cellStyle name="Input 2 3" xfId="188"/>
    <cellStyle name="Input 2 3 2" xfId="813"/>
    <cellStyle name="Input 2 3 2 2" xfId="1442"/>
    <cellStyle name="Input 2 3 3" xfId="480"/>
    <cellStyle name="Input 2 3 3 2" xfId="1127"/>
    <cellStyle name="Input 2 3 3 2 2" xfId="1505"/>
    <cellStyle name="Input 2 3 3 3" xfId="1386"/>
    <cellStyle name="Input 2 3 4" xfId="1345"/>
    <cellStyle name="Input 2 4" xfId="777"/>
    <cellStyle name="Input 2 4 2" xfId="1431"/>
    <cellStyle name="Input 2 4 3" xfId="2451"/>
    <cellStyle name="Input 2 5" xfId="478"/>
    <cellStyle name="Input 2 5 2" xfId="1125"/>
    <cellStyle name="Input 2 5 2 2" xfId="1503"/>
    <cellStyle name="Input 2 5 3" xfId="1384"/>
    <cellStyle name="Input 2 6" xfId="1324"/>
    <cellStyle name="Input 2 6 2" xfId="2614"/>
    <cellStyle name="Input 2 7" xfId="2203"/>
    <cellStyle name="Input 3" xfId="198"/>
    <cellStyle name="Input 3 2" xfId="823"/>
    <cellStyle name="Input 3 2 2" xfId="1452"/>
    <cellStyle name="Input 3 3" xfId="481"/>
    <cellStyle name="Input 3 3 2" xfId="1128"/>
    <cellStyle name="Input 3 3 2 2" xfId="1506"/>
    <cellStyle name="Input 3 3 3" xfId="1387"/>
    <cellStyle name="Input 3 4" xfId="1355"/>
    <cellStyle name="Input 3 4 2" xfId="3897"/>
    <cellStyle name="Input 4" xfId="177"/>
    <cellStyle name="Input 4 2" xfId="1334"/>
    <cellStyle name="Input 5" xfId="477"/>
    <cellStyle name="Input 5 2" xfId="1124"/>
    <cellStyle name="Input 5 2 2" xfId="1502"/>
    <cellStyle name="Input 5 3" xfId="1383"/>
    <cellStyle name="Input 5 4" xfId="2386"/>
    <cellStyle name="Input 6" xfId="1313"/>
    <cellStyle name="Input 6 2" xfId="2613"/>
    <cellStyle name="Input 7" xfId="2129"/>
    <cellStyle name="Linked Cell" xfId="57"/>
    <cellStyle name="Linked Cell 2" xfId="143"/>
    <cellStyle name="Linked Cell 2 2" xfId="484"/>
    <cellStyle name="Linked Cell 2 2 2" xfId="1131"/>
    <cellStyle name="Linked Cell 2 3" xfId="485"/>
    <cellStyle name="Linked Cell 2 3 2" xfId="1132"/>
    <cellStyle name="Linked Cell 2 4" xfId="778"/>
    <cellStyle name="Linked Cell 2 5" xfId="483"/>
    <cellStyle name="Linked Cell 2 5 2" xfId="1130"/>
    <cellStyle name="Linked Cell 3" xfId="486"/>
    <cellStyle name="Linked Cell 3 2" xfId="1133"/>
    <cellStyle name="Linked Cell 4" xfId="697"/>
    <cellStyle name="Linked Cell 5" xfId="482"/>
    <cellStyle name="Linked Cell 5 2" xfId="1129"/>
    <cellStyle name="Neutral" xfId="58"/>
    <cellStyle name="Neutral 2" xfId="144"/>
    <cellStyle name="Neutral 2 2" xfId="489"/>
    <cellStyle name="Neutral 2 2 2" xfId="1136"/>
    <cellStyle name="Neutral 2 3" xfId="490"/>
    <cellStyle name="Neutral 2 3 2" xfId="1137"/>
    <cellStyle name="Neutral 2 4" xfId="779"/>
    <cellStyle name="Neutral 2 4 2" xfId="2705"/>
    <cellStyle name="Neutral 2 4 3" xfId="2486"/>
    <cellStyle name="Neutral 2 5" xfId="488"/>
    <cellStyle name="Neutral 2 5 2" xfId="1135"/>
    <cellStyle name="Neutral 2 6" xfId="2357"/>
    <cellStyle name="Neutral 2 6 2" xfId="2616"/>
    <cellStyle name="Neutral 2 7" xfId="2239"/>
    <cellStyle name="Neutral 3" xfId="491"/>
    <cellStyle name="Neutral 3 2" xfId="1138"/>
    <cellStyle name="Neutral 3 3" xfId="3873"/>
    <cellStyle name="Neutral 4" xfId="698"/>
    <cellStyle name="Neutral 5" xfId="487"/>
    <cellStyle name="Neutral 5 2" xfId="1134"/>
    <cellStyle name="Neutral 5 3" xfId="2421"/>
    <cellStyle name="Neutral 6" xfId="2356"/>
    <cellStyle name="Neutral 6 2" xfId="2615"/>
    <cellStyle name="Neutral 7" xfId="2164"/>
    <cellStyle name="Note" xfId="59"/>
    <cellStyle name="Note 2" xfId="145"/>
    <cellStyle name="Note 2 2" xfId="210"/>
    <cellStyle name="Note 2 2 2" xfId="835"/>
    <cellStyle name="Note 2 2 2 2" xfId="1464"/>
    <cellStyle name="Note 2 2 3" xfId="494"/>
    <cellStyle name="Note 2 2 3 2" xfId="1141"/>
    <cellStyle name="Note 2 2 3 2 2" xfId="1509"/>
    <cellStyle name="Note 2 2 3 3" xfId="1390"/>
    <cellStyle name="Note 2 2 4" xfId="1367"/>
    <cellStyle name="Note 2 3" xfId="189"/>
    <cellStyle name="Note 2 3 2" xfId="814"/>
    <cellStyle name="Note 2 3 2 2" xfId="1443"/>
    <cellStyle name="Note 2 3 3" xfId="495"/>
    <cellStyle name="Note 2 3 3 2" xfId="1142"/>
    <cellStyle name="Note 2 3 3 2 2" xfId="1510"/>
    <cellStyle name="Note 2 3 3 3" xfId="1391"/>
    <cellStyle name="Note 2 3 4" xfId="1346"/>
    <cellStyle name="Note 2 4" xfId="780"/>
    <cellStyle name="Note 2 4 2" xfId="1432"/>
    <cellStyle name="Note 2 4 3" xfId="2502"/>
    <cellStyle name="Note 2 5" xfId="493"/>
    <cellStyle name="Note 2 5 2" xfId="1140"/>
    <cellStyle name="Note 2 5 2 2" xfId="1508"/>
    <cellStyle name="Note 2 5 3" xfId="1389"/>
    <cellStyle name="Note 2 6" xfId="1325"/>
    <cellStyle name="Note 2 6 2" xfId="2618"/>
    <cellStyle name="Note 2 7" xfId="2255"/>
    <cellStyle name="Note 3" xfId="199"/>
    <cellStyle name="Note 3 2" xfId="824"/>
    <cellStyle name="Note 3 2 2" xfId="1453"/>
    <cellStyle name="Note 3 3" xfId="496"/>
    <cellStyle name="Note 3 3 2" xfId="1143"/>
    <cellStyle name="Note 3 3 2 2" xfId="1511"/>
    <cellStyle name="Note 3 3 3" xfId="1392"/>
    <cellStyle name="Note 3 4" xfId="1356"/>
    <cellStyle name="Note 3 4 2" xfId="3896"/>
    <cellStyle name="Note 4" xfId="178"/>
    <cellStyle name="Note 4 2" xfId="1335"/>
    <cellStyle name="Note 5" xfId="492"/>
    <cellStyle name="Note 5 2" xfId="1139"/>
    <cellStyle name="Note 5 2 2" xfId="1507"/>
    <cellStyle name="Note 5 3" xfId="1388"/>
    <cellStyle name="Note 5 4" xfId="2437"/>
    <cellStyle name="Note 6" xfId="1314"/>
    <cellStyle name="Note 6 2" xfId="2617"/>
    <cellStyle name="Note 7" xfId="2180"/>
    <cellStyle name="Output" xfId="60"/>
    <cellStyle name="Output 2" xfId="146"/>
    <cellStyle name="Output 2 2" xfId="211"/>
    <cellStyle name="Output 2 2 2" xfId="836"/>
    <cellStyle name="Output 2 2 2 2" xfId="1465"/>
    <cellStyle name="Output 2 2 2 2 2" xfId="1663"/>
    <cellStyle name="Output 2 2 3" xfId="499"/>
    <cellStyle name="Output 2 2 3 2" xfId="1146"/>
    <cellStyle name="Output 2 2 3 2 2" xfId="1514"/>
    <cellStyle name="Output 2 2 3 2 2 2" xfId="1692"/>
    <cellStyle name="Output 2 2 3 3" xfId="1395"/>
    <cellStyle name="Output 2 2 3 3 2" xfId="1644"/>
    <cellStyle name="Output 2 2 4" xfId="1368"/>
    <cellStyle name="Output 2 2 4 2" xfId="1637"/>
    <cellStyle name="Output 2 3" xfId="190"/>
    <cellStyle name="Output 2 3 2" xfId="815"/>
    <cellStyle name="Output 2 3 2 2" xfId="1444"/>
    <cellStyle name="Output 2 3 2 2 2" xfId="1658"/>
    <cellStyle name="Output 2 3 3" xfId="500"/>
    <cellStyle name="Output 2 3 3 2" xfId="1147"/>
    <cellStyle name="Output 2 3 3 2 2" xfId="1515"/>
    <cellStyle name="Output 2 3 3 2 2 2" xfId="1693"/>
    <cellStyle name="Output 2 3 3 3" xfId="1396"/>
    <cellStyle name="Output 2 3 3 3 2" xfId="1645"/>
    <cellStyle name="Output 2 3 4" xfId="1347"/>
    <cellStyle name="Output 2 3 4 2" xfId="1632"/>
    <cellStyle name="Output 2 4" xfId="781"/>
    <cellStyle name="Output 2 4 2" xfId="1433"/>
    <cellStyle name="Output 2 4 2 2" xfId="1655"/>
    <cellStyle name="Output 2 4 3" xfId="2503"/>
    <cellStyle name="Output 2 5" xfId="498"/>
    <cellStyle name="Output 2 5 2" xfId="1145"/>
    <cellStyle name="Output 2 5 2 2" xfId="1513"/>
    <cellStyle name="Output 2 5 2 2 2" xfId="1691"/>
    <cellStyle name="Output 2 5 3" xfId="1394"/>
    <cellStyle name="Output 2 5 3 2" xfId="1643"/>
    <cellStyle name="Output 2 6" xfId="1326"/>
    <cellStyle name="Output 2 6 2" xfId="1627"/>
    <cellStyle name="Output 2 7" xfId="2256"/>
    <cellStyle name="Output 3" xfId="200"/>
    <cellStyle name="Output 3 2" xfId="825"/>
    <cellStyle name="Output 3 2 2" xfId="1454"/>
    <cellStyle name="Output 3 2 2 2" xfId="1660"/>
    <cellStyle name="Output 3 3" xfId="501"/>
    <cellStyle name="Output 3 3 2" xfId="1148"/>
    <cellStyle name="Output 3 3 2 2" xfId="1516"/>
    <cellStyle name="Output 3 3 2 2 2" xfId="1694"/>
    <cellStyle name="Output 3 3 3" xfId="1397"/>
    <cellStyle name="Output 3 3 3 2" xfId="1646"/>
    <cellStyle name="Output 3 4" xfId="1357"/>
    <cellStyle name="Output 3 4 2" xfId="1634"/>
    <cellStyle name="Output 3 4 3" xfId="3798"/>
    <cellStyle name="Output 4" xfId="179"/>
    <cellStyle name="Output 4 2" xfId="699"/>
    <cellStyle name="Output 4 2 2" xfId="1427"/>
    <cellStyle name="Output 4 2 2 2" xfId="1652"/>
    <cellStyle name="Output 4 3" xfId="1336"/>
    <cellStyle name="Output 4 3 2" xfId="1629"/>
    <cellStyle name="Output 5" xfId="497"/>
    <cellStyle name="Output 5 2" xfId="1144"/>
    <cellStyle name="Output 5 2 2" xfId="1512"/>
    <cellStyle name="Output 5 2 2 2" xfId="1690"/>
    <cellStyle name="Output 5 3" xfId="1393"/>
    <cellStyle name="Output 5 3 2" xfId="1642"/>
    <cellStyle name="Output 5 4" xfId="2438"/>
    <cellStyle name="Output 6" xfId="1315"/>
    <cellStyle name="Output 6 2" xfId="1624"/>
    <cellStyle name="Output 7" xfId="2181"/>
    <cellStyle name="Title" xfId="61"/>
    <cellStyle name="Title 2" xfId="147"/>
    <cellStyle name="Title 2 2" xfId="504"/>
    <cellStyle name="Title 2 2 2" xfId="1151"/>
    <cellStyle name="Title 2 3" xfId="505"/>
    <cellStyle name="Title 2 3 2" xfId="1152"/>
    <cellStyle name="Title 2 4" xfId="782"/>
    <cellStyle name="Title 2 5" xfId="503"/>
    <cellStyle name="Title 2 5 2" xfId="1150"/>
    <cellStyle name="Title 3" xfId="506"/>
    <cellStyle name="Title 3 2" xfId="1153"/>
    <cellStyle name="Title 4" xfId="700"/>
    <cellStyle name="Title 5" xfId="502"/>
    <cellStyle name="Title 5 2" xfId="1149"/>
    <cellStyle name="Total" xfId="62"/>
    <cellStyle name="Total 2" xfId="148"/>
    <cellStyle name="Total 2 2" xfId="212"/>
    <cellStyle name="Total 2 2 2" xfId="837"/>
    <cellStyle name="Total 2 2 2 2" xfId="1466"/>
    <cellStyle name="Total 2 2 3" xfId="509"/>
    <cellStyle name="Total 2 2 3 2" xfId="1156"/>
    <cellStyle name="Total 2 2 3 2 2" xfId="1519"/>
    <cellStyle name="Total 2 2 3 3" xfId="1400"/>
    <cellStyle name="Total 2 2 4" xfId="1369"/>
    <cellStyle name="Total 2 3" xfId="191"/>
    <cellStyle name="Total 2 3 2" xfId="816"/>
    <cellStyle name="Total 2 3 2 2" xfId="1445"/>
    <cellStyle name="Total 2 3 3" xfId="510"/>
    <cellStyle name="Total 2 3 3 2" xfId="1157"/>
    <cellStyle name="Total 2 3 3 2 2" xfId="1520"/>
    <cellStyle name="Total 2 3 3 3" xfId="1401"/>
    <cellStyle name="Total 2 3 4" xfId="1348"/>
    <cellStyle name="Total 2 4" xfId="783"/>
    <cellStyle name="Total 2 4 2" xfId="1434"/>
    <cellStyle name="Total 2 5" xfId="508"/>
    <cellStyle name="Total 2 5 2" xfId="1155"/>
    <cellStyle name="Total 2 5 2 2" xfId="1518"/>
    <cellStyle name="Total 2 5 3" xfId="1399"/>
    <cellStyle name="Total 2 6" xfId="1327"/>
    <cellStyle name="Total 3" xfId="201"/>
    <cellStyle name="Total 3 2" xfId="826"/>
    <cellStyle name="Total 3 2 2" xfId="1455"/>
    <cellStyle name="Total 3 3" xfId="511"/>
    <cellStyle name="Total 3 3 2" xfId="1158"/>
    <cellStyle name="Total 3 3 2 2" xfId="1521"/>
    <cellStyle name="Total 3 3 3" xfId="1402"/>
    <cellStyle name="Total 3 4" xfId="1358"/>
    <cellStyle name="Total 4" xfId="180"/>
    <cellStyle name="Total 4 2" xfId="1337"/>
    <cellStyle name="Total 5" xfId="507"/>
    <cellStyle name="Total 5 2" xfId="1154"/>
    <cellStyle name="Total 5 2 2" xfId="1517"/>
    <cellStyle name="Total 5 3" xfId="1398"/>
    <cellStyle name="Total 6" xfId="1316"/>
    <cellStyle name="Warning Text" xfId="63"/>
    <cellStyle name="Warning Text 2" xfId="149"/>
    <cellStyle name="Warning Text 2 2" xfId="514"/>
    <cellStyle name="Warning Text 2 2 2" xfId="1161"/>
    <cellStyle name="Warning Text 2 3" xfId="515"/>
    <cellStyle name="Warning Text 2 3 2" xfId="1162"/>
    <cellStyle name="Warning Text 2 4" xfId="784"/>
    <cellStyle name="Warning Text 2 5" xfId="513"/>
    <cellStyle name="Warning Text 2 5 2" xfId="1160"/>
    <cellStyle name="Warning Text 3" xfId="516"/>
    <cellStyle name="Warning Text 3 2" xfId="1163"/>
    <cellStyle name="Warning Text 4" xfId="701"/>
    <cellStyle name="Warning Text 5" xfId="512"/>
    <cellStyle name="Warning Text 5 2" xfId="1159"/>
    <cellStyle name="标题 1 2" xfId="64"/>
    <cellStyle name="标题 1 2 2" xfId="150"/>
    <cellStyle name="标题 1 2 2 2" xfId="519"/>
    <cellStyle name="标题 1 2 2 2 2" xfId="1166"/>
    <cellStyle name="标题 1 2 2 2 2 2" xfId="3394"/>
    <cellStyle name="标题 1 2 2 2 3" xfId="2883"/>
    <cellStyle name="标题 1 2 2 2 3 2" xfId="2884"/>
    <cellStyle name="标题 1 2 2 2 3 2 2" xfId="3396"/>
    <cellStyle name="标题 1 2 2 2 3 3" xfId="3395"/>
    <cellStyle name="标题 1 2 2 2 4" xfId="2885"/>
    <cellStyle name="标题 1 2 2 2 4 2" xfId="3397"/>
    <cellStyle name="标题 1 2 2 2 5" xfId="2886"/>
    <cellStyle name="标题 1 2 2 2 5 2" xfId="3398"/>
    <cellStyle name="标题 1 2 2 2 6" xfId="3393"/>
    <cellStyle name="标题 1 2 2 3" xfId="520"/>
    <cellStyle name="标题 1 2 2 3 2" xfId="1167"/>
    <cellStyle name="标题 1 2 2 3 2 2" xfId="3400"/>
    <cellStyle name="标题 1 2 2 3 3" xfId="3399"/>
    <cellStyle name="标题 1 2 2 4" xfId="785"/>
    <cellStyle name="标题 1 2 2 4 2" xfId="3737"/>
    <cellStyle name="标题 1 2 2 5" xfId="518"/>
    <cellStyle name="标题 1 2 2 5 2" xfId="1165"/>
    <cellStyle name="标题 1 2 3" xfId="521"/>
    <cellStyle name="标题 1 2 3 2" xfId="1168"/>
    <cellStyle name="标题 1 2 3 2 2" xfId="3402"/>
    <cellStyle name="标题 1 2 3 3" xfId="2887"/>
    <cellStyle name="标题 1 2 3 3 2" xfId="2888"/>
    <cellStyle name="标题 1 2 3 3 2 2" xfId="3404"/>
    <cellStyle name="标题 1 2 3 3 3" xfId="3403"/>
    <cellStyle name="标题 1 2 3 4" xfId="2889"/>
    <cellStyle name="标题 1 2 3 4 2" xfId="3405"/>
    <cellStyle name="标题 1 2 3 5" xfId="2890"/>
    <cellStyle name="标题 1 2 3 5 2" xfId="3406"/>
    <cellStyle name="标题 1 2 3 6" xfId="3401"/>
    <cellStyle name="标题 1 2 3 6 2" xfId="3738"/>
    <cellStyle name="标题 1 2 3 7" xfId="3075"/>
    <cellStyle name="标题 1 2 3 8" xfId="3881"/>
    <cellStyle name="标题 1 2 4" xfId="702"/>
    <cellStyle name="标题 1 2 4 2" xfId="2891"/>
    <cellStyle name="标题 1 2 4 2 2" xfId="3408"/>
    <cellStyle name="标题 1 2 4 3" xfId="3407"/>
    <cellStyle name="标题 1 2 5" xfId="517"/>
    <cellStyle name="标题 1 2 5 2" xfId="1164"/>
    <cellStyle name="标题 1 2 6" xfId="3074"/>
    <cellStyle name="标题 2 2" xfId="65"/>
    <cellStyle name="标题 2 2 2" xfId="151"/>
    <cellStyle name="标题 2 2 2 2" xfId="524"/>
    <cellStyle name="标题 2 2 2 2 2" xfId="1171"/>
    <cellStyle name="标题 2 2 2 2 2 2" xfId="3410"/>
    <cellStyle name="标题 2 2 2 2 3" xfId="2892"/>
    <cellStyle name="标题 2 2 2 2 3 2" xfId="2893"/>
    <cellStyle name="标题 2 2 2 2 3 2 2" xfId="3412"/>
    <cellStyle name="标题 2 2 2 2 3 3" xfId="3411"/>
    <cellStyle name="标题 2 2 2 2 4" xfId="2894"/>
    <cellStyle name="标题 2 2 2 2 4 2" xfId="3413"/>
    <cellStyle name="标题 2 2 2 2 5" xfId="2895"/>
    <cellStyle name="标题 2 2 2 2 5 2" xfId="3414"/>
    <cellStyle name="标题 2 2 2 2 6" xfId="3409"/>
    <cellStyle name="标题 2 2 2 3" xfId="525"/>
    <cellStyle name="标题 2 2 2 3 2" xfId="1172"/>
    <cellStyle name="标题 2 2 2 3 2 2" xfId="3416"/>
    <cellStyle name="标题 2 2 2 3 3" xfId="3415"/>
    <cellStyle name="标题 2 2 2 4" xfId="786"/>
    <cellStyle name="标题 2 2 2 4 2" xfId="3739"/>
    <cellStyle name="标题 2 2 2 5" xfId="523"/>
    <cellStyle name="标题 2 2 2 5 2" xfId="1170"/>
    <cellStyle name="标题 2 2 3" xfId="526"/>
    <cellStyle name="标题 2 2 3 2" xfId="1173"/>
    <cellStyle name="标题 2 2 3 2 2" xfId="3418"/>
    <cellStyle name="标题 2 2 3 3" xfId="2896"/>
    <cellStyle name="标题 2 2 3 3 2" xfId="2897"/>
    <cellStyle name="标题 2 2 3 3 2 2" xfId="3420"/>
    <cellStyle name="标题 2 2 3 3 3" xfId="3419"/>
    <cellStyle name="标题 2 2 3 4" xfId="2898"/>
    <cellStyle name="标题 2 2 3 4 2" xfId="3421"/>
    <cellStyle name="标题 2 2 3 5" xfId="2899"/>
    <cellStyle name="标题 2 2 3 5 2" xfId="3422"/>
    <cellStyle name="标题 2 2 3 6" xfId="3417"/>
    <cellStyle name="标题 2 2 3 6 2" xfId="3740"/>
    <cellStyle name="标题 2 2 3 7" xfId="3077"/>
    <cellStyle name="标题 2 2 3 8" xfId="3841"/>
    <cellStyle name="标题 2 2 4" xfId="703"/>
    <cellStyle name="标题 2 2 4 2" xfId="2900"/>
    <cellStyle name="标题 2 2 4 2 2" xfId="3424"/>
    <cellStyle name="标题 2 2 4 3" xfId="3423"/>
    <cellStyle name="标题 2 2 5" xfId="522"/>
    <cellStyle name="标题 2 2 5 2" xfId="1169"/>
    <cellStyle name="标题 2 2 6" xfId="3076"/>
    <cellStyle name="标题 3 2" xfId="66"/>
    <cellStyle name="标题 3 2 2" xfId="152"/>
    <cellStyle name="标题 3 2 2 2" xfId="529"/>
    <cellStyle name="标题 3 2 2 2 2" xfId="1176"/>
    <cellStyle name="标题 3 2 2 2 2 2" xfId="3426"/>
    <cellStyle name="标题 3 2 2 2 3" xfId="2901"/>
    <cellStyle name="标题 3 2 2 2 3 2" xfId="2902"/>
    <cellStyle name="标题 3 2 2 2 3 2 2" xfId="3428"/>
    <cellStyle name="标题 3 2 2 2 3 3" xfId="3427"/>
    <cellStyle name="标题 3 2 2 2 4" xfId="2903"/>
    <cellStyle name="标题 3 2 2 2 4 2" xfId="3429"/>
    <cellStyle name="标题 3 2 2 2 5" xfId="2904"/>
    <cellStyle name="标题 3 2 2 2 5 2" xfId="3430"/>
    <cellStyle name="标题 3 2 2 2 6" xfId="3425"/>
    <cellStyle name="标题 3 2 2 3" xfId="530"/>
    <cellStyle name="标题 3 2 2 3 2" xfId="1177"/>
    <cellStyle name="标题 3 2 2 3 2 2" xfId="3432"/>
    <cellStyle name="标题 3 2 2 3 3" xfId="3431"/>
    <cellStyle name="标题 3 2 2 4" xfId="787"/>
    <cellStyle name="标题 3 2 2 4 2" xfId="3741"/>
    <cellStyle name="标题 3 2 2 5" xfId="528"/>
    <cellStyle name="标题 3 2 2 5 2" xfId="1175"/>
    <cellStyle name="标题 3 2 3" xfId="531"/>
    <cellStyle name="标题 3 2 3 2" xfId="1178"/>
    <cellStyle name="标题 3 2 3 2 2" xfId="3434"/>
    <cellStyle name="标题 3 2 3 3" xfId="2905"/>
    <cellStyle name="标题 3 2 3 3 2" xfId="2906"/>
    <cellStyle name="标题 3 2 3 3 2 2" xfId="3436"/>
    <cellStyle name="标题 3 2 3 3 3" xfId="3435"/>
    <cellStyle name="标题 3 2 3 4" xfId="2907"/>
    <cellStyle name="标题 3 2 3 4 2" xfId="3437"/>
    <cellStyle name="标题 3 2 3 5" xfId="2908"/>
    <cellStyle name="标题 3 2 3 5 2" xfId="3438"/>
    <cellStyle name="标题 3 2 3 6" xfId="3433"/>
    <cellStyle name="标题 3 2 3 6 2" xfId="3742"/>
    <cellStyle name="标题 3 2 3 7" xfId="3079"/>
    <cellStyle name="标题 3 2 3 8" xfId="3867"/>
    <cellStyle name="标题 3 2 4" xfId="704"/>
    <cellStyle name="标题 3 2 4 2" xfId="2909"/>
    <cellStyle name="标题 3 2 4 2 2" xfId="3440"/>
    <cellStyle name="标题 3 2 4 3" xfId="3439"/>
    <cellStyle name="标题 3 2 5" xfId="527"/>
    <cellStyle name="标题 3 2 5 2" xfId="1174"/>
    <cellStyle name="标题 3 2 6" xfId="3078"/>
    <cellStyle name="标题 4 2" xfId="67"/>
    <cellStyle name="标题 4 2 2" xfId="153"/>
    <cellStyle name="标题 4 2 2 2" xfId="534"/>
    <cellStyle name="标题 4 2 2 2 2" xfId="1181"/>
    <cellStyle name="标题 4 2 2 2 2 2" xfId="3442"/>
    <cellStyle name="标题 4 2 2 2 3" xfId="2910"/>
    <cellStyle name="标题 4 2 2 2 3 2" xfId="2911"/>
    <cellStyle name="标题 4 2 2 2 3 2 2" xfId="3444"/>
    <cellStyle name="标题 4 2 2 2 3 3" xfId="3443"/>
    <cellStyle name="标题 4 2 2 2 4" xfId="2912"/>
    <cellStyle name="标题 4 2 2 2 4 2" xfId="3445"/>
    <cellStyle name="标题 4 2 2 2 5" xfId="2913"/>
    <cellStyle name="标题 4 2 2 2 5 2" xfId="3446"/>
    <cellStyle name="标题 4 2 2 2 6" xfId="3441"/>
    <cellStyle name="标题 4 2 2 3" xfId="535"/>
    <cellStyle name="标题 4 2 2 3 2" xfId="1182"/>
    <cellStyle name="标题 4 2 2 3 2 2" xfId="3448"/>
    <cellStyle name="标题 4 2 2 3 3" xfId="3447"/>
    <cellStyle name="标题 4 2 2 4" xfId="788"/>
    <cellStyle name="标题 4 2 2 4 2" xfId="3743"/>
    <cellStyle name="标题 4 2 2 5" xfId="533"/>
    <cellStyle name="标题 4 2 2 5 2" xfId="1180"/>
    <cellStyle name="标题 4 2 3" xfId="536"/>
    <cellStyle name="标题 4 2 3 2" xfId="1183"/>
    <cellStyle name="标题 4 2 3 2 2" xfId="3450"/>
    <cellStyle name="标题 4 2 3 3" xfId="2914"/>
    <cellStyle name="标题 4 2 3 3 2" xfId="2915"/>
    <cellStyle name="标题 4 2 3 3 2 2" xfId="3452"/>
    <cellStyle name="标题 4 2 3 3 3" xfId="3451"/>
    <cellStyle name="标题 4 2 3 4" xfId="2916"/>
    <cellStyle name="标题 4 2 3 4 2" xfId="3453"/>
    <cellStyle name="标题 4 2 3 5" xfId="2917"/>
    <cellStyle name="标题 4 2 3 5 2" xfId="3454"/>
    <cellStyle name="标题 4 2 3 6" xfId="3449"/>
    <cellStyle name="标题 4 2 3 6 2" xfId="3744"/>
    <cellStyle name="标题 4 2 3 7" xfId="3081"/>
    <cellStyle name="标题 4 2 3 8" xfId="3785"/>
    <cellStyle name="标题 4 2 4" xfId="705"/>
    <cellStyle name="标题 4 2 4 2" xfId="2918"/>
    <cellStyle name="标题 4 2 4 2 2" xfId="3456"/>
    <cellStyle name="标题 4 2 4 3" xfId="3455"/>
    <cellStyle name="标题 4 2 5" xfId="532"/>
    <cellStyle name="标题 4 2 5 2" xfId="1179"/>
    <cellStyle name="标题 4 2 6" xfId="3080"/>
    <cellStyle name="标题 5" xfId="68"/>
    <cellStyle name="标题 5 2" xfId="154"/>
    <cellStyle name="标题 5 2 2" xfId="539"/>
    <cellStyle name="标题 5 2 2 2" xfId="1186"/>
    <cellStyle name="标题 5 2 2 2 2" xfId="3458"/>
    <cellStyle name="标题 5 2 2 3" xfId="2919"/>
    <cellStyle name="标题 5 2 2 3 2" xfId="2920"/>
    <cellStyle name="标题 5 2 2 3 2 2" xfId="3460"/>
    <cellStyle name="标题 5 2 2 3 3" xfId="3459"/>
    <cellStyle name="标题 5 2 2 4" xfId="2921"/>
    <cellStyle name="标题 5 2 2 4 2" xfId="3461"/>
    <cellStyle name="标题 5 2 2 5" xfId="2922"/>
    <cellStyle name="标题 5 2 2 5 2" xfId="3462"/>
    <cellStyle name="标题 5 2 2 6" xfId="3457"/>
    <cellStyle name="标题 5 2 3" xfId="540"/>
    <cellStyle name="标题 5 2 3 2" xfId="1187"/>
    <cellStyle name="标题 5 2 3 2 2" xfId="3464"/>
    <cellStyle name="标题 5 2 3 3" xfId="3463"/>
    <cellStyle name="标题 5 2 4" xfId="789"/>
    <cellStyle name="标题 5 2 4 2" xfId="3745"/>
    <cellStyle name="标题 5 2 5" xfId="538"/>
    <cellStyle name="标题 5 2 5 2" xfId="1185"/>
    <cellStyle name="标题 5 3" xfId="541"/>
    <cellStyle name="标题 5 3 2" xfId="1188"/>
    <cellStyle name="标题 5 3 2 2" xfId="3466"/>
    <cellStyle name="标题 5 3 3" xfId="2923"/>
    <cellStyle name="标题 5 3 3 2" xfId="2924"/>
    <cellStyle name="标题 5 3 3 2 2" xfId="3468"/>
    <cellStyle name="标题 5 3 3 3" xfId="3467"/>
    <cellStyle name="标题 5 3 4" xfId="2925"/>
    <cellStyle name="标题 5 3 4 2" xfId="3469"/>
    <cellStyle name="标题 5 3 5" xfId="2926"/>
    <cellStyle name="标题 5 3 5 2" xfId="3470"/>
    <cellStyle name="标题 5 3 6" xfId="3465"/>
    <cellStyle name="标题 5 3 6 2" xfId="3746"/>
    <cellStyle name="标题 5 3 7" xfId="3083"/>
    <cellStyle name="标题 5 3 8" xfId="3827"/>
    <cellStyle name="标题 5 4" xfId="706"/>
    <cellStyle name="标题 5 4 2" xfId="2927"/>
    <cellStyle name="标题 5 4 2 2" xfId="3472"/>
    <cellStyle name="标题 5 4 3" xfId="3471"/>
    <cellStyle name="标题 5 5" xfId="537"/>
    <cellStyle name="标题 5 5 2" xfId="1184"/>
    <cellStyle name="标题 5 6" xfId="3082"/>
    <cellStyle name="差 2" xfId="69"/>
    <cellStyle name="差 2 2" xfId="155"/>
    <cellStyle name="差 2 2 2" xfId="544"/>
    <cellStyle name="差 2 2 2 2" xfId="1191"/>
    <cellStyle name="差 2 2 2 2 2" xfId="3474"/>
    <cellStyle name="差 2 2 2 3" xfId="2928"/>
    <cellStyle name="差 2 2 2 3 2" xfId="2929"/>
    <cellStyle name="差 2 2 2 3 2 2" xfId="3476"/>
    <cellStyle name="差 2 2 2 3 3" xfId="3475"/>
    <cellStyle name="差 2 2 2 4" xfId="2930"/>
    <cellStyle name="差 2 2 2 4 2" xfId="3477"/>
    <cellStyle name="差 2 2 2 5" xfId="2931"/>
    <cellStyle name="差 2 2 2 5 2" xfId="3478"/>
    <cellStyle name="差 2 2 2 6" xfId="3473"/>
    <cellStyle name="差 2 2 3" xfId="545"/>
    <cellStyle name="差 2 2 3 2" xfId="1192"/>
    <cellStyle name="差 2 2 3 2 2" xfId="3480"/>
    <cellStyle name="差 2 2 3 3" xfId="3479"/>
    <cellStyle name="差 2 2 4" xfId="790"/>
    <cellStyle name="差 2 2 4 2" xfId="2706"/>
    <cellStyle name="差 2 2 4 3" xfId="2504"/>
    <cellStyle name="差 2 2 5" xfId="543"/>
    <cellStyle name="差 2 2 5 2" xfId="1190"/>
    <cellStyle name="差 2 2 6" xfId="2359"/>
    <cellStyle name="差 2 2 6 2" xfId="2620"/>
    <cellStyle name="差 2 2 7" xfId="2257"/>
    <cellStyle name="差 2 3" xfId="546"/>
    <cellStyle name="差 2 3 2" xfId="1193"/>
    <cellStyle name="差 2 3 2 2" xfId="3482"/>
    <cellStyle name="差 2 3 3" xfId="2932"/>
    <cellStyle name="差 2 3 3 2" xfId="2933"/>
    <cellStyle name="差 2 3 3 2 2" xfId="3484"/>
    <cellStyle name="差 2 3 3 3" xfId="3483"/>
    <cellStyle name="差 2 3 4" xfId="2934"/>
    <cellStyle name="差 2 3 4 2" xfId="3485"/>
    <cellStyle name="差 2 3 5" xfId="2935"/>
    <cellStyle name="差 2 3 5 2" xfId="3486"/>
    <cellStyle name="差 2 3 6" xfId="3481"/>
    <cellStyle name="差 2 3 6 2" xfId="3747"/>
    <cellStyle name="差 2 3 7" xfId="3084"/>
    <cellStyle name="差 2 3 8" xfId="3819"/>
    <cellStyle name="差 2 3 9" xfId="2196"/>
    <cellStyle name="差 2 4" xfId="707"/>
    <cellStyle name="差 2 4 2" xfId="2936"/>
    <cellStyle name="差 2 4 2 2" xfId="3488"/>
    <cellStyle name="差 2 4 3" xfId="3487"/>
    <cellStyle name="差 2 5" xfId="542"/>
    <cellStyle name="差 2 5 2" xfId="1189"/>
    <cellStyle name="差 2 5 3" xfId="2439"/>
    <cellStyle name="差 2 6" xfId="2358"/>
    <cellStyle name="差 2 6 2" xfId="2619"/>
    <cellStyle name="差 2 7" xfId="3806"/>
    <cellStyle name="差 2 8" xfId="2183"/>
    <cellStyle name="常规" xfId="0" builtinId="0"/>
    <cellStyle name="常规 10" xfId="1929"/>
    <cellStyle name="常规 10 2" xfId="2123"/>
    <cellStyle name="常规 10 3" xfId="2122"/>
    <cellStyle name="常规 10 4" xfId="2646"/>
    <cellStyle name="常规 11" xfId="2518"/>
    <cellStyle name="常规 12" xfId="2517"/>
    <cellStyle name="常规 12 2" xfId="3909"/>
    <cellStyle name="常规 13" xfId="2592"/>
    <cellStyle name="常规 13 2" xfId="3911"/>
    <cellStyle name="常规 2" xfId="1"/>
    <cellStyle name="常规 2 2" xfId="156"/>
    <cellStyle name="常规 2 2 2" xfId="219"/>
    <cellStyle name="常规 2 2 2 2" xfId="844"/>
    <cellStyle name="常规 2 2 2 2 2" xfId="861"/>
    <cellStyle name="常规 2 2 2 2 2 2" xfId="1311"/>
    <cellStyle name="常规 2 2 2 2 2 2 2" xfId="1567"/>
    <cellStyle name="常规 2 2 2 2 2 2 2 2" xfId="1721"/>
    <cellStyle name="常规 2 2 2 2 2 2 3" xfId="1623"/>
    <cellStyle name="常规 2 2 2 2 2 2 4" xfId="3923"/>
    <cellStyle name="常规 2 2 2 2 2 3" xfId="1490"/>
    <cellStyle name="常规 2 2 2 2 2 3 2" xfId="1683"/>
    <cellStyle name="常规 2 2 2 2 2 4" xfId="1595"/>
    <cellStyle name="常规 2 2 2 2 2 5" xfId="2720"/>
    <cellStyle name="常规 2 2 2 2 3" xfId="1294"/>
    <cellStyle name="常规 2 2 2 2 3 2" xfId="1550"/>
    <cellStyle name="常规 2 2 2 2 3 2 2" xfId="1704"/>
    <cellStyle name="常规 2 2 2 2 3 3" xfId="1606"/>
    <cellStyle name="常规 2 2 2 2 4" xfId="1473"/>
    <cellStyle name="常规 2 2 2 2 4 2" xfId="1666"/>
    <cellStyle name="常规 2 2 2 2 5" xfId="1578"/>
    <cellStyle name="常规 2 2 2 2 6" xfId="2513"/>
    <cellStyle name="常规 2 2 2 3" xfId="549"/>
    <cellStyle name="常规 2 2 2 3 2" xfId="1196"/>
    <cellStyle name="常规 2 2 2 4" xfId="848"/>
    <cellStyle name="常规 2 2 2 4 2" xfId="1298"/>
    <cellStyle name="常规 2 2 2 4 2 2" xfId="1554"/>
    <cellStyle name="常规 2 2 2 4 2 2 2" xfId="1708"/>
    <cellStyle name="常规 2 2 2 4 2 3" xfId="1610"/>
    <cellStyle name="常规 2 2 2 4 2 4" xfId="3917"/>
    <cellStyle name="常规 2 2 2 4 3" xfId="1477"/>
    <cellStyle name="常规 2 2 2 4 3 2" xfId="1670"/>
    <cellStyle name="常规 2 2 2 4 4" xfId="1582"/>
    <cellStyle name="常规 2 2 2 4 5" xfId="2654"/>
    <cellStyle name="常规 2 2 2 5" xfId="856"/>
    <cellStyle name="常规 2 2 2 5 2" xfId="1306"/>
    <cellStyle name="常规 2 2 2 5 2 2" xfId="1562"/>
    <cellStyle name="常规 2 2 2 5 2 2 2" xfId="1716"/>
    <cellStyle name="常规 2 2 2 5 2 3" xfId="1618"/>
    <cellStyle name="常规 2 2 2 5 3" xfId="1485"/>
    <cellStyle name="常规 2 2 2 5 3 2" xfId="1678"/>
    <cellStyle name="常规 2 2 2 5 4" xfId="1590"/>
    <cellStyle name="常规 2 2 2 6" xfId="866"/>
    <cellStyle name="常规 2 2 2 6 2" xfId="1495"/>
    <cellStyle name="常规 2 2 2 6 2 2" xfId="1688"/>
    <cellStyle name="常规 2 2 2 6 3" xfId="1600"/>
    <cellStyle name="常规 2 2 2 7" xfId="1376"/>
    <cellStyle name="常规 2 2 2 7 2" xfId="1640"/>
    <cellStyle name="常规 2 2 2 8" xfId="1572"/>
    <cellStyle name="常规 2 2 3" xfId="791"/>
    <cellStyle name="常规 2 2 3 2" xfId="860"/>
    <cellStyle name="常规 2 2 3 2 2" xfId="1310"/>
    <cellStyle name="常规 2 2 3 2 2 2" xfId="1566"/>
    <cellStyle name="常规 2 2 3 2 2 2 2" xfId="1720"/>
    <cellStyle name="常规 2 2 3 2 2 3" xfId="1622"/>
    <cellStyle name="常规 2 2 3 2 3" xfId="1489"/>
    <cellStyle name="常规 2 2 3 2 3 2" xfId="1682"/>
    <cellStyle name="常规 2 2 3 2 4" xfId="1594"/>
    <cellStyle name="常规 2 2 3 3" xfId="855"/>
    <cellStyle name="常规 2 2 3 3 2" xfId="1305"/>
    <cellStyle name="常规 2 2 3 3 2 2" xfId="1561"/>
    <cellStyle name="常规 2 2 3 3 2 2 2" xfId="1715"/>
    <cellStyle name="常规 2 2 3 3 2 3" xfId="1617"/>
    <cellStyle name="常规 2 2 3 3 3" xfId="1484"/>
    <cellStyle name="常规 2 2 3 3 3 2" xfId="1677"/>
    <cellStyle name="常规 2 2 3 3 4" xfId="1589"/>
    <cellStyle name="常规 2 2 4" xfId="548"/>
    <cellStyle name="常规 2 2 4 2" xfId="858"/>
    <cellStyle name="常规 2 2 4 2 2" xfId="1308"/>
    <cellStyle name="常规 2 2 4 2 2 2" xfId="1564"/>
    <cellStyle name="常规 2 2 4 2 2 2 2" xfId="1718"/>
    <cellStyle name="常规 2 2 4 2 2 3" xfId="1620"/>
    <cellStyle name="常规 2 2 4 2 3" xfId="1487"/>
    <cellStyle name="常规 2 2 4 2 3 2" xfId="1680"/>
    <cellStyle name="常规 2 2 4 2 4" xfId="1592"/>
    <cellStyle name="常规 2 2 4 3" xfId="851"/>
    <cellStyle name="常规 2 2 4 3 2" xfId="1301"/>
    <cellStyle name="常规 2 2 4 3 2 2" xfId="1557"/>
    <cellStyle name="常规 2 2 4 3 2 2 2" xfId="1711"/>
    <cellStyle name="常规 2 2 4 3 2 3" xfId="1613"/>
    <cellStyle name="常规 2 2 4 3 3" xfId="1480"/>
    <cellStyle name="常规 2 2 4 3 3 2" xfId="1673"/>
    <cellStyle name="常规 2 2 4 3 4" xfId="1585"/>
    <cellStyle name="常规 2 2 4 4" xfId="1195"/>
    <cellStyle name="常规 2 2 5" xfId="846"/>
    <cellStyle name="常规 2 2 5 2" xfId="853"/>
    <cellStyle name="常规 2 2 5 2 2" xfId="1303"/>
    <cellStyle name="常规 2 2 5 2 2 2" xfId="1559"/>
    <cellStyle name="常规 2 2 5 2 2 2 2" xfId="1713"/>
    <cellStyle name="常规 2 2 5 2 2 3" xfId="1615"/>
    <cellStyle name="常规 2 2 5 2 3" xfId="1482"/>
    <cellStyle name="常规 2 2 5 2 3 2" xfId="1675"/>
    <cellStyle name="常规 2 2 5 2 4" xfId="1587"/>
    <cellStyle name="常规 2 2 5 3" xfId="1296"/>
    <cellStyle name="常规 2 2 5 3 2" xfId="1552"/>
    <cellStyle name="常规 2 2 5 3 2 2" xfId="1706"/>
    <cellStyle name="常规 2 2 5 3 3" xfId="1608"/>
    <cellStyle name="常规 2 2 5 4" xfId="1475"/>
    <cellStyle name="常规 2 2 5 4 2" xfId="1668"/>
    <cellStyle name="常规 2 2 5 5" xfId="1580"/>
    <cellStyle name="常规 2 2 5 6" xfId="2182"/>
    <cellStyle name="常规 2 2 6" xfId="850"/>
    <cellStyle name="常规 2 2 6 2" xfId="1300"/>
    <cellStyle name="常规 2 2 6 2 2" xfId="1556"/>
    <cellStyle name="常规 2 2 6 2 2 2" xfId="1710"/>
    <cellStyle name="常规 2 2 6 2 3" xfId="1612"/>
    <cellStyle name="常规 2 2 6 3" xfId="1479"/>
    <cellStyle name="常规 2 2 6 3 2" xfId="1672"/>
    <cellStyle name="常规 2 2 6 4" xfId="1584"/>
    <cellStyle name="常规 2 2 7" xfId="1726"/>
    <cellStyle name="常规 2 3" xfId="218"/>
    <cellStyle name="常规 2 3 2" xfId="843"/>
    <cellStyle name="常规 2 3 2 2" xfId="859"/>
    <cellStyle name="常规 2 3 2 2 2" xfId="1309"/>
    <cellStyle name="常规 2 3 2 2 2 2" xfId="1565"/>
    <cellStyle name="常规 2 3 2 2 2 2 2" xfId="1719"/>
    <cellStyle name="常规 2 3 2 2 2 3" xfId="1621"/>
    <cellStyle name="常规 2 3 2 2 2 4" xfId="3490"/>
    <cellStyle name="常规 2 3 2 2 3" xfId="1488"/>
    <cellStyle name="常规 2 3 2 2 3 2" xfId="1681"/>
    <cellStyle name="常规 2 3 2 2 3 3" xfId="3922"/>
    <cellStyle name="常规 2 3 2 2 4" xfId="1593"/>
    <cellStyle name="常规 2 3 2 2 5" xfId="2719"/>
    <cellStyle name="常规 2 3 2 3" xfId="1293"/>
    <cellStyle name="常规 2 3 2 3 2" xfId="1549"/>
    <cellStyle name="常规 2 3 2 3 2 2" xfId="1703"/>
    <cellStyle name="常规 2 3 2 3 3" xfId="1605"/>
    <cellStyle name="常规 2 3 2 4" xfId="1472"/>
    <cellStyle name="常规 2 3 2 4 2" xfId="1665"/>
    <cellStyle name="常规 2 3 2 5" xfId="1577"/>
    <cellStyle name="常规 2 3 2 6" xfId="2514"/>
    <cellStyle name="常规 2 3 3" xfId="550"/>
    <cellStyle name="常规 2 3 3 2" xfId="1197"/>
    <cellStyle name="常规 2 3 4" xfId="847"/>
    <cellStyle name="常规 2 3 4 2" xfId="1297"/>
    <cellStyle name="常规 2 3 4 2 2" xfId="1553"/>
    <cellStyle name="常规 2 3 4 2 2 2" xfId="1707"/>
    <cellStyle name="常规 2 3 4 2 3" xfId="1609"/>
    <cellStyle name="常规 2 3 4 2 4" xfId="3791"/>
    <cellStyle name="常规 2 3 4 3" xfId="1476"/>
    <cellStyle name="常规 2 3 4 3 2" xfId="1669"/>
    <cellStyle name="常规 2 3 4 3 3" xfId="3916"/>
    <cellStyle name="常规 2 3 4 4" xfId="1581"/>
    <cellStyle name="常规 2 3 4 5" xfId="2653"/>
    <cellStyle name="常规 2 3 5" xfId="854"/>
    <cellStyle name="常规 2 3 5 2" xfId="1304"/>
    <cellStyle name="常规 2 3 5 2 2" xfId="1560"/>
    <cellStyle name="常规 2 3 5 2 2 2" xfId="1714"/>
    <cellStyle name="常规 2 3 5 2 3" xfId="1616"/>
    <cellStyle name="常规 2 3 5 3" xfId="1483"/>
    <cellStyle name="常规 2 3 5 3 2" xfId="1676"/>
    <cellStyle name="常规 2 3 5 4" xfId="1588"/>
    <cellStyle name="常规 2 3 5 5" xfId="2360"/>
    <cellStyle name="常规 2 3 6" xfId="865"/>
    <cellStyle name="常规 2 3 6 2" xfId="1494"/>
    <cellStyle name="常规 2 3 6 2 2" xfId="1687"/>
    <cellStyle name="常规 2 3 6 3" xfId="1599"/>
    <cellStyle name="常规 2 3 7" xfId="1375"/>
    <cellStyle name="常规 2 3 7 2" xfId="1639"/>
    <cellStyle name="常规 2 3 8" xfId="1571"/>
    <cellStyle name="常规 2 3 9" xfId="1734"/>
    <cellStyle name="常规 2 4" xfId="708"/>
    <cellStyle name="常规 2 4 2" xfId="857"/>
    <cellStyle name="常规 2 4 2 2" xfId="1307"/>
    <cellStyle name="常规 2 4 2 2 2" xfId="1563"/>
    <cellStyle name="常规 2 4 2 2 2 2" xfId="1717"/>
    <cellStyle name="常规 2 4 2 2 3" xfId="1619"/>
    <cellStyle name="常规 2 4 2 3" xfId="1486"/>
    <cellStyle name="常规 2 4 2 3 2" xfId="1679"/>
    <cellStyle name="常规 2 4 2 4" xfId="1591"/>
    <cellStyle name="常规 2 4 2 5" xfId="1755"/>
    <cellStyle name="常规 2 4 3" xfId="1744"/>
    <cellStyle name="常规 2 5" xfId="547"/>
    <cellStyle name="常规 2 5 2" xfId="852"/>
    <cellStyle name="常规 2 5 2 2" xfId="1302"/>
    <cellStyle name="常规 2 5 2 2 2" xfId="1558"/>
    <cellStyle name="常规 2 5 2 2 2 2" xfId="1712"/>
    <cellStyle name="常规 2 5 2 2 3" xfId="1614"/>
    <cellStyle name="常规 2 5 2 3" xfId="1481"/>
    <cellStyle name="常规 2 5 2 3 2" xfId="1674"/>
    <cellStyle name="常规 2 5 2 4" xfId="1586"/>
    <cellStyle name="常规 2 5 2 5" xfId="2656"/>
    <cellStyle name="常规 2 5 3" xfId="1194"/>
    <cellStyle name="常规 2 5 4" xfId="2648"/>
    <cellStyle name="常规 2 6" xfId="845"/>
    <cellStyle name="常规 2 6 2" xfId="1295"/>
    <cellStyle name="常规 2 6 2 2" xfId="1551"/>
    <cellStyle name="常规 2 6 2 2 2" xfId="1705"/>
    <cellStyle name="常规 2 6 2 3" xfId="1607"/>
    <cellStyle name="常规 2 6 2 4" xfId="3748"/>
    <cellStyle name="常规 2 6 3" xfId="1474"/>
    <cellStyle name="常规 2 6 3 2" xfId="1667"/>
    <cellStyle name="常规 2 6 4" xfId="1579"/>
    <cellStyle name="常规 2 6 5" xfId="3489"/>
    <cellStyle name="常规 2 7" xfId="849"/>
    <cellStyle name="常规 2 7 2" xfId="1299"/>
    <cellStyle name="常规 2 7 2 2" xfId="1555"/>
    <cellStyle name="常规 2 7 2 2 2" xfId="1709"/>
    <cellStyle name="常规 2 7 2 3" xfId="1611"/>
    <cellStyle name="常规 2 7 3" xfId="1478"/>
    <cellStyle name="常规 2 7 3 2" xfId="1671"/>
    <cellStyle name="常规 2 7 4" xfId="1583"/>
    <cellStyle name="常规 2 7 5" xfId="3055"/>
    <cellStyle name="常规 2 8" xfId="70"/>
    <cellStyle name="常规 3" xfId="3"/>
    <cellStyle name="常规 3 2" xfId="157"/>
    <cellStyle name="常规 3 2 2" xfId="553"/>
    <cellStyle name="常规 3 2 2 2" xfId="1200"/>
    <cellStyle name="常规 3 2 3" xfId="792"/>
    <cellStyle name="常规 3 2 4" xfId="552"/>
    <cellStyle name="常规 3 2 4 2" xfId="1199"/>
    <cellStyle name="常规 3 2 5" xfId="2215"/>
    <cellStyle name="常规 3 2 6" xfId="1733"/>
    <cellStyle name="常规 3 3" xfId="554"/>
    <cellStyle name="常规 3 3 2" xfId="1201"/>
    <cellStyle name="常规 3 3 3" xfId="2361"/>
    <cellStyle name="常规 3 3 4" xfId="1731"/>
    <cellStyle name="常规 3 4" xfId="709"/>
    <cellStyle name="常规 3 5" xfId="551"/>
    <cellStyle name="常规 3 5 2" xfId="1198"/>
    <cellStyle name="常规 3 5 3" xfId="2647"/>
    <cellStyle name="常规 3 6" xfId="71"/>
    <cellStyle name="常规 3 7" xfId="1722"/>
    <cellStyle name="常规 4" xfId="2"/>
    <cellStyle name="常规 4 2" xfId="90"/>
    <cellStyle name="常规 4 2 2" xfId="725"/>
    <cellStyle name="常规 4 2 3" xfId="556"/>
    <cellStyle name="常规 4 2 3 2" xfId="1203"/>
    <cellStyle name="常规 4 3" xfId="557"/>
    <cellStyle name="常规 4 3 2" xfId="1204"/>
    <cellStyle name="常规 4 4" xfId="646"/>
    <cellStyle name="常规 4 5" xfId="555"/>
    <cellStyle name="常规 4 5 2" xfId="1202"/>
    <cellStyle name="常规 4 6" xfId="4"/>
    <cellStyle name="常规 4 7" xfId="1724"/>
    <cellStyle name="常规 5" xfId="175"/>
    <cellStyle name="常规 5 2" xfId="559"/>
    <cellStyle name="常规 5 2 2" xfId="2515"/>
    <cellStyle name="常规 5 2 2 2" xfId="3908"/>
    <cellStyle name="常规 5 2 3" xfId="3905"/>
    <cellStyle name="常规 5 3" xfId="810"/>
    <cellStyle name="常规 5 3 2" xfId="2716"/>
    <cellStyle name="常规 5 3 3" xfId="3906"/>
    <cellStyle name="常规 5 3 4" xfId="2382"/>
    <cellStyle name="常规 5 4" xfId="558"/>
    <cellStyle name="常规 5 4 2" xfId="2621"/>
    <cellStyle name="常规 5 4 2 2" xfId="3912"/>
    <cellStyle name="常规 5 4 3" xfId="3904"/>
    <cellStyle name="常规 5 5" xfId="2650"/>
    <cellStyle name="常规 5 6" xfId="3901"/>
    <cellStyle name="常规 5 7" xfId="2192"/>
    <cellStyle name="常规 5 8" xfId="1723"/>
    <cellStyle name="常规 6" xfId="89"/>
    <cellStyle name="常规 6 10" xfId="2124"/>
    <cellStyle name="常规 6 11" xfId="1930"/>
    <cellStyle name="常规 6 12" xfId="2191"/>
    <cellStyle name="常规 6 13" xfId="1725"/>
    <cellStyle name="常规 6 2" xfId="207"/>
    <cellStyle name="常规 6 2 10" xfId="2447"/>
    <cellStyle name="常规 6 2 11" xfId="1727"/>
    <cellStyle name="常规 6 2 2" xfId="832"/>
    <cellStyle name="常规 6 2 2 10" xfId="1729"/>
    <cellStyle name="常规 6 2 2 2" xfId="1292"/>
    <cellStyle name="常规 6 2 2 2 2" xfId="1548"/>
    <cellStyle name="常规 6 2 2 2 2 2" xfId="1702"/>
    <cellStyle name="常规 6 2 2 2 2 2 2" xfId="1832"/>
    <cellStyle name="常规 6 2 2 2 2 2 2 2" xfId="1928"/>
    <cellStyle name="常规 6 2 2 2 2 2 2 2 2" xfId="2121"/>
    <cellStyle name="常规 6 2 2 2 2 2 2 3" xfId="2025"/>
    <cellStyle name="常规 6 2 2 2 2 2 3" xfId="1880"/>
    <cellStyle name="常规 6 2 2 2 2 2 3 2" xfId="2073"/>
    <cellStyle name="常规 6 2 2 2 2 2 4" xfId="1977"/>
    <cellStyle name="常规 6 2 2 2 2 2 5" xfId="1784"/>
    <cellStyle name="常规 6 2 2 2 2 3" xfId="1808"/>
    <cellStyle name="常规 6 2 2 2 2 3 2" xfId="1904"/>
    <cellStyle name="常规 6 2 2 2 2 3 2 2" xfId="2097"/>
    <cellStyle name="常规 6 2 2 2 2 3 3" xfId="2001"/>
    <cellStyle name="常规 6 2 2 2 2 4" xfId="1856"/>
    <cellStyle name="常规 6 2 2 2 2 4 2" xfId="2049"/>
    <cellStyle name="常规 6 2 2 2 2 5" xfId="1953"/>
    <cellStyle name="常规 6 2 2 2 2 6" xfId="1760"/>
    <cellStyle name="常规 6 2 2 2 3" xfId="1604"/>
    <cellStyle name="常规 6 2 2 2 3 2" xfId="1776"/>
    <cellStyle name="常规 6 2 2 2 3 2 2" xfId="1824"/>
    <cellStyle name="常规 6 2 2 2 3 2 2 2" xfId="1920"/>
    <cellStyle name="常规 6 2 2 2 3 2 2 2 2" xfId="2113"/>
    <cellStyle name="常规 6 2 2 2 3 2 2 3" xfId="2017"/>
    <cellStyle name="常规 6 2 2 2 3 2 3" xfId="1872"/>
    <cellStyle name="常规 6 2 2 2 3 2 3 2" xfId="2065"/>
    <cellStyle name="常规 6 2 2 2 3 2 4" xfId="1969"/>
    <cellStyle name="常规 6 2 2 2 3 3" xfId="1800"/>
    <cellStyle name="常规 6 2 2 2 3 3 2" xfId="1896"/>
    <cellStyle name="常规 6 2 2 2 3 3 2 2" xfId="2089"/>
    <cellStyle name="常规 6 2 2 2 3 3 3" xfId="1993"/>
    <cellStyle name="常规 6 2 2 2 3 4" xfId="1848"/>
    <cellStyle name="常规 6 2 2 2 3 4 2" xfId="2041"/>
    <cellStyle name="常规 6 2 2 2 3 5" xfId="1945"/>
    <cellStyle name="常规 6 2 2 2 3 6" xfId="1749"/>
    <cellStyle name="常规 6 2 2 2 4" xfId="1768"/>
    <cellStyle name="常规 6 2 2 2 4 2" xfId="1816"/>
    <cellStyle name="常规 6 2 2 2 4 2 2" xfId="1912"/>
    <cellStyle name="常规 6 2 2 2 4 2 2 2" xfId="2105"/>
    <cellStyle name="常规 6 2 2 2 4 2 3" xfId="2009"/>
    <cellStyle name="常规 6 2 2 2 4 3" xfId="1864"/>
    <cellStyle name="常规 6 2 2 2 4 3 2" xfId="2057"/>
    <cellStyle name="常规 6 2 2 2 4 4" xfId="1961"/>
    <cellStyle name="常规 6 2 2 2 5" xfId="1792"/>
    <cellStyle name="常规 6 2 2 2 5 2" xfId="1888"/>
    <cellStyle name="常规 6 2 2 2 5 2 2" xfId="2081"/>
    <cellStyle name="常规 6 2 2 2 5 3" xfId="1985"/>
    <cellStyle name="常规 6 2 2 2 6" xfId="1840"/>
    <cellStyle name="常规 6 2 2 2 6 2" xfId="2033"/>
    <cellStyle name="常规 6 2 2 2 7" xfId="1937"/>
    <cellStyle name="常规 6 2 2 2 8" xfId="3921"/>
    <cellStyle name="常规 6 2 2 2 9" xfId="1738"/>
    <cellStyle name="常规 6 2 2 3" xfId="1461"/>
    <cellStyle name="常规 6 2 2 3 2" xfId="1662"/>
    <cellStyle name="常规 6 2 2 3 2 2" xfId="1828"/>
    <cellStyle name="常规 6 2 2 3 2 2 2" xfId="1924"/>
    <cellStyle name="常规 6 2 2 3 2 2 2 2" xfId="2117"/>
    <cellStyle name="常规 6 2 2 3 2 2 3" xfId="2021"/>
    <cellStyle name="常规 6 2 2 3 2 3" xfId="1876"/>
    <cellStyle name="常规 6 2 2 3 2 3 2" xfId="2069"/>
    <cellStyle name="常规 6 2 2 3 2 4" xfId="1973"/>
    <cellStyle name="常规 6 2 2 3 2 5" xfId="1780"/>
    <cellStyle name="常规 6 2 2 3 3" xfId="1804"/>
    <cellStyle name="常规 6 2 2 3 3 2" xfId="1900"/>
    <cellStyle name="常规 6 2 2 3 3 2 2" xfId="2093"/>
    <cellStyle name="常规 6 2 2 3 3 3" xfId="1997"/>
    <cellStyle name="常规 6 2 2 3 4" xfId="1852"/>
    <cellStyle name="常规 6 2 2 3 4 2" xfId="2045"/>
    <cellStyle name="常规 6 2 2 3 5" xfId="1949"/>
    <cellStyle name="常规 6 2 2 3 6" xfId="1753"/>
    <cellStyle name="常规 6 2 2 4" xfId="1576"/>
    <cellStyle name="常规 6 2 2 4 2" xfId="1772"/>
    <cellStyle name="常规 6 2 2 4 2 2" xfId="1820"/>
    <cellStyle name="常规 6 2 2 4 2 2 2" xfId="1916"/>
    <cellStyle name="常规 6 2 2 4 2 2 2 2" xfId="2109"/>
    <cellStyle name="常规 6 2 2 4 2 2 3" xfId="2013"/>
    <cellStyle name="常规 6 2 2 4 2 3" xfId="1868"/>
    <cellStyle name="常规 6 2 2 4 2 3 2" xfId="2061"/>
    <cellStyle name="常规 6 2 2 4 2 4" xfId="1965"/>
    <cellStyle name="常规 6 2 2 4 3" xfId="1796"/>
    <cellStyle name="常规 6 2 2 4 3 2" xfId="1892"/>
    <cellStyle name="常规 6 2 2 4 3 2 2" xfId="2085"/>
    <cellStyle name="常规 6 2 2 4 3 3" xfId="1989"/>
    <cellStyle name="常规 6 2 2 4 4" xfId="1844"/>
    <cellStyle name="常规 6 2 2 4 4 2" xfId="2037"/>
    <cellStyle name="常规 6 2 2 4 5" xfId="1941"/>
    <cellStyle name="常规 6 2 2 4 6" xfId="1742"/>
    <cellStyle name="常规 6 2 2 5" xfId="1764"/>
    <cellStyle name="常规 6 2 2 5 2" xfId="1812"/>
    <cellStyle name="常规 6 2 2 5 2 2" xfId="1908"/>
    <cellStyle name="常规 6 2 2 5 2 2 2" xfId="2101"/>
    <cellStyle name="常规 6 2 2 5 2 3" xfId="2005"/>
    <cellStyle name="常规 6 2 2 5 3" xfId="1860"/>
    <cellStyle name="常规 6 2 2 5 3 2" xfId="2053"/>
    <cellStyle name="常规 6 2 2 5 4" xfId="1957"/>
    <cellStyle name="常规 6 2 2 6" xfId="1788"/>
    <cellStyle name="常规 6 2 2 6 2" xfId="1884"/>
    <cellStyle name="常规 6 2 2 6 2 2" xfId="2077"/>
    <cellStyle name="常规 6 2 2 6 3" xfId="1981"/>
    <cellStyle name="常规 6 2 2 7" xfId="1836"/>
    <cellStyle name="常规 6 2 2 7 2" xfId="2029"/>
    <cellStyle name="常规 6 2 2 8" xfId="1933"/>
    <cellStyle name="常规 6 2 2 9" xfId="2718"/>
    <cellStyle name="常规 6 2 3" xfId="864"/>
    <cellStyle name="常规 6 2 3 2" xfId="1493"/>
    <cellStyle name="常规 6 2 3 2 2" xfId="1686"/>
    <cellStyle name="常规 6 2 3 2 2 2" xfId="1830"/>
    <cellStyle name="常规 6 2 3 2 2 2 2" xfId="1926"/>
    <cellStyle name="常规 6 2 3 2 2 2 2 2" xfId="2119"/>
    <cellStyle name="常规 6 2 3 2 2 2 3" xfId="2023"/>
    <cellStyle name="常规 6 2 3 2 2 3" xfId="1878"/>
    <cellStyle name="常规 6 2 3 2 2 3 2" xfId="2071"/>
    <cellStyle name="常规 6 2 3 2 2 4" xfId="1975"/>
    <cellStyle name="常规 6 2 3 2 2 5" xfId="1782"/>
    <cellStyle name="常规 6 2 3 2 3" xfId="1806"/>
    <cellStyle name="常规 6 2 3 2 3 2" xfId="1902"/>
    <cellStyle name="常规 6 2 3 2 3 2 2" xfId="2095"/>
    <cellStyle name="常规 6 2 3 2 3 3" xfId="1999"/>
    <cellStyle name="常规 6 2 3 2 4" xfId="1854"/>
    <cellStyle name="常规 6 2 3 2 4 2" xfId="2047"/>
    <cellStyle name="常规 6 2 3 2 5" xfId="1951"/>
    <cellStyle name="常规 6 2 3 2 6" xfId="3915"/>
    <cellStyle name="常规 6 2 3 2 7" xfId="1758"/>
    <cellStyle name="常规 6 2 3 3" xfId="1598"/>
    <cellStyle name="常规 6 2 3 3 2" xfId="1774"/>
    <cellStyle name="常规 6 2 3 3 2 2" xfId="1822"/>
    <cellStyle name="常规 6 2 3 3 2 2 2" xfId="1918"/>
    <cellStyle name="常规 6 2 3 3 2 2 2 2" xfId="2111"/>
    <cellStyle name="常规 6 2 3 3 2 2 3" xfId="2015"/>
    <cellStyle name="常规 6 2 3 3 2 3" xfId="1870"/>
    <cellStyle name="常规 6 2 3 3 2 3 2" xfId="2063"/>
    <cellStyle name="常规 6 2 3 3 2 4" xfId="1967"/>
    <cellStyle name="常规 6 2 3 3 3" xfId="1798"/>
    <cellStyle name="常规 6 2 3 3 3 2" xfId="1894"/>
    <cellStyle name="常规 6 2 3 3 3 2 2" xfId="2087"/>
    <cellStyle name="常规 6 2 3 3 3 3" xfId="1991"/>
    <cellStyle name="常规 6 2 3 3 4" xfId="1846"/>
    <cellStyle name="常规 6 2 3 3 4 2" xfId="2039"/>
    <cellStyle name="常规 6 2 3 3 5" xfId="1943"/>
    <cellStyle name="常规 6 2 3 3 6" xfId="1747"/>
    <cellStyle name="常规 6 2 3 4" xfId="1766"/>
    <cellStyle name="常规 6 2 3 4 2" xfId="1814"/>
    <cellStyle name="常规 6 2 3 4 2 2" xfId="1910"/>
    <cellStyle name="常规 6 2 3 4 2 2 2" xfId="2103"/>
    <cellStyle name="常规 6 2 3 4 2 3" xfId="2007"/>
    <cellStyle name="常规 6 2 3 4 3" xfId="1862"/>
    <cellStyle name="常规 6 2 3 4 3 2" xfId="2055"/>
    <cellStyle name="常规 6 2 3 4 4" xfId="1959"/>
    <cellStyle name="常规 6 2 3 5" xfId="1790"/>
    <cellStyle name="常规 6 2 3 5 2" xfId="1886"/>
    <cellStyle name="常规 6 2 3 5 2 2" xfId="2079"/>
    <cellStyle name="常规 6 2 3 5 3" xfId="1983"/>
    <cellStyle name="常规 6 2 3 6" xfId="1838"/>
    <cellStyle name="常规 6 2 3 6 2" xfId="2031"/>
    <cellStyle name="常规 6 2 3 7" xfId="1935"/>
    <cellStyle name="常规 6 2 3 8" xfId="2652"/>
    <cellStyle name="常规 6 2 3 9" xfId="1736"/>
    <cellStyle name="常规 6 2 4" xfId="1364"/>
    <cellStyle name="常规 6 2 4 2" xfId="1636"/>
    <cellStyle name="常规 6 2 4 2 2" xfId="1826"/>
    <cellStyle name="常规 6 2 4 2 2 2" xfId="1922"/>
    <cellStyle name="常规 6 2 4 2 2 2 2" xfId="2115"/>
    <cellStyle name="常规 6 2 4 2 2 3" xfId="2019"/>
    <cellStyle name="常规 6 2 4 2 3" xfId="1874"/>
    <cellStyle name="常规 6 2 4 2 3 2" xfId="2067"/>
    <cellStyle name="常规 6 2 4 2 4" xfId="1971"/>
    <cellStyle name="常规 6 2 4 2 5" xfId="1778"/>
    <cellStyle name="常规 6 2 4 3" xfId="1802"/>
    <cellStyle name="常规 6 2 4 3 2" xfId="1898"/>
    <cellStyle name="常规 6 2 4 3 2 2" xfId="2091"/>
    <cellStyle name="常规 6 2 4 3 3" xfId="1995"/>
    <cellStyle name="常规 6 2 4 4" xfId="1850"/>
    <cellStyle name="常规 6 2 4 4 2" xfId="2043"/>
    <cellStyle name="常规 6 2 4 5" xfId="1947"/>
    <cellStyle name="常规 6 2 4 6" xfId="3907"/>
    <cellStyle name="常规 6 2 4 7" xfId="1751"/>
    <cellStyle name="常规 6 2 5" xfId="1570"/>
    <cellStyle name="常规 6 2 5 2" xfId="1770"/>
    <cellStyle name="常规 6 2 5 2 2" xfId="1818"/>
    <cellStyle name="常规 6 2 5 2 2 2" xfId="1914"/>
    <cellStyle name="常规 6 2 5 2 2 2 2" xfId="2107"/>
    <cellStyle name="常规 6 2 5 2 2 3" xfId="2011"/>
    <cellStyle name="常规 6 2 5 2 3" xfId="1866"/>
    <cellStyle name="常规 6 2 5 2 3 2" xfId="2059"/>
    <cellStyle name="常规 6 2 5 2 4" xfId="1963"/>
    <cellStyle name="常规 6 2 5 3" xfId="1794"/>
    <cellStyle name="常规 6 2 5 3 2" xfId="1890"/>
    <cellStyle name="常规 6 2 5 3 2 2" xfId="2083"/>
    <cellStyle name="常规 6 2 5 3 3" xfId="1987"/>
    <cellStyle name="常规 6 2 5 4" xfId="1842"/>
    <cellStyle name="常规 6 2 5 4 2" xfId="2035"/>
    <cellStyle name="常规 6 2 5 5" xfId="1939"/>
    <cellStyle name="常规 6 2 5 6" xfId="1740"/>
    <cellStyle name="常规 6 2 6" xfId="1762"/>
    <cellStyle name="常规 6 2 6 2" xfId="1810"/>
    <cellStyle name="常规 6 2 6 2 2" xfId="1906"/>
    <cellStyle name="常规 6 2 6 2 2 2" xfId="2099"/>
    <cellStyle name="常规 6 2 6 2 3" xfId="2003"/>
    <cellStyle name="常规 6 2 6 3" xfId="1858"/>
    <cellStyle name="常规 6 2 6 3 2" xfId="2051"/>
    <cellStyle name="常规 6 2 6 4" xfId="1955"/>
    <cellStyle name="常规 6 2 7" xfId="1786"/>
    <cellStyle name="常规 6 2 7 2" xfId="1882"/>
    <cellStyle name="常规 6 2 7 2 2" xfId="2075"/>
    <cellStyle name="常规 6 2 7 3" xfId="1979"/>
    <cellStyle name="常规 6 2 8" xfId="1834"/>
    <cellStyle name="常规 6 2 8 2" xfId="2027"/>
    <cellStyle name="常规 6 2 9" xfId="1931"/>
    <cellStyle name="常规 6 3" xfId="186"/>
    <cellStyle name="常规 6 3 10" xfId="1728"/>
    <cellStyle name="常规 6 3 2" xfId="811"/>
    <cellStyle name="常规 6 3 2 2" xfId="1291"/>
    <cellStyle name="常规 6 3 2 2 2" xfId="1547"/>
    <cellStyle name="常规 6 3 2 2 2 2" xfId="1701"/>
    <cellStyle name="常规 6 3 2 2 2 2 2" xfId="1927"/>
    <cellStyle name="常规 6 3 2 2 2 2 2 2" xfId="2120"/>
    <cellStyle name="常规 6 3 2 2 2 2 3" xfId="2024"/>
    <cellStyle name="常规 6 3 2 2 2 2 4" xfId="1831"/>
    <cellStyle name="常规 6 3 2 2 2 3" xfId="1879"/>
    <cellStyle name="常规 6 3 2 2 2 3 2" xfId="2072"/>
    <cellStyle name="常规 6 3 2 2 2 4" xfId="1976"/>
    <cellStyle name="常规 6 3 2 2 2 5" xfId="1783"/>
    <cellStyle name="常规 6 3 2 2 3" xfId="1603"/>
    <cellStyle name="常规 6 3 2 2 3 2" xfId="1903"/>
    <cellStyle name="常规 6 3 2 2 3 2 2" xfId="2096"/>
    <cellStyle name="常规 6 3 2 2 3 3" xfId="2000"/>
    <cellStyle name="常规 6 3 2 2 3 4" xfId="1807"/>
    <cellStyle name="常规 6 3 2 2 4" xfId="1855"/>
    <cellStyle name="常规 6 3 2 2 4 2" xfId="2048"/>
    <cellStyle name="常规 6 3 2 2 5" xfId="1952"/>
    <cellStyle name="常规 6 3 2 2 6" xfId="3920"/>
    <cellStyle name="常规 6 3 2 2 7" xfId="1759"/>
    <cellStyle name="常规 6 3 2 3" xfId="1440"/>
    <cellStyle name="常规 6 3 2 3 2" xfId="1657"/>
    <cellStyle name="常规 6 3 2 3 2 2" xfId="1823"/>
    <cellStyle name="常规 6 3 2 3 2 2 2" xfId="1919"/>
    <cellStyle name="常规 6 3 2 3 2 2 2 2" xfId="2112"/>
    <cellStyle name="常规 6 3 2 3 2 2 3" xfId="2016"/>
    <cellStyle name="常规 6 3 2 3 2 3" xfId="1871"/>
    <cellStyle name="常规 6 3 2 3 2 3 2" xfId="2064"/>
    <cellStyle name="常规 6 3 2 3 2 4" xfId="1968"/>
    <cellStyle name="常规 6 3 2 3 2 5" xfId="1775"/>
    <cellStyle name="常规 6 3 2 3 3" xfId="1799"/>
    <cellStyle name="常规 6 3 2 3 3 2" xfId="1895"/>
    <cellStyle name="常规 6 3 2 3 3 2 2" xfId="2088"/>
    <cellStyle name="常规 6 3 2 3 3 3" xfId="1992"/>
    <cellStyle name="常规 6 3 2 3 4" xfId="1847"/>
    <cellStyle name="常规 6 3 2 3 4 2" xfId="2040"/>
    <cellStyle name="常规 6 3 2 3 5" xfId="1944"/>
    <cellStyle name="常规 6 3 2 3 6" xfId="1748"/>
    <cellStyle name="常规 6 3 2 4" xfId="1575"/>
    <cellStyle name="常规 6 3 2 4 2" xfId="1815"/>
    <cellStyle name="常规 6 3 2 4 2 2" xfId="1911"/>
    <cellStyle name="常规 6 3 2 4 2 2 2" xfId="2104"/>
    <cellStyle name="常规 6 3 2 4 2 3" xfId="2008"/>
    <cellStyle name="常规 6 3 2 4 3" xfId="1863"/>
    <cellStyle name="常规 6 3 2 4 3 2" xfId="2056"/>
    <cellStyle name="常规 6 3 2 4 4" xfId="1960"/>
    <cellStyle name="常规 6 3 2 4 5" xfId="1767"/>
    <cellStyle name="常规 6 3 2 5" xfId="1791"/>
    <cellStyle name="常规 6 3 2 5 2" xfId="1887"/>
    <cellStyle name="常规 6 3 2 5 2 2" xfId="2080"/>
    <cellStyle name="常规 6 3 2 5 3" xfId="1984"/>
    <cellStyle name="常规 6 3 2 6" xfId="1839"/>
    <cellStyle name="常规 6 3 2 6 2" xfId="2032"/>
    <cellStyle name="常规 6 3 2 7" xfId="1936"/>
    <cellStyle name="常规 6 3 2 8" xfId="2717"/>
    <cellStyle name="常规 6 3 2 9" xfId="1737"/>
    <cellStyle name="常规 6 3 3" xfId="863"/>
    <cellStyle name="常规 6 3 3 2" xfId="1492"/>
    <cellStyle name="常规 6 3 3 2 2" xfId="1685"/>
    <cellStyle name="常规 6 3 3 2 2 2" xfId="1923"/>
    <cellStyle name="常规 6 3 3 2 2 2 2" xfId="2116"/>
    <cellStyle name="常规 6 3 3 2 2 3" xfId="2020"/>
    <cellStyle name="常规 6 3 3 2 2 4" xfId="1827"/>
    <cellStyle name="常规 6 3 3 2 3" xfId="1875"/>
    <cellStyle name="常规 6 3 3 2 3 2" xfId="2068"/>
    <cellStyle name="常规 6 3 3 2 4" xfId="1972"/>
    <cellStyle name="常规 6 3 3 2 5" xfId="3914"/>
    <cellStyle name="常规 6 3 3 2 6" xfId="1779"/>
    <cellStyle name="常规 6 3 3 3" xfId="1597"/>
    <cellStyle name="常规 6 3 3 3 2" xfId="1899"/>
    <cellStyle name="常规 6 3 3 3 2 2" xfId="2092"/>
    <cellStyle name="常规 6 3 3 3 3" xfId="1996"/>
    <cellStyle name="常规 6 3 3 3 4" xfId="1803"/>
    <cellStyle name="常规 6 3 3 4" xfId="1851"/>
    <cellStyle name="常规 6 3 3 4 2" xfId="2044"/>
    <cellStyle name="常规 6 3 3 5" xfId="1948"/>
    <cellStyle name="常规 6 3 3 6" xfId="2651"/>
    <cellStyle name="常规 6 3 3 7" xfId="1752"/>
    <cellStyle name="常规 6 3 4" xfId="1343"/>
    <cellStyle name="常规 6 3 4 2" xfId="1631"/>
    <cellStyle name="常规 6 3 4 2 2" xfId="1819"/>
    <cellStyle name="常规 6 3 4 2 2 2" xfId="1915"/>
    <cellStyle name="常规 6 3 4 2 2 2 2" xfId="2108"/>
    <cellStyle name="常规 6 3 4 2 2 3" xfId="2012"/>
    <cellStyle name="常规 6 3 4 2 3" xfId="1867"/>
    <cellStyle name="常规 6 3 4 2 3 2" xfId="2060"/>
    <cellStyle name="常规 6 3 4 2 4" xfId="1964"/>
    <cellStyle name="常规 6 3 4 2 5" xfId="1771"/>
    <cellStyle name="常规 6 3 4 3" xfId="1795"/>
    <cellStyle name="常规 6 3 4 3 2" xfId="1891"/>
    <cellStyle name="常规 6 3 4 3 2 2" xfId="2084"/>
    <cellStyle name="常规 6 3 4 3 3" xfId="1988"/>
    <cellStyle name="常规 6 3 4 4" xfId="1843"/>
    <cellStyle name="常规 6 3 4 4 2" xfId="2036"/>
    <cellStyle name="常规 6 3 4 5" xfId="1940"/>
    <cellStyle name="常规 6 3 4 6" xfId="1741"/>
    <cellStyle name="常规 6 3 5" xfId="1569"/>
    <cellStyle name="常规 6 3 5 2" xfId="1811"/>
    <cellStyle name="常规 6 3 5 2 2" xfId="1907"/>
    <cellStyle name="常规 6 3 5 2 2 2" xfId="2100"/>
    <cellStyle name="常规 6 3 5 2 3" xfId="2004"/>
    <cellStyle name="常规 6 3 5 3" xfId="1859"/>
    <cellStyle name="常规 6 3 5 3 2" xfId="2052"/>
    <cellStyle name="常规 6 3 5 4" xfId="1956"/>
    <cellStyle name="常规 6 3 5 5" xfId="1763"/>
    <cellStyle name="常规 6 3 6" xfId="1787"/>
    <cellStyle name="常规 6 3 6 2" xfId="1883"/>
    <cellStyle name="常规 6 3 6 2 2" xfId="2076"/>
    <cellStyle name="常规 6 3 6 3" xfId="1980"/>
    <cellStyle name="常规 6 3 7" xfId="1835"/>
    <cellStyle name="常规 6 3 7 2" xfId="2028"/>
    <cellStyle name="常规 6 3 8" xfId="1932"/>
    <cellStyle name="常规 6 3 9" xfId="2516"/>
    <cellStyle name="常规 6 4" xfId="724"/>
    <cellStyle name="常规 6 4 2" xfId="1290"/>
    <cellStyle name="常规 6 4 2 2" xfId="1546"/>
    <cellStyle name="常规 6 4 2 2 2" xfId="1700"/>
    <cellStyle name="常规 6 4 2 2 2 2" xfId="1925"/>
    <cellStyle name="常规 6 4 2 2 2 2 2" xfId="2118"/>
    <cellStyle name="常规 6 4 2 2 2 3" xfId="2022"/>
    <cellStyle name="常规 6 4 2 2 2 4" xfId="1829"/>
    <cellStyle name="常规 6 4 2 2 3" xfId="1877"/>
    <cellStyle name="常规 6 4 2 2 3 2" xfId="2070"/>
    <cellStyle name="常规 6 4 2 2 4" xfId="1974"/>
    <cellStyle name="常规 6 4 2 2 5" xfId="3919"/>
    <cellStyle name="常规 6 4 2 2 6" xfId="1781"/>
    <cellStyle name="常规 6 4 2 3" xfId="1602"/>
    <cellStyle name="常规 6 4 2 3 2" xfId="1901"/>
    <cellStyle name="常规 6 4 2 3 2 2" xfId="2094"/>
    <cellStyle name="常规 6 4 2 3 3" xfId="1998"/>
    <cellStyle name="常规 6 4 2 3 4" xfId="1805"/>
    <cellStyle name="常规 6 4 2 4" xfId="1853"/>
    <cellStyle name="常规 6 4 2 4 2" xfId="2046"/>
    <cellStyle name="常规 6 4 2 5" xfId="1950"/>
    <cellStyle name="常规 6 4 2 6" xfId="2659"/>
    <cellStyle name="常规 6 4 2 7" xfId="1757"/>
    <cellStyle name="常规 6 4 3" xfId="1429"/>
    <cellStyle name="常规 6 4 3 2" xfId="1654"/>
    <cellStyle name="常规 6 4 3 2 2" xfId="1821"/>
    <cellStyle name="常规 6 4 3 2 2 2" xfId="1917"/>
    <cellStyle name="常规 6 4 3 2 2 2 2" xfId="2110"/>
    <cellStyle name="常规 6 4 3 2 2 3" xfId="2014"/>
    <cellStyle name="常规 6 4 3 2 3" xfId="1869"/>
    <cellStyle name="常规 6 4 3 2 3 2" xfId="2062"/>
    <cellStyle name="常规 6 4 3 2 4" xfId="1966"/>
    <cellStyle name="常规 6 4 3 2 5" xfId="1773"/>
    <cellStyle name="常规 6 4 3 3" xfId="1797"/>
    <cellStyle name="常规 6 4 3 3 2" xfId="1893"/>
    <cellStyle name="常规 6 4 3 3 2 2" xfId="2086"/>
    <cellStyle name="常规 6 4 3 3 3" xfId="1990"/>
    <cellStyle name="常规 6 4 3 4" xfId="1845"/>
    <cellStyle name="常规 6 4 3 4 2" xfId="2038"/>
    <cellStyle name="常规 6 4 3 5" xfId="1942"/>
    <cellStyle name="常规 6 4 3 6" xfId="2622"/>
    <cellStyle name="常规 6 4 3 7" xfId="1746"/>
    <cellStyle name="常规 6 4 4" xfId="1574"/>
    <cellStyle name="常规 6 4 4 2" xfId="1813"/>
    <cellStyle name="常规 6 4 4 2 2" xfId="1909"/>
    <cellStyle name="常规 6 4 4 2 2 2" xfId="2102"/>
    <cellStyle name="常规 6 4 4 2 3" xfId="2006"/>
    <cellStyle name="常规 6 4 4 3" xfId="1861"/>
    <cellStyle name="常规 6 4 4 3 2" xfId="2054"/>
    <cellStyle name="常规 6 4 4 4" xfId="1958"/>
    <cellStyle name="常规 6 4 4 5" xfId="1765"/>
    <cellStyle name="常规 6 4 5" xfId="1789"/>
    <cellStyle name="常规 6 4 5 2" xfId="1885"/>
    <cellStyle name="常规 6 4 5 2 2" xfId="2078"/>
    <cellStyle name="常规 6 4 5 3" xfId="1982"/>
    <cellStyle name="常规 6 4 6" xfId="1837"/>
    <cellStyle name="常规 6 4 6 2" xfId="2030"/>
    <cellStyle name="常规 6 4 7" xfId="1934"/>
    <cellStyle name="常规 6 4 8" xfId="2362"/>
    <cellStyle name="常规 6 4 9" xfId="1735"/>
    <cellStyle name="常规 6 5" xfId="560"/>
    <cellStyle name="常规 6 5 2" xfId="1205"/>
    <cellStyle name="常规 6 5 2 2" xfId="1825"/>
    <cellStyle name="常规 6 5 2 2 2" xfId="1921"/>
    <cellStyle name="常规 6 5 2 2 2 2" xfId="2114"/>
    <cellStyle name="常规 6 5 2 2 3" xfId="2018"/>
    <cellStyle name="常规 6 5 2 3" xfId="1873"/>
    <cellStyle name="常规 6 5 2 3 2" xfId="2066"/>
    <cellStyle name="常规 6 5 2 4" xfId="1970"/>
    <cellStyle name="常规 6 5 2 5" xfId="1777"/>
    <cellStyle name="常规 6 5 3" xfId="1801"/>
    <cellStyle name="常规 6 5 3 2" xfId="1897"/>
    <cellStyle name="常规 6 5 3 2 2" xfId="2090"/>
    <cellStyle name="常规 6 5 3 3" xfId="1994"/>
    <cellStyle name="常规 6 5 4" xfId="1849"/>
    <cellStyle name="常规 6 5 4 2" xfId="2042"/>
    <cellStyle name="常规 6 5 5" xfId="1946"/>
    <cellStyle name="常规 6 5 6" xfId="2657"/>
    <cellStyle name="常规 6 5 7" xfId="1750"/>
    <cellStyle name="常规 6 6" xfId="862"/>
    <cellStyle name="常规 6 6 2" xfId="1491"/>
    <cellStyle name="常规 6 6 2 2" xfId="1684"/>
    <cellStyle name="常规 6 6 2 2 2" xfId="1913"/>
    <cellStyle name="常规 6 6 2 2 2 2" xfId="2106"/>
    <cellStyle name="常规 6 6 2 2 3" xfId="2010"/>
    <cellStyle name="常规 6 6 2 2 4" xfId="1817"/>
    <cellStyle name="常规 6 6 2 3" xfId="1865"/>
    <cellStyle name="常规 6 6 2 3 2" xfId="2058"/>
    <cellStyle name="常规 6 6 2 4" xfId="1962"/>
    <cellStyle name="常规 6 6 2 5" xfId="3913"/>
    <cellStyle name="常规 6 6 2 6" xfId="1769"/>
    <cellStyle name="常规 6 6 3" xfId="1596"/>
    <cellStyle name="常规 6 6 3 2" xfId="1889"/>
    <cellStyle name="常规 6 6 3 2 2" xfId="2082"/>
    <cellStyle name="常规 6 6 3 3" xfId="1986"/>
    <cellStyle name="常规 6 6 3 4" xfId="1793"/>
    <cellStyle name="常规 6 6 4" xfId="1841"/>
    <cellStyle name="常规 6 6 4 2" xfId="2034"/>
    <cellStyle name="常规 6 6 5" xfId="1938"/>
    <cellStyle name="常规 6 6 6" xfId="2649"/>
    <cellStyle name="常规 6 6 7" xfId="1739"/>
    <cellStyle name="常规 6 7" xfId="1322"/>
    <cellStyle name="常规 6 7 2" xfId="1626"/>
    <cellStyle name="常规 6 7 2 2" xfId="1905"/>
    <cellStyle name="常规 6 7 2 2 2" xfId="2098"/>
    <cellStyle name="常规 6 7 2 3" xfId="2002"/>
    <cellStyle name="常规 6 7 2 4" xfId="1809"/>
    <cellStyle name="常规 6 7 3" xfId="1857"/>
    <cellStyle name="常规 6 7 3 2" xfId="2050"/>
    <cellStyle name="常规 6 7 4" xfId="1954"/>
    <cellStyle name="常规 6 7 5" xfId="2197"/>
    <cellStyle name="常规 6 7 6" xfId="1761"/>
    <cellStyle name="常规 6 8" xfId="1568"/>
    <cellStyle name="常规 6 8 2" xfId="1881"/>
    <cellStyle name="常规 6 8 2 2" xfId="2074"/>
    <cellStyle name="常规 6 8 3" xfId="1978"/>
    <cellStyle name="常规 6 8 4" xfId="3902"/>
    <cellStyle name="常规 6 8 5" xfId="1785"/>
    <cellStyle name="常规 6 9" xfId="1833"/>
    <cellStyle name="常规 6 9 2" xfId="2026"/>
    <cellStyle name="常规 7" xfId="221"/>
    <cellStyle name="常规 7 2" xfId="723"/>
    <cellStyle name="常规 7 2 2" xfId="2658"/>
    <cellStyle name="常规 7 2 3" xfId="2512"/>
    <cellStyle name="常规 7 3" xfId="868"/>
    <cellStyle name="常规 7 4" xfId="2125"/>
    <cellStyle name="常规 8" xfId="645"/>
    <cellStyle name="常规 8 2" xfId="1756"/>
    <cellStyle name="常规 8 3" xfId="1745"/>
    <cellStyle name="常规 8 4" xfId="2381"/>
    <cellStyle name="常规 8 5" xfId="1732"/>
    <cellStyle name="常规 9" xfId="220"/>
    <cellStyle name="常规 9 2" xfId="867"/>
    <cellStyle name="常规 9 2 2" xfId="1496"/>
    <cellStyle name="常规 9 2 2 2" xfId="1689"/>
    <cellStyle name="常规 9 2 2 3" xfId="3918"/>
    <cellStyle name="常规 9 2 3" xfId="1601"/>
    <cellStyle name="常规 9 2 3 2" xfId="2655"/>
    <cellStyle name="常规 9 2 4" xfId="1754"/>
    <cellStyle name="常规 9 3" xfId="1377"/>
    <cellStyle name="常规 9 3 2" xfId="1641"/>
    <cellStyle name="常规 9 3 2 2" xfId="3910"/>
    <cellStyle name="常规 9 3 3" xfId="2519"/>
    <cellStyle name="常规 9 3 4" xfId="1743"/>
    <cellStyle name="常规 9 4" xfId="1573"/>
    <cellStyle name="常规 9 4 2" xfId="3903"/>
    <cellStyle name="常规 9 5" xfId="2265"/>
    <cellStyle name="常规 9 6" xfId="1730"/>
    <cellStyle name="好 2" xfId="72"/>
    <cellStyle name="好 2 2" xfId="158"/>
    <cellStyle name="好 2 2 2" xfId="563"/>
    <cellStyle name="好 2 2 2 2" xfId="1208"/>
    <cellStyle name="好 2 2 2 2 2" xfId="3492"/>
    <cellStyle name="好 2 2 2 3" xfId="2937"/>
    <cellStyle name="好 2 2 2 3 2" xfId="2938"/>
    <cellStyle name="好 2 2 2 3 2 2" xfId="3494"/>
    <cellStyle name="好 2 2 2 3 3" xfId="3493"/>
    <cellStyle name="好 2 2 2 4" xfId="2939"/>
    <cellStyle name="好 2 2 2 4 2" xfId="3495"/>
    <cellStyle name="好 2 2 2 5" xfId="2940"/>
    <cellStyle name="好 2 2 2 5 2" xfId="3496"/>
    <cellStyle name="好 2 2 2 6" xfId="3491"/>
    <cellStyle name="好 2 2 3" xfId="564"/>
    <cellStyle name="好 2 2 3 2" xfId="1209"/>
    <cellStyle name="好 2 2 3 2 2" xfId="3498"/>
    <cellStyle name="好 2 2 3 3" xfId="3497"/>
    <cellStyle name="好 2 2 4" xfId="793"/>
    <cellStyle name="好 2 2 4 2" xfId="2707"/>
    <cellStyle name="好 2 2 4 3" xfId="2505"/>
    <cellStyle name="好 2 2 5" xfId="562"/>
    <cellStyle name="好 2 2 5 2" xfId="1207"/>
    <cellStyle name="好 2 2 6" xfId="2364"/>
    <cellStyle name="好 2 2 6 2" xfId="2624"/>
    <cellStyle name="好 2 2 7" xfId="2258"/>
    <cellStyle name="好 2 3" xfId="565"/>
    <cellStyle name="好 2 3 2" xfId="1210"/>
    <cellStyle name="好 2 3 2 2" xfId="3500"/>
    <cellStyle name="好 2 3 3" xfId="2941"/>
    <cellStyle name="好 2 3 3 2" xfId="2942"/>
    <cellStyle name="好 2 3 3 2 2" xfId="3502"/>
    <cellStyle name="好 2 3 3 3" xfId="3501"/>
    <cellStyle name="好 2 3 4" xfId="2943"/>
    <cellStyle name="好 2 3 4 2" xfId="3503"/>
    <cellStyle name="好 2 3 5" xfId="2944"/>
    <cellStyle name="好 2 3 5 2" xfId="3504"/>
    <cellStyle name="好 2 3 6" xfId="3499"/>
    <cellStyle name="好 2 3 6 2" xfId="3749"/>
    <cellStyle name="好 2 3 7" xfId="3085"/>
    <cellStyle name="好 2 3 8" xfId="3811"/>
    <cellStyle name="好 2 3 9" xfId="3829"/>
    <cellStyle name="好 2 4" xfId="710"/>
    <cellStyle name="好 2 4 2" xfId="2945"/>
    <cellStyle name="好 2 4 2 2" xfId="3506"/>
    <cellStyle name="好 2 4 3" xfId="3505"/>
    <cellStyle name="好 2 5" xfId="561"/>
    <cellStyle name="好 2 5 2" xfId="1206"/>
    <cellStyle name="好 2 5 3" xfId="2440"/>
    <cellStyle name="好 2 6" xfId="2363"/>
    <cellStyle name="好 2 6 2" xfId="2623"/>
    <cellStyle name="好 2 7" xfId="3800"/>
    <cellStyle name="好 2 8" xfId="2184"/>
    <cellStyle name="汇总 2" xfId="73"/>
    <cellStyle name="汇总 2 2" xfId="159"/>
    <cellStyle name="汇总 2 2 2" xfId="213"/>
    <cellStyle name="汇总 2 2 2 2" xfId="838"/>
    <cellStyle name="汇总 2 2 2 2 2" xfId="1467"/>
    <cellStyle name="汇总 2 2 2 3" xfId="568"/>
    <cellStyle name="汇总 2 2 2 3 2" xfId="1213"/>
    <cellStyle name="汇总 2 2 2 3 2 2" xfId="1524"/>
    <cellStyle name="汇总 2 2 2 3 3" xfId="1405"/>
    <cellStyle name="汇总 2 2 2 4" xfId="1370"/>
    <cellStyle name="汇总 2 2 2 4 2" xfId="3508"/>
    <cellStyle name="汇总 2 2 2 5" xfId="2946"/>
    <cellStyle name="汇总 2 2 2 5 2" xfId="3509"/>
    <cellStyle name="汇总 2 2 2 6" xfId="3507"/>
    <cellStyle name="汇总 2 2 3" xfId="192"/>
    <cellStyle name="汇总 2 2 3 2" xfId="817"/>
    <cellStyle name="汇总 2 2 3 2 2" xfId="1446"/>
    <cellStyle name="汇总 2 2 3 3" xfId="569"/>
    <cellStyle name="汇总 2 2 3 3 2" xfId="1214"/>
    <cellStyle name="汇总 2 2 3 3 2 2" xfId="1525"/>
    <cellStyle name="汇总 2 2 3 3 3" xfId="1406"/>
    <cellStyle name="汇总 2 2 3 4" xfId="1349"/>
    <cellStyle name="汇总 2 2 4" xfId="794"/>
    <cellStyle name="汇总 2 2 4 2" xfId="1435"/>
    <cellStyle name="汇总 2 2 5" xfId="567"/>
    <cellStyle name="汇总 2 2 5 2" xfId="1212"/>
    <cellStyle name="汇总 2 2 5 2 2" xfId="1523"/>
    <cellStyle name="汇总 2 2 5 3" xfId="1404"/>
    <cellStyle name="汇总 2 2 6" xfId="1328"/>
    <cellStyle name="汇总 2 3" xfId="202"/>
    <cellStyle name="汇总 2 3 2" xfId="827"/>
    <cellStyle name="汇总 2 3 2 2" xfId="1456"/>
    <cellStyle name="汇总 2 3 3" xfId="570"/>
    <cellStyle name="汇总 2 3 3 2" xfId="1215"/>
    <cellStyle name="汇总 2 3 3 2 2" xfId="1526"/>
    <cellStyle name="汇总 2 3 3 3" xfId="1407"/>
    <cellStyle name="汇总 2 3 4" xfId="1359"/>
    <cellStyle name="汇总 2 3 4 2" xfId="3511"/>
    <cellStyle name="汇总 2 3 5" xfId="2947"/>
    <cellStyle name="汇总 2 3 5 2" xfId="3512"/>
    <cellStyle name="汇总 2 3 6" xfId="3510"/>
    <cellStyle name="汇总 2 3 6 2" xfId="3750"/>
    <cellStyle name="汇总 2 3 7" xfId="3086"/>
    <cellStyle name="汇总 2 3 8" xfId="3853"/>
    <cellStyle name="汇总 2 4" xfId="181"/>
    <cellStyle name="汇总 2 4 2" xfId="1338"/>
    <cellStyle name="汇总 2 4 2 2" xfId="3514"/>
    <cellStyle name="汇总 2 4 3" xfId="3513"/>
    <cellStyle name="汇总 2 5" xfId="566"/>
    <cellStyle name="汇总 2 5 2" xfId="1211"/>
    <cellStyle name="汇总 2 5 2 2" xfId="1522"/>
    <cellStyle name="汇总 2 5 3" xfId="1403"/>
    <cellStyle name="汇总 2 6" xfId="1317"/>
    <cellStyle name="计算 2" xfId="74"/>
    <cellStyle name="计算 2 2" xfId="160"/>
    <cellStyle name="计算 2 2 2" xfId="214"/>
    <cellStyle name="计算 2 2 2 2" xfId="839"/>
    <cellStyle name="计算 2 2 2 2 2" xfId="1468"/>
    <cellStyle name="计算 2 2 2 3" xfId="573"/>
    <cellStyle name="计算 2 2 2 3 2" xfId="1218"/>
    <cellStyle name="计算 2 2 2 3 2 2" xfId="1529"/>
    <cellStyle name="计算 2 2 2 3 3" xfId="1410"/>
    <cellStyle name="计算 2 2 2 4" xfId="1371"/>
    <cellStyle name="计算 2 2 2 4 2" xfId="3516"/>
    <cellStyle name="计算 2 2 2 5" xfId="2948"/>
    <cellStyle name="计算 2 2 2 5 2" xfId="3517"/>
    <cellStyle name="计算 2 2 2 6" xfId="3515"/>
    <cellStyle name="计算 2 2 3" xfId="193"/>
    <cellStyle name="计算 2 2 3 2" xfId="818"/>
    <cellStyle name="计算 2 2 3 2 2" xfId="1447"/>
    <cellStyle name="计算 2 2 3 3" xfId="574"/>
    <cellStyle name="计算 2 2 3 3 2" xfId="1219"/>
    <cellStyle name="计算 2 2 3 3 2 2" xfId="1530"/>
    <cellStyle name="计算 2 2 3 3 3" xfId="1411"/>
    <cellStyle name="计算 2 2 3 4" xfId="1350"/>
    <cellStyle name="计算 2 2 4" xfId="795"/>
    <cellStyle name="计算 2 2 4 2" xfId="1436"/>
    <cellStyle name="计算 2 2 4 3" xfId="2450"/>
    <cellStyle name="计算 2 2 5" xfId="572"/>
    <cellStyle name="计算 2 2 5 2" xfId="1217"/>
    <cellStyle name="计算 2 2 5 2 2" xfId="1528"/>
    <cellStyle name="计算 2 2 5 3" xfId="1409"/>
    <cellStyle name="计算 2 2 6" xfId="1329"/>
    <cellStyle name="计算 2 2 6 2" xfId="2626"/>
    <cellStyle name="计算 2 2 7" xfId="2202"/>
    <cellStyle name="计算 2 3" xfId="203"/>
    <cellStyle name="计算 2 3 2" xfId="828"/>
    <cellStyle name="计算 2 3 2 2" xfId="1457"/>
    <cellStyle name="计算 2 3 3" xfId="575"/>
    <cellStyle name="计算 2 3 3 2" xfId="1220"/>
    <cellStyle name="计算 2 3 3 2 2" xfId="1531"/>
    <cellStyle name="计算 2 3 3 3" xfId="1412"/>
    <cellStyle name="计算 2 3 4" xfId="1360"/>
    <cellStyle name="计算 2 3 4 2" xfId="3519"/>
    <cellStyle name="计算 2 3 5" xfId="2949"/>
    <cellStyle name="计算 2 3 5 2" xfId="3520"/>
    <cellStyle name="计算 2 3 6" xfId="3518"/>
    <cellStyle name="计算 2 3 6 2" xfId="3751"/>
    <cellStyle name="计算 2 3 7" xfId="3087"/>
    <cellStyle name="计算 2 3 8" xfId="3777"/>
    <cellStyle name="计算 2 3 9" xfId="3774"/>
    <cellStyle name="计算 2 4" xfId="182"/>
    <cellStyle name="计算 2 4 2" xfId="1339"/>
    <cellStyle name="计算 2 4 2 2" xfId="3522"/>
    <cellStyle name="计算 2 4 3" xfId="3521"/>
    <cellStyle name="计算 2 5" xfId="571"/>
    <cellStyle name="计算 2 5 2" xfId="1216"/>
    <cellStyle name="计算 2 5 2 2" xfId="1527"/>
    <cellStyle name="计算 2 5 3" xfId="1408"/>
    <cellStyle name="计算 2 5 4" xfId="2385"/>
    <cellStyle name="计算 2 6" xfId="1318"/>
    <cellStyle name="计算 2 6 2" xfId="2625"/>
    <cellStyle name="计算 2 7" xfId="3848"/>
    <cellStyle name="计算 2 8" xfId="2128"/>
    <cellStyle name="检查单元格 2" xfId="75"/>
    <cellStyle name="检查单元格 2 2" xfId="161"/>
    <cellStyle name="检查单元格 2 2 2" xfId="578"/>
    <cellStyle name="检查单元格 2 2 2 2" xfId="1223"/>
    <cellStyle name="检查单元格 2 2 2 2 2" xfId="3524"/>
    <cellStyle name="检查单元格 2 2 2 3" xfId="2950"/>
    <cellStyle name="检查单元格 2 2 2 3 2" xfId="2951"/>
    <cellStyle name="检查单元格 2 2 2 3 2 2" xfId="3526"/>
    <cellStyle name="检查单元格 2 2 2 3 3" xfId="3525"/>
    <cellStyle name="检查单元格 2 2 2 4" xfId="2952"/>
    <cellStyle name="检查单元格 2 2 2 4 2" xfId="3527"/>
    <cellStyle name="检查单元格 2 2 2 5" xfId="2953"/>
    <cellStyle name="检查单元格 2 2 2 5 2" xfId="3528"/>
    <cellStyle name="检查单元格 2 2 2 6" xfId="3523"/>
    <cellStyle name="检查单元格 2 2 3" xfId="579"/>
    <cellStyle name="检查单元格 2 2 3 2" xfId="1224"/>
    <cellStyle name="检查单元格 2 2 3 2 2" xfId="3530"/>
    <cellStyle name="检查单元格 2 2 3 3" xfId="3529"/>
    <cellStyle name="检查单元格 2 2 4" xfId="796"/>
    <cellStyle name="检查单元格 2 2 4 2" xfId="2708"/>
    <cellStyle name="检查单元格 2 2 4 3" xfId="2501"/>
    <cellStyle name="检查单元格 2 2 5" xfId="577"/>
    <cellStyle name="检查单元格 2 2 5 2" xfId="1222"/>
    <cellStyle name="检查单元格 2 2 6" xfId="2366"/>
    <cellStyle name="检查单元格 2 2 6 2" xfId="2628"/>
    <cellStyle name="检查单元格 2 2 7" xfId="2254"/>
    <cellStyle name="检查单元格 2 3" xfId="580"/>
    <cellStyle name="检查单元格 2 3 2" xfId="1225"/>
    <cellStyle name="检查单元格 2 3 2 2" xfId="3532"/>
    <cellStyle name="检查单元格 2 3 3" xfId="2954"/>
    <cellStyle name="检查单元格 2 3 3 2" xfId="2955"/>
    <cellStyle name="检查单元格 2 3 3 2 2" xfId="3534"/>
    <cellStyle name="检查单元格 2 3 3 3" xfId="3533"/>
    <cellStyle name="检查单元格 2 3 4" xfId="2956"/>
    <cellStyle name="检查单元格 2 3 4 2" xfId="3535"/>
    <cellStyle name="检查单元格 2 3 5" xfId="2957"/>
    <cellStyle name="检查单元格 2 3 5 2" xfId="3536"/>
    <cellStyle name="检查单元格 2 3 6" xfId="3531"/>
    <cellStyle name="检查单元格 2 3 6 2" xfId="3752"/>
    <cellStyle name="检查单元格 2 3 7" xfId="3088"/>
    <cellStyle name="检查单元格 2 3 8" xfId="3818"/>
    <cellStyle name="检查单元格 2 3 9" xfId="3860"/>
    <cellStyle name="检查单元格 2 4" xfId="711"/>
    <cellStyle name="检查单元格 2 4 2" xfId="2958"/>
    <cellStyle name="检查单元格 2 4 2 2" xfId="3538"/>
    <cellStyle name="检查单元格 2 4 3" xfId="3537"/>
    <cellStyle name="检查单元格 2 5" xfId="576"/>
    <cellStyle name="检查单元格 2 5 2" xfId="1221"/>
    <cellStyle name="检查单元格 2 5 3" xfId="2436"/>
    <cellStyle name="检查单元格 2 6" xfId="2365"/>
    <cellStyle name="检查单元格 2 6 2" xfId="2627"/>
    <cellStyle name="检查单元格 2 7" xfId="3775"/>
    <cellStyle name="检查单元格 2 8" xfId="2179"/>
    <cellStyle name="解释性文本 2" xfId="76"/>
    <cellStyle name="解释性文本 2 2" xfId="162"/>
    <cellStyle name="解释性文本 2 2 2" xfId="583"/>
    <cellStyle name="解释性文本 2 2 2 2" xfId="1228"/>
    <cellStyle name="解释性文本 2 2 2 2 2" xfId="3540"/>
    <cellStyle name="解释性文本 2 2 2 3" xfId="2959"/>
    <cellStyle name="解释性文本 2 2 2 3 2" xfId="2960"/>
    <cellStyle name="解释性文本 2 2 2 3 2 2" xfId="3542"/>
    <cellStyle name="解释性文本 2 2 2 3 3" xfId="3541"/>
    <cellStyle name="解释性文本 2 2 2 4" xfId="2961"/>
    <cellStyle name="解释性文本 2 2 2 4 2" xfId="3543"/>
    <cellStyle name="解释性文本 2 2 2 5" xfId="2962"/>
    <cellStyle name="解释性文本 2 2 2 5 2" xfId="3544"/>
    <cellStyle name="解释性文本 2 2 2 6" xfId="3539"/>
    <cellStyle name="解释性文本 2 2 3" xfId="584"/>
    <cellStyle name="解释性文本 2 2 3 2" xfId="1229"/>
    <cellStyle name="解释性文本 2 2 3 2 2" xfId="3546"/>
    <cellStyle name="解释性文本 2 2 3 3" xfId="3545"/>
    <cellStyle name="解释性文本 2 2 4" xfId="797"/>
    <cellStyle name="解释性文本 2 2 4 2" xfId="3753"/>
    <cellStyle name="解释性文本 2 2 5" xfId="582"/>
    <cellStyle name="解释性文本 2 2 5 2" xfId="1227"/>
    <cellStyle name="解释性文本 2 3" xfId="585"/>
    <cellStyle name="解释性文本 2 3 2" xfId="1230"/>
    <cellStyle name="解释性文本 2 3 2 2" xfId="3548"/>
    <cellStyle name="解释性文本 2 3 3" xfId="2963"/>
    <cellStyle name="解释性文本 2 3 3 2" xfId="2964"/>
    <cellStyle name="解释性文本 2 3 3 2 2" xfId="3550"/>
    <cellStyle name="解释性文本 2 3 3 3" xfId="3549"/>
    <cellStyle name="解释性文本 2 3 4" xfId="2965"/>
    <cellStyle name="解释性文本 2 3 4 2" xfId="3551"/>
    <cellStyle name="解释性文本 2 3 5" xfId="2966"/>
    <cellStyle name="解释性文本 2 3 5 2" xfId="3552"/>
    <cellStyle name="解释性文本 2 3 6" xfId="3547"/>
    <cellStyle name="解释性文本 2 3 6 2" xfId="3754"/>
    <cellStyle name="解释性文本 2 3 7" xfId="3090"/>
    <cellStyle name="解释性文本 2 3 8" xfId="3781"/>
    <cellStyle name="解释性文本 2 4" xfId="712"/>
    <cellStyle name="解释性文本 2 4 2" xfId="2967"/>
    <cellStyle name="解释性文本 2 4 2 2" xfId="3554"/>
    <cellStyle name="解释性文本 2 4 3" xfId="3553"/>
    <cellStyle name="解释性文本 2 5" xfId="581"/>
    <cellStyle name="解释性文本 2 5 2" xfId="1226"/>
    <cellStyle name="解释性文本 2 6" xfId="3089"/>
    <cellStyle name="警告文本 2" xfId="77"/>
    <cellStyle name="警告文本 2 2" xfId="163"/>
    <cellStyle name="警告文本 2 2 2" xfId="588"/>
    <cellStyle name="警告文本 2 2 2 2" xfId="1233"/>
    <cellStyle name="警告文本 2 2 2 2 2" xfId="3556"/>
    <cellStyle name="警告文本 2 2 2 3" xfId="2968"/>
    <cellStyle name="警告文本 2 2 2 3 2" xfId="2969"/>
    <cellStyle name="警告文本 2 2 2 3 2 2" xfId="3558"/>
    <cellStyle name="警告文本 2 2 2 3 3" xfId="3557"/>
    <cellStyle name="警告文本 2 2 2 4" xfId="2970"/>
    <cellStyle name="警告文本 2 2 2 4 2" xfId="3559"/>
    <cellStyle name="警告文本 2 2 2 5" xfId="2971"/>
    <cellStyle name="警告文本 2 2 2 5 2" xfId="3560"/>
    <cellStyle name="警告文本 2 2 2 6" xfId="3555"/>
    <cellStyle name="警告文本 2 2 3" xfId="589"/>
    <cellStyle name="警告文本 2 2 3 2" xfId="1234"/>
    <cellStyle name="警告文本 2 2 3 2 2" xfId="3562"/>
    <cellStyle name="警告文本 2 2 3 3" xfId="3561"/>
    <cellStyle name="警告文本 2 2 4" xfId="798"/>
    <cellStyle name="警告文本 2 2 4 2" xfId="3755"/>
    <cellStyle name="警告文本 2 2 5" xfId="587"/>
    <cellStyle name="警告文本 2 2 5 2" xfId="1232"/>
    <cellStyle name="警告文本 2 3" xfId="590"/>
    <cellStyle name="警告文本 2 3 2" xfId="1235"/>
    <cellStyle name="警告文本 2 3 2 2" xfId="3564"/>
    <cellStyle name="警告文本 2 3 3" xfId="2972"/>
    <cellStyle name="警告文本 2 3 3 2" xfId="2973"/>
    <cellStyle name="警告文本 2 3 3 2 2" xfId="3566"/>
    <cellStyle name="警告文本 2 3 3 3" xfId="3565"/>
    <cellStyle name="警告文本 2 3 4" xfId="2974"/>
    <cellStyle name="警告文本 2 3 4 2" xfId="3567"/>
    <cellStyle name="警告文本 2 3 5" xfId="2975"/>
    <cellStyle name="警告文本 2 3 5 2" xfId="3568"/>
    <cellStyle name="警告文本 2 3 6" xfId="3563"/>
    <cellStyle name="警告文本 2 3 6 2" xfId="3756"/>
    <cellStyle name="警告文本 2 3 7" xfId="3092"/>
    <cellStyle name="警告文本 2 3 8" xfId="3865"/>
    <cellStyle name="警告文本 2 4" xfId="713"/>
    <cellStyle name="警告文本 2 4 2" xfId="2976"/>
    <cellStyle name="警告文本 2 4 2 2" xfId="3570"/>
    <cellStyle name="警告文本 2 4 3" xfId="3569"/>
    <cellStyle name="警告文本 2 5" xfId="586"/>
    <cellStyle name="警告文本 2 5 2" xfId="1231"/>
    <cellStyle name="警告文本 2 6" xfId="3091"/>
    <cellStyle name="链接单元格 2" xfId="78"/>
    <cellStyle name="链接单元格 2 2" xfId="164"/>
    <cellStyle name="链接单元格 2 2 2" xfId="593"/>
    <cellStyle name="链接单元格 2 2 2 2" xfId="1238"/>
    <cellStyle name="链接单元格 2 2 2 2 2" xfId="3572"/>
    <cellStyle name="链接单元格 2 2 2 3" xfId="2977"/>
    <cellStyle name="链接单元格 2 2 2 3 2" xfId="2978"/>
    <cellStyle name="链接单元格 2 2 2 3 2 2" xfId="3574"/>
    <cellStyle name="链接单元格 2 2 2 3 3" xfId="3573"/>
    <cellStyle name="链接单元格 2 2 2 4" xfId="2979"/>
    <cellStyle name="链接单元格 2 2 2 4 2" xfId="3575"/>
    <cellStyle name="链接单元格 2 2 2 5" xfId="2980"/>
    <cellStyle name="链接单元格 2 2 2 5 2" xfId="3576"/>
    <cellStyle name="链接单元格 2 2 2 6" xfId="3571"/>
    <cellStyle name="链接单元格 2 2 3" xfId="594"/>
    <cellStyle name="链接单元格 2 2 3 2" xfId="1239"/>
    <cellStyle name="链接单元格 2 2 3 2 2" xfId="3578"/>
    <cellStyle name="链接单元格 2 2 3 3" xfId="3577"/>
    <cellStyle name="链接单元格 2 2 4" xfId="799"/>
    <cellStyle name="链接单元格 2 2 4 2" xfId="3757"/>
    <cellStyle name="链接单元格 2 2 5" xfId="592"/>
    <cellStyle name="链接单元格 2 2 5 2" xfId="1237"/>
    <cellStyle name="链接单元格 2 3" xfId="595"/>
    <cellStyle name="链接单元格 2 3 2" xfId="1240"/>
    <cellStyle name="链接单元格 2 3 2 2" xfId="3580"/>
    <cellStyle name="链接单元格 2 3 3" xfId="2981"/>
    <cellStyle name="链接单元格 2 3 3 2" xfId="2982"/>
    <cellStyle name="链接单元格 2 3 3 2 2" xfId="3582"/>
    <cellStyle name="链接单元格 2 3 3 3" xfId="3581"/>
    <cellStyle name="链接单元格 2 3 4" xfId="2983"/>
    <cellStyle name="链接单元格 2 3 4 2" xfId="3583"/>
    <cellStyle name="链接单元格 2 3 5" xfId="2984"/>
    <cellStyle name="链接单元格 2 3 5 2" xfId="3584"/>
    <cellStyle name="链接单元格 2 3 6" xfId="3579"/>
    <cellStyle name="链接单元格 2 3 6 2" xfId="3758"/>
    <cellStyle name="链接单元格 2 3 7" xfId="3094"/>
    <cellStyle name="链接单元格 2 3 8" xfId="3807"/>
    <cellStyle name="链接单元格 2 4" xfId="714"/>
    <cellStyle name="链接单元格 2 4 2" xfId="2985"/>
    <cellStyle name="链接单元格 2 4 2 2" xfId="3586"/>
    <cellStyle name="链接单元格 2 4 3" xfId="3585"/>
    <cellStyle name="链接单元格 2 5" xfId="591"/>
    <cellStyle name="链接单元格 2 5 2" xfId="1236"/>
    <cellStyle name="链接单元格 2 6" xfId="3093"/>
    <cellStyle name="强调文字颜色 1 2" xfId="79"/>
    <cellStyle name="强调文字颜色 1 2 2" xfId="165"/>
    <cellStyle name="强调文字颜色 1 2 2 2" xfId="598"/>
    <cellStyle name="强调文字颜色 1 2 2 2 2" xfId="1243"/>
    <cellStyle name="强调文字颜色 1 2 2 2 2 2" xfId="3588"/>
    <cellStyle name="强调文字颜色 1 2 2 2 3" xfId="2986"/>
    <cellStyle name="强调文字颜色 1 2 2 2 3 2" xfId="2987"/>
    <cellStyle name="强调文字颜色 1 2 2 2 3 2 2" xfId="3590"/>
    <cellStyle name="强调文字颜色 1 2 2 2 3 3" xfId="3589"/>
    <cellStyle name="强调文字颜色 1 2 2 2 4" xfId="2988"/>
    <cellStyle name="强调文字颜色 1 2 2 2 4 2" xfId="3591"/>
    <cellStyle name="强调文字颜色 1 2 2 2 5" xfId="2989"/>
    <cellStyle name="强调文字颜色 1 2 2 2 5 2" xfId="3592"/>
    <cellStyle name="强调文字颜色 1 2 2 2 6" xfId="3587"/>
    <cellStyle name="强调文字颜色 1 2 2 3" xfId="599"/>
    <cellStyle name="强调文字颜色 1 2 2 3 2" xfId="1244"/>
    <cellStyle name="强调文字颜色 1 2 2 3 2 2" xfId="3594"/>
    <cellStyle name="强调文字颜色 1 2 2 3 3" xfId="3593"/>
    <cellStyle name="强调文字颜色 1 2 2 4" xfId="800"/>
    <cellStyle name="强调文字颜色 1 2 2 4 2" xfId="2709"/>
    <cellStyle name="强调文字颜色 1 2 2 4 3" xfId="2499"/>
    <cellStyle name="强调文字颜色 1 2 2 5" xfId="597"/>
    <cellStyle name="强调文字颜色 1 2 2 5 2" xfId="1242"/>
    <cellStyle name="强调文字颜色 1 2 2 6" xfId="2368"/>
    <cellStyle name="强调文字颜色 1 2 2 6 2" xfId="2630"/>
    <cellStyle name="强调文字颜色 1 2 2 7" xfId="2252"/>
    <cellStyle name="强调文字颜色 1 2 3" xfId="600"/>
    <cellStyle name="强调文字颜色 1 2 3 2" xfId="1245"/>
    <cellStyle name="强调文字颜色 1 2 3 2 2" xfId="3596"/>
    <cellStyle name="强调文字颜色 1 2 3 3" xfId="2990"/>
    <cellStyle name="强调文字颜色 1 2 3 3 2" xfId="2991"/>
    <cellStyle name="强调文字颜色 1 2 3 3 2 2" xfId="3598"/>
    <cellStyle name="强调文字颜色 1 2 3 3 3" xfId="3597"/>
    <cellStyle name="强调文字颜色 1 2 3 4" xfId="2992"/>
    <cellStyle name="强调文字颜色 1 2 3 4 2" xfId="3599"/>
    <cellStyle name="强调文字颜色 1 2 3 5" xfId="2993"/>
    <cellStyle name="强调文字颜色 1 2 3 5 2" xfId="3600"/>
    <cellStyle name="强调文字颜色 1 2 3 6" xfId="3595"/>
    <cellStyle name="强调文字颜色 1 2 3 6 2" xfId="3759"/>
    <cellStyle name="强调文字颜色 1 2 3 7" xfId="3095"/>
    <cellStyle name="强调文字颜色 1 2 3 8" xfId="3887"/>
    <cellStyle name="强调文字颜色 1 2 3 9" xfId="3878"/>
    <cellStyle name="强调文字颜色 1 2 4" xfId="715"/>
    <cellStyle name="强调文字颜色 1 2 4 2" xfId="2994"/>
    <cellStyle name="强调文字颜色 1 2 4 2 2" xfId="3602"/>
    <cellStyle name="强调文字颜色 1 2 4 3" xfId="3601"/>
    <cellStyle name="强调文字颜色 1 2 5" xfId="596"/>
    <cellStyle name="强调文字颜色 1 2 5 2" xfId="1241"/>
    <cellStyle name="强调文字颜色 1 2 5 3" xfId="2434"/>
    <cellStyle name="强调文字颜色 1 2 6" xfId="2367"/>
    <cellStyle name="强调文字颜色 1 2 6 2" xfId="2629"/>
    <cellStyle name="强调文字颜色 1 2 7" xfId="3836"/>
    <cellStyle name="强调文字颜色 1 2 8" xfId="2177"/>
    <cellStyle name="强调文字颜色 2 2" xfId="80"/>
    <cellStyle name="强调文字颜色 2 2 2" xfId="166"/>
    <cellStyle name="强调文字颜色 2 2 2 2" xfId="603"/>
    <cellStyle name="强调文字颜色 2 2 2 2 2" xfId="1248"/>
    <cellStyle name="强调文字颜色 2 2 2 2 2 2" xfId="3604"/>
    <cellStyle name="强调文字颜色 2 2 2 2 3" xfId="2995"/>
    <cellStyle name="强调文字颜色 2 2 2 2 3 2" xfId="2996"/>
    <cellStyle name="强调文字颜色 2 2 2 2 3 2 2" xfId="3606"/>
    <cellStyle name="强调文字颜色 2 2 2 2 3 3" xfId="3605"/>
    <cellStyle name="强调文字颜色 2 2 2 2 4" xfId="2997"/>
    <cellStyle name="强调文字颜色 2 2 2 2 4 2" xfId="3607"/>
    <cellStyle name="强调文字颜色 2 2 2 2 5" xfId="2998"/>
    <cellStyle name="强调文字颜色 2 2 2 2 5 2" xfId="3608"/>
    <cellStyle name="强调文字颜色 2 2 2 2 6" xfId="3603"/>
    <cellStyle name="强调文字颜色 2 2 2 3" xfId="604"/>
    <cellStyle name="强调文字颜色 2 2 2 3 2" xfId="1249"/>
    <cellStyle name="强调文字颜色 2 2 2 3 2 2" xfId="3610"/>
    <cellStyle name="强调文字颜色 2 2 2 3 3" xfId="3609"/>
    <cellStyle name="强调文字颜色 2 2 2 4" xfId="801"/>
    <cellStyle name="强调文字颜色 2 2 2 4 2" xfId="2710"/>
    <cellStyle name="强调文字颜色 2 2 2 4 3" xfId="2506"/>
    <cellStyle name="强调文字颜色 2 2 2 5" xfId="602"/>
    <cellStyle name="强调文字颜色 2 2 2 5 2" xfId="1247"/>
    <cellStyle name="强调文字颜色 2 2 2 6" xfId="2370"/>
    <cellStyle name="强调文字颜色 2 2 2 6 2" xfId="2632"/>
    <cellStyle name="强调文字颜色 2 2 2 7" xfId="2259"/>
    <cellStyle name="强调文字颜色 2 2 3" xfId="605"/>
    <cellStyle name="强调文字颜色 2 2 3 2" xfId="1250"/>
    <cellStyle name="强调文字颜色 2 2 3 2 2" xfId="3612"/>
    <cellStyle name="强调文字颜色 2 2 3 3" xfId="2999"/>
    <cellStyle name="强调文字颜色 2 2 3 3 2" xfId="3000"/>
    <cellStyle name="强调文字颜色 2 2 3 3 2 2" xfId="3614"/>
    <cellStyle name="强调文字颜色 2 2 3 3 3" xfId="3613"/>
    <cellStyle name="强调文字颜色 2 2 3 4" xfId="3001"/>
    <cellStyle name="强调文字颜色 2 2 3 4 2" xfId="3615"/>
    <cellStyle name="强调文字颜色 2 2 3 5" xfId="3002"/>
    <cellStyle name="强调文字颜色 2 2 3 5 2" xfId="3616"/>
    <cellStyle name="强调文字颜色 2 2 3 6" xfId="3611"/>
    <cellStyle name="强调文字颜色 2 2 3 6 2" xfId="3760"/>
    <cellStyle name="强调文字颜色 2 2 3 7" xfId="3096"/>
    <cellStyle name="强调文字颜色 2 2 3 8" xfId="3770"/>
    <cellStyle name="强调文字颜色 2 2 3 9" xfId="3783"/>
    <cellStyle name="强调文字颜色 2 2 4" xfId="716"/>
    <cellStyle name="强调文字颜色 2 2 4 2" xfId="3003"/>
    <cellStyle name="强调文字颜色 2 2 4 2 2" xfId="3618"/>
    <cellStyle name="强调文字颜色 2 2 4 3" xfId="3617"/>
    <cellStyle name="强调文字颜色 2 2 5" xfId="601"/>
    <cellStyle name="强调文字颜色 2 2 5 2" xfId="1246"/>
    <cellStyle name="强调文字颜色 2 2 5 3" xfId="2441"/>
    <cellStyle name="强调文字颜色 2 2 6" xfId="2369"/>
    <cellStyle name="强调文字颜色 2 2 6 2" xfId="2631"/>
    <cellStyle name="强调文字颜色 2 2 7" xfId="3822"/>
    <cellStyle name="强调文字颜色 2 2 8" xfId="2185"/>
    <cellStyle name="强调文字颜色 3 2" xfId="81"/>
    <cellStyle name="强调文字颜色 3 2 2" xfId="167"/>
    <cellStyle name="强调文字颜色 3 2 2 2" xfId="608"/>
    <cellStyle name="强调文字颜色 3 2 2 2 2" xfId="1253"/>
    <cellStyle name="强调文字颜色 3 2 2 2 2 2" xfId="3620"/>
    <cellStyle name="强调文字颜色 3 2 2 2 3" xfId="3004"/>
    <cellStyle name="强调文字颜色 3 2 2 2 3 2" xfId="3005"/>
    <cellStyle name="强调文字颜色 3 2 2 2 3 2 2" xfId="3622"/>
    <cellStyle name="强调文字颜色 3 2 2 2 3 3" xfId="3621"/>
    <cellStyle name="强调文字颜色 3 2 2 2 4" xfId="3006"/>
    <cellStyle name="强调文字颜色 3 2 2 2 4 2" xfId="3623"/>
    <cellStyle name="强调文字颜色 3 2 2 2 5" xfId="3007"/>
    <cellStyle name="强调文字颜色 3 2 2 2 5 2" xfId="3624"/>
    <cellStyle name="强调文字颜色 3 2 2 2 6" xfId="3619"/>
    <cellStyle name="强调文字颜色 3 2 2 3" xfId="609"/>
    <cellStyle name="强调文字颜色 3 2 2 3 2" xfId="1254"/>
    <cellStyle name="强调文字颜色 3 2 2 3 2 2" xfId="3626"/>
    <cellStyle name="强调文字颜色 3 2 2 3 3" xfId="3625"/>
    <cellStyle name="强调文字颜色 3 2 2 4" xfId="802"/>
    <cellStyle name="强调文字颜色 3 2 2 4 2" xfId="2711"/>
    <cellStyle name="强调文字颜色 3 2 2 4 3" xfId="2507"/>
    <cellStyle name="强调文字颜色 3 2 2 5" xfId="607"/>
    <cellStyle name="强调文字颜色 3 2 2 5 2" xfId="1252"/>
    <cellStyle name="强调文字颜色 3 2 2 6" xfId="2372"/>
    <cellStyle name="强调文字颜色 3 2 2 6 2" xfId="2634"/>
    <cellStyle name="强调文字颜色 3 2 2 7" xfId="2260"/>
    <cellStyle name="强调文字颜色 3 2 3" xfId="610"/>
    <cellStyle name="强调文字颜色 3 2 3 2" xfId="1255"/>
    <cellStyle name="强调文字颜色 3 2 3 2 2" xfId="3628"/>
    <cellStyle name="强调文字颜色 3 2 3 3" xfId="3008"/>
    <cellStyle name="强调文字颜色 3 2 3 3 2" xfId="3009"/>
    <cellStyle name="强调文字颜色 3 2 3 3 2 2" xfId="3630"/>
    <cellStyle name="强调文字颜色 3 2 3 3 3" xfId="3629"/>
    <cellStyle name="强调文字颜色 3 2 3 4" xfId="3010"/>
    <cellStyle name="强调文字颜色 3 2 3 4 2" xfId="3631"/>
    <cellStyle name="强调文字颜色 3 2 3 5" xfId="3011"/>
    <cellStyle name="强调文字颜色 3 2 3 5 2" xfId="3632"/>
    <cellStyle name="强调文字颜色 3 2 3 6" xfId="3627"/>
    <cellStyle name="强调文字颜色 3 2 3 6 2" xfId="3761"/>
    <cellStyle name="强调文字颜色 3 2 3 7" xfId="3097"/>
    <cellStyle name="强调文字颜色 3 2 3 8" xfId="3814"/>
    <cellStyle name="强调文字颜色 3 2 3 9" xfId="3850"/>
    <cellStyle name="强调文字颜色 3 2 4" xfId="717"/>
    <cellStyle name="强调文字颜色 3 2 4 2" xfId="3012"/>
    <cellStyle name="强调文字颜色 3 2 4 2 2" xfId="3634"/>
    <cellStyle name="强调文字颜色 3 2 4 3" xfId="3633"/>
    <cellStyle name="强调文字颜色 3 2 5" xfId="606"/>
    <cellStyle name="强调文字颜色 3 2 5 2" xfId="1251"/>
    <cellStyle name="强调文字颜色 3 2 5 3" xfId="2442"/>
    <cellStyle name="强调文字颜色 3 2 6" xfId="2371"/>
    <cellStyle name="强调文字颜色 3 2 6 2" xfId="2633"/>
    <cellStyle name="强调文字颜色 3 2 7" xfId="3852"/>
    <cellStyle name="强调文字颜色 3 2 8" xfId="2186"/>
    <cellStyle name="强调文字颜色 4 2" xfId="82"/>
    <cellStyle name="强调文字颜色 4 2 2" xfId="168"/>
    <cellStyle name="强调文字颜色 4 2 2 2" xfId="613"/>
    <cellStyle name="强调文字颜色 4 2 2 2 2" xfId="1258"/>
    <cellStyle name="强调文字颜色 4 2 2 2 2 2" xfId="3636"/>
    <cellStyle name="强调文字颜色 4 2 2 2 3" xfId="3013"/>
    <cellStyle name="强调文字颜色 4 2 2 2 3 2" xfId="3014"/>
    <cellStyle name="强调文字颜色 4 2 2 2 3 2 2" xfId="3638"/>
    <cellStyle name="强调文字颜色 4 2 2 2 3 3" xfId="3637"/>
    <cellStyle name="强调文字颜色 4 2 2 2 4" xfId="3015"/>
    <cellStyle name="强调文字颜色 4 2 2 2 4 2" xfId="3639"/>
    <cellStyle name="强调文字颜色 4 2 2 2 5" xfId="3016"/>
    <cellStyle name="强调文字颜色 4 2 2 2 5 2" xfId="3640"/>
    <cellStyle name="强调文字颜色 4 2 2 2 6" xfId="3635"/>
    <cellStyle name="强调文字颜色 4 2 2 3" xfId="614"/>
    <cellStyle name="强调文字颜色 4 2 2 3 2" xfId="1259"/>
    <cellStyle name="强调文字颜色 4 2 2 3 2 2" xfId="3642"/>
    <cellStyle name="强调文字颜色 4 2 2 3 3" xfId="3641"/>
    <cellStyle name="强调文字颜色 4 2 2 4" xfId="803"/>
    <cellStyle name="强调文字颜色 4 2 2 4 2" xfId="2712"/>
    <cellStyle name="强调文字颜色 4 2 2 4 3" xfId="2480"/>
    <cellStyle name="强调文字颜色 4 2 2 5" xfId="612"/>
    <cellStyle name="强调文字颜色 4 2 2 5 2" xfId="1257"/>
    <cellStyle name="强调文字颜色 4 2 2 6" xfId="2374"/>
    <cellStyle name="强调文字颜色 4 2 2 6 2" xfId="2636"/>
    <cellStyle name="强调文字颜色 4 2 2 7" xfId="2233"/>
    <cellStyle name="强调文字颜色 4 2 3" xfId="615"/>
    <cellStyle name="强调文字颜色 4 2 3 2" xfId="1260"/>
    <cellStyle name="强调文字颜色 4 2 3 2 2" xfId="3644"/>
    <cellStyle name="强调文字颜色 4 2 3 3" xfId="3017"/>
    <cellStyle name="强调文字颜色 4 2 3 3 2" xfId="3018"/>
    <cellStyle name="强调文字颜色 4 2 3 3 2 2" xfId="3646"/>
    <cellStyle name="强调文字颜色 4 2 3 3 3" xfId="3645"/>
    <cellStyle name="强调文字颜色 4 2 3 4" xfId="3019"/>
    <cellStyle name="强调文字颜色 4 2 3 4 2" xfId="3647"/>
    <cellStyle name="强调文字颜色 4 2 3 5" xfId="3020"/>
    <cellStyle name="强调文字颜色 4 2 3 5 2" xfId="3648"/>
    <cellStyle name="强调文字颜色 4 2 3 6" xfId="3643"/>
    <cellStyle name="强调文字颜色 4 2 3 6 2" xfId="3762"/>
    <cellStyle name="强调文字颜色 4 2 3 7" xfId="3098"/>
    <cellStyle name="强调文字颜色 4 2 3 8" xfId="3862"/>
    <cellStyle name="强调文字颜色 4 2 3 9" xfId="3830"/>
    <cellStyle name="强调文字颜色 4 2 4" xfId="718"/>
    <cellStyle name="强调文字颜色 4 2 4 2" xfId="3021"/>
    <cellStyle name="强调文字颜色 4 2 4 2 2" xfId="3650"/>
    <cellStyle name="强调文字颜色 4 2 4 3" xfId="3649"/>
    <cellStyle name="强调文字颜色 4 2 5" xfId="611"/>
    <cellStyle name="强调文字颜色 4 2 5 2" xfId="1256"/>
    <cellStyle name="强调文字颜色 4 2 5 3" xfId="2415"/>
    <cellStyle name="强调文字颜色 4 2 6" xfId="2373"/>
    <cellStyle name="强调文字颜色 4 2 6 2" xfId="2635"/>
    <cellStyle name="强调文字颜色 4 2 7" xfId="3833"/>
    <cellStyle name="强调文字颜色 4 2 8" xfId="2158"/>
    <cellStyle name="强调文字颜色 5 2" xfId="83"/>
    <cellStyle name="强调文字颜色 5 2 2" xfId="169"/>
    <cellStyle name="强调文字颜色 5 2 2 2" xfId="618"/>
    <cellStyle name="强调文字颜色 5 2 2 2 2" xfId="1263"/>
    <cellStyle name="强调文字颜色 5 2 2 2 2 2" xfId="3652"/>
    <cellStyle name="强调文字颜色 5 2 2 2 3" xfId="3022"/>
    <cellStyle name="强调文字颜色 5 2 2 2 3 2" xfId="3023"/>
    <cellStyle name="强调文字颜色 5 2 2 2 3 2 2" xfId="3654"/>
    <cellStyle name="强调文字颜色 5 2 2 2 3 3" xfId="3653"/>
    <cellStyle name="强调文字颜色 5 2 2 2 4" xfId="3024"/>
    <cellStyle name="强调文字颜色 5 2 2 2 4 2" xfId="3655"/>
    <cellStyle name="强调文字颜色 5 2 2 2 5" xfId="3025"/>
    <cellStyle name="强调文字颜色 5 2 2 2 5 2" xfId="3656"/>
    <cellStyle name="强调文字颜色 5 2 2 2 6" xfId="3651"/>
    <cellStyle name="强调文字颜色 5 2 2 3" xfId="619"/>
    <cellStyle name="强调文字颜色 5 2 2 3 2" xfId="1264"/>
    <cellStyle name="强调文字颜色 5 2 2 3 2 2" xfId="3658"/>
    <cellStyle name="强调文字颜色 5 2 2 3 3" xfId="3657"/>
    <cellStyle name="强调文字颜色 5 2 2 4" xfId="804"/>
    <cellStyle name="强调文字颜色 5 2 2 4 2" xfId="2713"/>
    <cellStyle name="强调文字颜色 5 2 2 4 3" xfId="2508"/>
    <cellStyle name="强调文字颜色 5 2 2 5" xfId="617"/>
    <cellStyle name="强调文字颜色 5 2 2 5 2" xfId="1262"/>
    <cellStyle name="强调文字颜色 5 2 2 6" xfId="2376"/>
    <cellStyle name="强调文字颜色 5 2 2 6 2" xfId="2638"/>
    <cellStyle name="强调文字颜色 5 2 2 7" xfId="2261"/>
    <cellStyle name="强调文字颜色 5 2 3" xfId="620"/>
    <cellStyle name="强调文字颜色 5 2 3 2" xfId="1265"/>
    <cellStyle name="强调文字颜色 5 2 3 2 2" xfId="3660"/>
    <cellStyle name="强调文字颜色 5 2 3 3" xfId="3026"/>
    <cellStyle name="强调文字颜色 5 2 3 3 2" xfId="3027"/>
    <cellStyle name="强调文字颜色 5 2 3 3 2 2" xfId="3662"/>
    <cellStyle name="强调文字颜色 5 2 3 3 3" xfId="3661"/>
    <cellStyle name="强调文字颜色 5 2 3 4" xfId="3028"/>
    <cellStyle name="强调文字颜色 5 2 3 4 2" xfId="3663"/>
    <cellStyle name="强调文字颜色 5 2 3 5" xfId="3029"/>
    <cellStyle name="强调文字颜色 5 2 3 5 2" xfId="3664"/>
    <cellStyle name="强调文字颜色 5 2 3 6" xfId="3659"/>
    <cellStyle name="强调文字颜色 5 2 3 6 2" xfId="3763"/>
    <cellStyle name="强调文字颜色 5 2 3 7" xfId="3099"/>
    <cellStyle name="强调文字颜色 5 2 3 8" xfId="3875"/>
    <cellStyle name="强调文字颜色 5 2 3 9" xfId="3898"/>
    <cellStyle name="强调文字颜色 5 2 4" xfId="719"/>
    <cellStyle name="强调文字颜色 5 2 4 2" xfId="3030"/>
    <cellStyle name="强调文字颜色 5 2 4 2 2" xfId="3666"/>
    <cellStyle name="强调文字颜色 5 2 4 3" xfId="3665"/>
    <cellStyle name="强调文字颜色 5 2 5" xfId="616"/>
    <cellStyle name="强调文字颜色 5 2 5 2" xfId="1261"/>
    <cellStyle name="强调文字颜色 5 2 5 3" xfId="2443"/>
    <cellStyle name="强调文字颜色 5 2 6" xfId="2375"/>
    <cellStyle name="强调文字颜色 5 2 6 2" xfId="2637"/>
    <cellStyle name="强调文字颜色 5 2 7" xfId="3790"/>
    <cellStyle name="强调文字颜色 5 2 8" xfId="2187"/>
    <cellStyle name="强调文字颜色 6 2" xfId="84"/>
    <cellStyle name="强调文字颜色 6 2 2" xfId="170"/>
    <cellStyle name="强调文字颜色 6 2 2 2" xfId="623"/>
    <cellStyle name="强调文字颜色 6 2 2 2 2" xfId="1268"/>
    <cellStyle name="强调文字颜色 6 2 2 2 2 2" xfId="3668"/>
    <cellStyle name="强调文字颜色 6 2 2 2 3" xfId="3031"/>
    <cellStyle name="强调文字颜色 6 2 2 2 3 2" xfId="3032"/>
    <cellStyle name="强调文字颜色 6 2 2 2 3 2 2" xfId="3670"/>
    <cellStyle name="强调文字颜色 6 2 2 2 3 3" xfId="3669"/>
    <cellStyle name="强调文字颜色 6 2 2 2 4" xfId="3033"/>
    <cellStyle name="强调文字颜色 6 2 2 2 4 2" xfId="3671"/>
    <cellStyle name="强调文字颜色 6 2 2 2 5" xfId="3034"/>
    <cellStyle name="强调文字颜色 6 2 2 2 5 2" xfId="3672"/>
    <cellStyle name="强调文字颜色 6 2 2 2 6" xfId="3667"/>
    <cellStyle name="强调文字颜色 6 2 2 3" xfId="624"/>
    <cellStyle name="强调文字颜色 6 2 2 3 2" xfId="1269"/>
    <cellStyle name="强调文字颜色 6 2 2 3 2 2" xfId="3674"/>
    <cellStyle name="强调文字颜色 6 2 2 3 3" xfId="3673"/>
    <cellStyle name="强调文字颜色 6 2 2 4" xfId="805"/>
    <cellStyle name="强调文字颜色 6 2 2 4 2" xfId="2714"/>
    <cellStyle name="强调文字颜色 6 2 2 4 3" xfId="2509"/>
    <cellStyle name="强调文字颜色 6 2 2 5" xfId="622"/>
    <cellStyle name="强调文字颜色 6 2 2 5 2" xfId="1267"/>
    <cellStyle name="强调文字颜色 6 2 2 6" xfId="2378"/>
    <cellStyle name="强调文字颜色 6 2 2 6 2" xfId="2640"/>
    <cellStyle name="强调文字颜色 6 2 2 7" xfId="2262"/>
    <cellStyle name="强调文字颜色 6 2 3" xfId="625"/>
    <cellStyle name="强调文字颜色 6 2 3 2" xfId="1270"/>
    <cellStyle name="强调文字颜色 6 2 3 2 2" xfId="3676"/>
    <cellStyle name="强调文字颜色 6 2 3 3" xfId="3035"/>
    <cellStyle name="强调文字颜色 6 2 3 3 2" xfId="3036"/>
    <cellStyle name="强调文字颜色 6 2 3 3 2 2" xfId="3678"/>
    <cellStyle name="强调文字颜色 6 2 3 3 3" xfId="3677"/>
    <cellStyle name="强调文字颜色 6 2 3 4" xfId="3037"/>
    <cellStyle name="强调文字颜色 6 2 3 4 2" xfId="3679"/>
    <cellStyle name="强调文字颜色 6 2 3 5" xfId="3038"/>
    <cellStyle name="强调文字颜色 6 2 3 5 2" xfId="3680"/>
    <cellStyle name="强调文字颜色 6 2 3 6" xfId="3675"/>
    <cellStyle name="强调文字颜色 6 2 3 6 2" xfId="3764"/>
    <cellStyle name="强调文字颜色 6 2 3 7" xfId="3100"/>
    <cellStyle name="强调文字颜色 6 2 3 8" xfId="3847"/>
    <cellStyle name="强调文字颜色 6 2 3 9" xfId="3879"/>
    <cellStyle name="强调文字颜色 6 2 4" xfId="720"/>
    <cellStyle name="强调文字颜色 6 2 4 2" xfId="3039"/>
    <cellStyle name="强调文字颜色 6 2 4 2 2" xfId="3682"/>
    <cellStyle name="强调文字颜色 6 2 4 3" xfId="3681"/>
    <cellStyle name="强调文字颜色 6 2 5" xfId="621"/>
    <cellStyle name="强调文字颜色 6 2 5 2" xfId="1266"/>
    <cellStyle name="强调文字颜色 6 2 5 3" xfId="2444"/>
    <cellStyle name="强调文字颜色 6 2 6" xfId="2377"/>
    <cellStyle name="强调文字颜色 6 2 6 2" xfId="2639"/>
    <cellStyle name="强调文字颜色 6 2 7" xfId="3895"/>
    <cellStyle name="强调文字颜色 6 2 8" xfId="2188"/>
    <cellStyle name="适中 2" xfId="85"/>
    <cellStyle name="适中 2 2" xfId="171"/>
    <cellStyle name="适中 2 2 2" xfId="628"/>
    <cellStyle name="适中 2 2 2 2" xfId="1273"/>
    <cellStyle name="适中 2 2 2 2 2" xfId="3684"/>
    <cellStyle name="适中 2 2 2 3" xfId="3040"/>
    <cellStyle name="适中 2 2 2 3 2" xfId="3041"/>
    <cellStyle name="适中 2 2 2 3 2 2" xfId="3686"/>
    <cellStyle name="适中 2 2 2 3 3" xfId="3685"/>
    <cellStyle name="适中 2 2 2 4" xfId="3042"/>
    <cellStyle name="适中 2 2 2 4 2" xfId="3687"/>
    <cellStyle name="适中 2 2 2 5" xfId="3043"/>
    <cellStyle name="适中 2 2 2 5 2" xfId="3688"/>
    <cellStyle name="适中 2 2 2 6" xfId="3683"/>
    <cellStyle name="适中 2 2 3" xfId="629"/>
    <cellStyle name="适中 2 2 3 2" xfId="1274"/>
    <cellStyle name="适中 2 2 3 2 2" xfId="3690"/>
    <cellStyle name="适中 2 2 3 3" xfId="3689"/>
    <cellStyle name="适中 2 2 4" xfId="806"/>
    <cellStyle name="适中 2 2 4 2" xfId="2715"/>
    <cellStyle name="适中 2 2 4 3" xfId="2458"/>
    <cellStyle name="适中 2 2 5" xfId="627"/>
    <cellStyle name="适中 2 2 5 2" xfId="1272"/>
    <cellStyle name="适中 2 2 6" xfId="2380"/>
    <cellStyle name="适中 2 2 6 2" xfId="2642"/>
    <cellStyle name="适中 2 2 7" xfId="2210"/>
    <cellStyle name="适中 2 3" xfId="630"/>
    <cellStyle name="适中 2 3 2" xfId="1275"/>
    <cellStyle name="适中 2 3 2 2" xfId="3692"/>
    <cellStyle name="适中 2 3 3" xfId="3044"/>
    <cellStyle name="适中 2 3 3 2" xfId="3045"/>
    <cellStyle name="适中 2 3 3 2 2" xfId="3694"/>
    <cellStyle name="适中 2 3 3 3" xfId="3693"/>
    <cellStyle name="适中 2 3 4" xfId="3046"/>
    <cellStyle name="适中 2 3 4 2" xfId="3695"/>
    <cellStyle name="适中 2 3 5" xfId="3047"/>
    <cellStyle name="适中 2 3 5 2" xfId="3696"/>
    <cellStyle name="适中 2 3 6" xfId="3691"/>
    <cellStyle name="适中 2 3 6 2" xfId="3765"/>
    <cellStyle name="适中 2 3 7" xfId="3101"/>
    <cellStyle name="适中 2 3 8" xfId="3846"/>
    <cellStyle name="适中 2 3 9" xfId="3831"/>
    <cellStyle name="适中 2 4" xfId="721"/>
    <cellStyle name="适中 2 4 2" xfId="3048"/>
    <cellStyle name="适中 2 4 2 2" xfId="3698"/>
    <cellStyle name="适中 2 4 3" xfId="3697"/>
    <cellStyle name="适中 2 5" xfId="626"/>
    <cellStyle name="适中 2 5 2" xfId="1271"/>
    <cellStyle name="适中 2 5 3" xfId="2393"/>
    <cellStyle name="适中 2 6" xfId="2379"/>
    <cellStyle name="适中 2 6 2" xfId="2641"/>
    <cellStyle name="适中 2 7" xfId="3826"/>
    <cellStyle name="适中 2 8" xfId="2136"/>
    <cellStyle name="输出 2" xfId="86"/>
    <cellStyle name="输出 2 2" xfId="172"/>
    <cellStyle name="输出 2 2 2" xfId="215"/>
    <cellStyle name="输出 2 2 2 2" xfId="840"/>
    <cellStyle name="输出 2 2 2 2 2" xfId="1469"/>
    <cellStyle name="输出 2 2 2 2 2 2" xfId="1664"/>
    <cellStyle name="输出 2 2 2 3" xfId="633"/>
    <cellStyle name="输出 2 2 2 3 2" xfId="1278"/>
    <cellStyle name="输出 2 2 2 3 2 2" xfId="1534"/>
    <cellStyle name="输出 2 2 2 3 2 2 2" xfId="1697"/>
    <cellStyle name="输出 2 2 2 3 3" xfId="1415"/>
    <cellStyle name="输出 2 2 2 3 3 2" xfId="1649"/>
    <cellStyle name="输出 2 2 2 4" xfId="1372"/>
    <cellStyle name="输出 2 2 2 4 2" xfId="1638"/>
    <cellStyle name="输出 2 2 2 5" xfId="3049"/>
    <cellStyle name="输出 2 2 2 5 2" xfId="3700"/>
    <cellStyle name="输出 2 2 2 6" xfId="3699"/>
    <cellStyle name="输出 2 2 3" xfId="194"/>
    <cellStyle name="输出 2 2 3 2" xfId="819"/>
    <cellStyle name="输出 2 2 3 2 2" xfId="1448"/>
    <cellStyle name="输出 2 2 3 2 2 2" xfId="1659"/>
    <cellStyle name="输出 2 2 3 3" xfId="634"/>
    <cellStyle name="输出 2 2 3 3 2" xfId="1279"/>
    <cellStyle name="输出 2 2 3 3 2 2" xfId="1535"/>
    <cellStyle name="输出 2 2 3 3 2 2 2" xfId="1698"/>
    <cellStyle name="输出 2 2 3 3 3" xfId="1416"/>
    <cellStyle name="输出 2 2 3 3 3 2" xfId="1650"/>
    <cellStyle name="输出 2 2 3 4" xfId="1351"/>
    <cellStyle name="输出 2 2 3 4 2" xfId="1633"/>
    <cellStyle name="输出 2 2 4" xfId="807"/>
    <cellStyle name="输出 2 2 4 2" xfId="1437"/>
    <cellStyle name="输出 2 2 4 2 2" xfId="1656"/>
    <cellStyle name="输出 2 2 4 3" xfId="2454"/>
    <cellStyle name="输出 2 2 5" xfId="632"/>
    <cellStyle name="输出 2 2 5 2" xfId="1277"/>
    <cellStyle name="输出 2 2 5 2 2" xfId="1533"/>
    <cellStyle name="输出 2 2 5 2 2 2" xfId="1696"/>
    <cellStyle name="输出 2 2 5 3" xfId="1414"/>
    <cellStyle name="输出 2 2 5 3 2" xfId="1648"/>
    <cellStyle name="输出 2 2 6" xfId="1330"/>
    <cellStyle name="输出 2 2 6 2" xfId="1628"/>
    <cellStyle name="输出 2 2 7" xfId="2206"/>
    <cellStyle name="输出 2 3" xfId="204"/>
    <cellStyle name="输出 2 3 2" xfId="829"/>
    <cellStyle name="输出 2 3 2 2" xfId="1458"/>
    <cellStyle name="输出 2 3 2 2 2" xfId="1661"/>
    <cellStyle name="输出 2 3 3" xfId="635"/>
    <cellStyle name="输出 2 3 3 2" xfId="1280"/>
    <cellStyle name="输出 2 3 3 2 2" xfId="1536"/>
    <cellStyle name="输出 2 3 3 2 2 2" xfId="1699"/>
    <cellStyle name="输出 2 3 3 3" xfId="1417"/>
    <cellStyle name="输出 2 3 3 3 2" xfId="1651"/>
    <cellStyle name="输出 2 3 4" xfId="1361"/>
    <cellStyle name="输出 2 3 4 2" xfId="1635"/>
    <cellStyle name="输出 2 3 5" xfId="3050"/>
    <cellStyle name="输出 2 3 5 2" xfId="3702"/>
    <cellStyle name="输出 2 3 6" xfId="3701"/>
    <cellStyle name="输出 2 3 6 2" xfId="3766"/>
    <cellStyle name="输出 2 3 7" xfId="3102"/>
    <cellStyle name="输出 2 3 8" xfId="3795"/>
    <cellStyle name="输出 2 3 9" xfId="3769"/>
    <cellStyle name="输出 2 4" xfId="183"/>
    <cellStyle name="输出 2 4 2" xfId="722"/>
    <cellStyle name="输出 2 4 2 2" xfId="1428"/>
    <cellStyle name="输出 2 4 2 2 2" xfId="1653"/>
    <cellStyle name="输出 2 4 3" xfId="1340"/>
    <cellStyle name="输出 2 4 3 2" xfId="1630"/>
    <cellStyle name="输出 2 5" xfId="631"/>
    <cellStyle name="输出 2 5 2" xfId="1276"/>
    <cellStyle name="输出 2 5 2 2" xfId="1532"/>
    <cellStyle name="输出 2 5 2 2 2" xfId="1695"/>
    <cellStyle name="输出 2 5 3" xfId="1413"/>
    <cellStyle name="输出 2 5 3 2" xfId="1647"/>
    <cellStyle name="输出 2 5 4" xfId="2389"/>
    <cellStyle name="输出 2 6" xfId="1319"/>
    <cellStyle name="输出 2 6 2" xfId="1625"/>
    <cellStyle name="输出 2 7" xfId="3809"/>
    <cellStyle name="输出 2 8" xfId="2132"/>
    <cellStyle name="输入 2" xfId="87"/>
    <cellStyle name="输入 2 2" xfId="173"/>
    <cellStyle name="输入 2 2 2" xfId="216"/>
    <cellStyle name="输入 2 2 2 2" xfId="841"/>
    <cellStyle name="输入 2 2 2 2 2" xfId="1470"/>
    <cellStyle name="输入 2 2 2 3" xfId="638"/>
    <cellStyle name="输入 2 2 2 3 2" xfId="1283"/>
    <cellStyle name="输入 2 2 2 3 2 2" xfId="1539"/>
    <cellStyle name="输入 2 2 2 3 3" xfId="1420"/>
    <cellStyle name="输入 2 2 2 4" xfId="1373"/>
    <cellStyle name="输入 2 2 2 4 2" xfId="3704"/>
    <cellStyle name="输入 2 2 2 5" xfId="3051"/>
    <cellStyle name="输入 2 2 2 5 2" xfId="3705"/>
    <cellStyle name="输入 2 2 2 6" xfId="3703"/>
    <cellStyle name="输入 2 2 3" xfId="195"/>
    <cellStyle name="输入 2 2 3 2" xfId="820"/>
    <cellStyle name="输入 2 2 3 2 2" xfId="1449"/>
    <cellStyle name="输入 2 2 3 3" xfId="639"/>
    <cellStyle name="输入 2 2 3 3 2" xfId="1284"/>
    <cellStyle name="输入 2 2 3 3 2 2" xfId="1540"/>
    <cellStyle name="输入 2 2 3 3 3" xfId="1421"/>
    <cellStyle name="输入 2 2 3 4" xfId="1352"/>
    <cellStyle name="输入 2 2 4" xfId="808"/>
    <cellStyle name="输入 2 2 4 2" xfId="1438"/>
    <cellStyle name="输入 2 2 4 3" xfId="2510"/>
    <cellStyle name="输入 2 2 5" xfId="637"/>
    <cellStyle name="输入 2 2 5 2" xfId="1282"/>
    <cellStyle name="输入 2 2 5 2 2" xfId="1538"/>
    <cellStyle name="输入 2 2 5 3" xfId="1419"/>
    <cellStyle name="输入 2 2 6" xfId="1331"/>
    <cellStyle name="输入 2 2 6 2" xfId="2644"/>
    <cellStyle name="输入 2 2 7" xfId="2263"/>
    <cellStyle name="输入 2 3" xfId="205"/>
    <cellStyle name="输入 2 3 2" xfId="830"/>
    <cellStyle name="输入 2 3 2 2" xfId="1459"/>
    <cellStyle name="输入 2 3 3" xfId="640"/>
    <cellStyle name="输入 2 3 3 2" xfId="1285"/>
    <cellStyle name="输入 2 3 3 2 2" xfId="1541"/>
    <cellStyle name="输入 2 3 3 3" xfId="1422"/>
    <cellStyle name="输入 2 3 4" xfId="1362"/>
    <cellStyle name="输入 2 3 4 2" xfId="3707"/>
    <cellStyle name="输入 2 3 5" xfId="3052"/>
    <cellStyle name="输入 2 3 5 2" xfId="3708"/>
    <cellStyle name="输入 2 3 6" xfId="3706"/>
    <cellStyle name="输入 2 3 6 2" xfId="3767"/>
    <cellStyle name="输入 2 3 7" xfId="3103"/>
    <cellStyle name="输入 2 3 8" xfId="3817"/>
    <cellStyle name="输入 2 3 9" xfId="3820"/>
    <cellStyle name="输入 2 4" xfId="184"/>
    <cellStyle name="输入 2 4 2" xfId="1341"/>
    <cellStyle name="输入 2 4 2 2" xfId="3710"/>
    <cellStyle name="输入 2 4 3" xfId="3709"/>
    <cellStyle name="输入 2 5" xfId="636"/>
    <cellStyle name="输入 2 5 2" xfId="1281"/>
    <cellStyle name="输入 2 5 2 2" xfId="1537"/>
    <cellStyle name="输入 2 5 3" xfId="1418"/>
    <cellStyle name="输入 2 5 4" xfId="2445"/>
    <cellStyle name="输入 2 6" xfId="1320"/>
    <cellStyle name="输入 2 6 2" xfId="2643"/>
    <cellStyle name="输入 2 7" xfId="3840"/>
    <cellStyle name="输入 2 8" xfId="2189"/>
    <cellStyle name="注释 2" xfId="88"/>
    <cellStyle name="注释 2 2" xfId="174"/>
    <cellStyle name="注释 2 2 2" xfId="217"/>
    <cellStyle name="注释 2 2 2 2" xfId="842"/>
    <cellStyle name="注释 2 2 2 2 2" xfId="1471"/>
    <cellStyle name="注释 2 2 2 3" xfId="643"/>
    <cellStyle name="注释 2 2 2 3 2" xfId="1288"/>
    <cellStyle name="注释 2 2 2 3 2 2" xfId="1544"/>
    <cellStyle name="注释 2 2 2 3 3" xfId="1425"/>
    <cellStyle name="注释 2 2 2 4" xfId="1374"/>
    <cellStyle name="注释 2 2 2 4 2" xfId="3712"/>
    <cellStyle name="注释 2 2 2 5" xfId="3053"/>
    <cellStyle name="注释 2 2 2 5 2" xfId="3713"/>
    <cellStyle name="注释 2 2 2 6" xfId="3711"/>
    <cellStyle name="注释 2 2 3" xfId="196"/>
    <cellStyle name="注释 2 2 3 2" xfId="821"/>
    <cellStyle name="注释 2 2 3 2 2" xfId="1450"/>
    <cellStyle name="注释 2 2 3 3" xfId="1353"/>
    <cellStyle name="注释 2 2 3 4" xfId="2511"/>
    <cellStyle name="注释 2 2 4" xfId="809"/>
    <cellStyle name="注释 2 2 4 2" xfId="1439"/>
    <cellStyle name="注释 2 2 5" xfId="642"/>
    <cellStyle name="注释 2 2 5 2" xfId="1287"/>
    <cellStyle name="注释 2 2 5 2 2" xfId="1543"/>
    <cellStyle name="注释 2 2 5 3" xfId="1424"/>
    <cellStyle name="注释 2 2 6" xfId="1332"/>
    <cellStyle name="注释 2 2 7" xfId="2264"/>
    <cellStyle name="注释 2 3" xfId="206"/>
    <cellStyle name="注释 2 3 2" xfId="831"/>
    <cellStyle name="注释 2 3 2 2" xfId="1460"/>
    <cellStyle name="注释 2 3 3" xfId="644"/>
    <cellStyle name="注释 2 3 3 2" xfId="1289"/>
    <cellStyle name="注释 2 3 3 2 2" xfId="1545"/>
    <cellStyle name="注释 2 3 3 3" xfId="1426"/>
    <cellStyle name="注释 2 3 4" xfId="1363"/>
    <cellStyle name="注释 2 3 4 2" xfId="3715"/>
    <cellStyle name="注释 2 3 5" xfId="3054"/>
    <cellStyle name="注释 2 3 5 2" xfId="3716"/>
    <cellStyle name="注释 2 3 6" xfId="3714"/>
    <cellStyle name="注释 2 3 6 2" xfId="3768"/>
    <cellStyle name="注释 2 3 7" xfId="3104"/>
    <cellStyle name="注释 2 3 8" xfId="3813"/>
    <cellStyle name="注释 2 3 9" xfId="3858"/>
    <cellStyle name="注释 2 4" xfId="185"/>
    <cellStyle name="注释 2 4 2" xfId="1342"/>
    <cellStyle name="注释 2 4 2 2" xfId="3718"/>
    <cellStyle name="注释 2 4 3" xfId="3717"/>
    <cellStyle name="注释 2 5" xfId="641"/>
    <cellStyle name="注释 2 5 2" xfId="1286"/>
    <cellStyle name="注释 2 5 2 2" xfId="1542"/>
    <cellStyle name="注释 2 5 3" xfId="1423"/>
    <cellStyle name="注释 2 5 4" xfId="2446"/>
    <cellStyle name="注释 2 6" xfId="1321"/>
    <cellStyle name="注释 2 6 2" xfId="2645"/>
    <cellStyle name="注释 2 7" xfId="3857"/>
    <cellStyle name="注释 2 8" xfId="219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1"/>
  <sheetViews>
    <sheetView tabSelected="1" workbookViewId="0">
      <pane xSplit="2" ySplit="2" topLeftCell="H3" activePane="bottomRight" state="frozen"/>
      <selection pane="topRight"/>
      <selection pane="bottomLeft"/>
      <selection pane="bottomRight" activeCell="N18" sqref="N18"/>
    </sheetView>
  </sheetViews>
  <sheetFormatPr defaultRowHeight="11.25" x14ac:dyDescent="0.15"/>
  <cols>
    <col min="1" max="1" width="8.5" style="14" customWidth="1"/>
    <col min="2" max="2" width="23.875" style="10" customWidth="1"/>
    <col min="3" max="3" width="30.5" style="10" customWidth="1"/>
    <col min="4" max="4" width="22.75" style="10" customWidth="1"/>
    <col min="5" max="5" width="14.375" style="14" customWidth="1"/>
    <col min="6" max="7" width="9.375" style="14" bestFit="1" customWidth="1"/>
    <col min="8" max="8" width="42.5" style="14" bestFit="1" customWidth="1"/>
    <col min="9" max="9" width="12.375" style="14" customWidth="1"/>
    <col min="10" max="10" width="10.25" style="14" customWidth="1"/>
    <col min="11" max="11" width="9.375" style="14" bestFit="1" customWidth="1"/>
    <col min="12" max="12" width="25.75" style="14" bestFit="1" customWidth="1"/>
    <col min="13" max="13" width="23.875" style="14" bestFit="1" customWidth="1"/>
    <col min="14" max="14" width="20.875" style="10" customWidth="1"/>
    <col min="15" max="15" width="21" style="10" bestFit="1" customWidth="1"/>
    <col min="16" max="16" width="12.25" style="14" bestFit="1" customWidth="1"/>
    <col min="17" max="17" width="13.375" style="14" bestFit="1" customWidth="1"/>
    <col min="18" max="16384" width="9" style="14"/>
  </cols>
  <sheetData>
    <row r="1" spans="1:17" x14ac:dyDescent="0.15">
      <c r="A1" s="15" t="s">
        <v>391</v>
      </c>
      <c r="B1" s="15" t="s">
        <v>392</v>
      </c>
      <c r="C1" s="15" t="s">
        <v>393</v>
      </c>
      <c r="D1" s="15" t="s">
        <v>394</v>
      </c>
      <c r="E1" s="15" t="s">
        <v>429</v>
      </c>
      <c r="F1" s="15" t="s">
        <v>395</v>
      </c>
      <c r="G1" s="15" t="s">
        <v>396</v>
      </c>
      <c r="H1" s="15" t="s">
        <v>397</v>
      </c>
      <c r="I1" s="15" t="s">
        <v>398</v>
      </c>
      <c r="J1" s="15" t="s">
        <v>399</v>
      </c>
      <c r="K1" s="15" t="s">
        <v>400</v>
      </c>
      <c r="L1" s="15" t="s">
        <v>401</v>
      </c>
      <c r="M1" s="15" t="s">
        <v>402</v>
      </c>
      <c r="N1" s="15" t="s">
        <v>403</v>
      </c>
      <c r="O1" s="15" t="s">
        <v>404</v>
      </c>
      <c r="P1" s="15" t="s">
        <v>405</v>
      </c>
      <c r="Q1" s="15" t="s">
        <v>406</v>
      </c>
    </row>
    <row r="2" spans="1:17" s="10" customFormat="1" ht="15" customHeight="1" x14ac:dyDescent="0.15">
      <c r="A2" s="16"/>
      <c r="B2" s="17" t="s">
        <v>415</v>
      </c>
      <c r="C2" s="17" t="s">
        <v>416</v>
      </c>
      <c r="D2" s="18" t="s">
        <v>417</v>
      </c>
      <c r="E2" s="17" t="s">
        <v>414</v>
      </c>
      <c r="F2" s="17" t="s">
        <v>418</v>
      </c>
      <c r="G2" s="17" t="s">
        <v>412</v>
      </c>
      <c r="H2" s="17" t="s">
        <v>419</v>
      </c>
      <c r="I2" s="16" t="s">
        <v>420</v>
      </c>
      <c r="J2" s="16" t="s">
        <v>421</v>
      </c>
      <c r="K2" s="16" t="s">
        <v>422</v>
      </c>
      <c r="L2" s="16" t="s">
        <v>423</v>
      </c>
      <c r="M2" s="16" t="s">
        <v>424</v>
      </c>
      <c r="N2" s="16" t="s">
        <v>425</v>
      </c>
      <c r="O2" s="16" t="s">
        <v>426</v>
      </c>
      <c r="P2" s="16" t="s">
        <v>427</v>
      </c>
      <c r="Q2" s="16" t="s">
        <v>428</v>
      </c>
    </row>
    <row r="3" spans="1:17" s="10" customFormat="1" ht="303.75" x14ac:dyDescent="0.15">
      <c r="A3" s="16"/>
      <c r="B3" s="17"/>
      <c r="C3" s="17"/>
      <c r="D3" s="18"/>
      <c r="E3" s="17" t="s">
        <v>413</v>
      </c>
      <c r="F3" s="17" t="s">
        <v>430</v>
      </c>
      <c r="G3" s="17"/>
      <c r="H3" s="19" t="s">
        <v>583</v>
      </c>
      <c r="I3" s="16" t="s">
        <v>407</v>
      </c>
      <c r="J3" s="16" t="s">
        <v>411</v>
      </c>
      <c r="K3" s="16"/>
      <c r="L3" s="16" t="s">
        <v>408</v>
      </c>
      <c r="M3" s="16" t="s">
        <v>409</v>
      </c>
      <c r="N3" s="16" t="s">
        <v>410</v>
      </c>
      <c r="O3" s="16" t="s">
        <v>454</v>
      </c>
      <c r="P3" s="16"/>
      <c r="Q3" s="21" t="s">
        <v>457</v>
      </c>
    </row>
    <row r="4" spans="1:17" x14ac:dyDescent="0.15">
      <c r="A4" s="22">
        <v>21020001</v>
      </c>
      <c r="B4" s="22" t="s">
        <v>566</v>
      </c>
      <c r="C4" s="22" t="s">
        <v>579</v>
      </c>
      <c r="D4" s="22" t="s">
        <v>584</v>
      </c>
      <c r="E4" s="22">
        <v>1</v>
      </c>
      <c r="F4" s="22">
        <v>1</v>
      </c>
      <c r="G4" s="22">
        <v>1</v>
      </c>
      <c r="H4" s="22">
        <v>18</v>
      </c>
      <c r="I4" s="22">
        <v>0</v>
      </c>
      <c r="J4" s="22">
        <v>1</v>
      </c>
      <c r="K4" s="22">
        <v>4</v>
      </c>
      <c r="L4" s="22"/>
      <c r="M4" s="22"/>
      <c r="N4" s="22"/>
      <c r="O4" s="23" t="s">
        <v>751</v>
      </c>
      <c r="P4" s="22">
        <f t="shared" ref="P4:P67" si="0">IF(E4=E5,A5,0)</f>
        <v>21020002</v>
      </c>
      <c r="Q4" s="22"/>
    </row>
    <row r="5" spans="1:17" x14ac:dyDescent="0.15">
      <c r="A5" s="22">
        <v>21020002</v>
      </c>
      <c r="B5" s="22" t="s">
        <v>566</v>
      </c>
      <c r="C5" s="22" t="s">
        <v>580</v>
      </c>
      <c r="D5" s="22" t="s">
        <v>584</v>
      </c>
      <c r="E5" s="22">
        <v>1</v>
      </c>
      <c r="F5" s="22">
        <v>2</v>
      </c>
      <c r="G5" s="22">
        <v>1</v>
      </c>
      <c r="H5" s="22">
        <v>18</v>
      </c>
      <c r="I5" s="22">
        <v>0</v>
      </c>
      <c r="J5" s="22">
        <v>1</v>
      </c>
      <c r="K5" s="22">
        <v>5</v>
      </c>
      <c r="L5" s="22"/>
      <c r="M5" s="22"/>
      <c r="N5" s="22"/>
      <c r="O5" s="23" t="s">
        <v>751</v>
      </c>
      <c r="P5" s="22">
        <f t="shared" si="0"/>
        <v>21020003</v>
      </c>
      <c r="Q5" s="22"/>
    </row>
    <row r="6" spans="1:17" x14ac:dyDescent="0.15">
      <c r="A6" s="22">
        <v>21020003</v>
      </c>
      <c r="B6" s="22" t="s">
        <v>566</v>
      </c>
      <c r="C6" s="22" t="s">
        <v>1</v>
      </c>
      <c r="D6" s="22" t="s">
        <v>584</v>
      </c>
      <c r="E6" s="22">
        <v>1</v>
      </c>
      <c r="F6" s="22">
        <v>3</v>
      </c>
      <c r="G6" s="22">
        <v>1</v>
      </c>
      <c r="H6" s="22">
        <v>18</v>
      </c>
      <c r="I6" s="22">
        <v>0</v>
      </c>
      <c r="J6" s="22">
        <v>1</v>
      </c>
      <c r="K6" s="22">
        <v>6</v>
      </c>
      <c r="L6" s="22"/>
      <c r="M6" s="22"/>
      <c r="N6" s="22"/>
      <c r="O6" s="23" t="s">
        <v>751</v>
      </c>
      <c r="P6" s="22">
        <f t="shared" si="0"/>
        <v>21020004</v>
      </c>
      <c r="Q6" s="22"/>
    </row>
    <row r="7" spans="1:17" x14ac:dyDescent="0.15">
      <c r="A7" s="22">
        <v>21020004</v>
      </c>
      <c r="B7" s="22" t="s">
        <v>566</v>
      </c>
      <c r="C7" s="22" t="s">
        <v>2</v>
      </c>
      <c r="D7" s="22" t="s">
        <v>584</v>
      </c>
      <c r="E7" s="22">
        <v>1</v>
      </c>
      <c r="F7" s="22">
        <v>4</v>
      </c>
      <c r="G7" s="22">
        <v>1</v>
      </c>
      <c r="H7" s="22">
        <v>18</v>
      </c>
      <c r="I7" s="22">
        <v>0</v>
      </c>
      <c r="J7" s="22">
        <v>1</v>
      </c>
      <c r="K7" s="22">
        <v>7</v>
      </c>
      <c r="L7" s="22"/>
      <c r="M7" s="22"/>
      <c r="N7" s="22"/>
      <c r="O7" s="23" t="s">
        <v>751</v>
      </c>
      <c r="P7" s="22">
        <f t="shared" si="0"/>
        <v>21020005</v>
      </c>
      <c r="Q7" s="22"/>
    </row>
    <row r="8" spans="1:17" x14ac:dyDescent="0.15">
      <c r="A8" s="22">
        <v>21020005</v>
      </c>
      <c r="B8" s="22" t="s">
        <v>566</v>
      </c>
      <c r="C8" s="22" t="s">
        <v>3</v>
      </c>
      <c r="D8" s="22" t="s">
        <v>584</v>
      </c>
      <c r="E8" s="22">
        <v>1</v>
      </c>
      <c r="F8" s="22">
        <v>5</v>
      </c>
      <c r="G8" s="22">
        <v>1</v>
      </c>
      <c r="H8" s="22">
        <v>18</v>
      </c>
      <c r="I8" s="22">
        <v>0</v>
      </c>
      <c r="J8" s="22">
        <v>1</v>
      </c>
      <c r="K8" s="22">
        <v>8</v>
      </c>
      <c r="L8" s="22"/>
      <c r="M8" s="22"/>
      <c r="N8" s="22"/>
      <c r="O8" s="23" t="s">
        <v>751</v>
      </c>
      <c r="P8" s="22">
        <f t="shared" si="0"/>
        <v>0</v>
      </c>
      <c r="Q8" s="22"/>
    </row>
    <row r="9" spans="1:17" s="11" customFormat="1" x14ac:dyDescent="0.15">
      <c r="A9" s="22">
        <v>21020006</v>
      </c>
      <c r="B9" s="22" t="s">
        <v>564</v>
      </c>
      <c r="C9" s="22" t="s">
        <v>590</v>
      </c>
      <c r="D9" s="22" t="s">
        <v>506</v>
      </c>
      <c r="E9" s="22">
        <v>3</v>
      </c>
      <c r="F9" s="22">
        <v>1</v>
      </c>
      <c r="G9" s="22">
        <v>1</v>
      </c>
      <c r="H9" s="22">
        <v>7</v>
      </c>
      <c r="I9" s="22">
        <v>1</v>
      </c>
      <c r="J9" s="22">
        <v>1300103</v>
      </c>
      <c r="K9" s="22">
        <v>1</v>
      </c>
      <c r="L9" s="22"/>
      <c r="M9" s="22"/>
      <c r="N9" s="22"/>
      <c r="O9" s="23" t="s">
        <v>775</v>
      </c>
      <c r="P9" s="22">
        <f t="shared" si="0"/>
        <v>21020007</v>
      </c>
      <c r="Q9" s="22">
        <v>1</v>
      </c>
    </row>
    <row r="10" spans="1:17" s="11" customFormat="1" x14ac:dyDescent="0.15">
      <c r="A10" s="22">
        <v>21020007</v>
      </c>
      <c r="B10" s="22" t="s">
        <v>565</v>
      </c>
      <c r="C10" s="22" t="s">
        <v>591</v>
      </c>
      <c r="D10" s="22" t="s">
        <v>506</v>
      </c>
      <c r="E10" s="22">
        <v>3</v>
      </c>
      <c r="F10" s="22">
        <v>2</v>
      </c>
      <c r="G10" s="22">
        <v>1</v>
      </c>
      <c r="H10" s="22">
        <v>7</v>
      </c>
      <c r="I10" s="22">
        <v>1</v>
      </c>
      <c r="J10" s="22">
        <v>1300104</v>
      </c>
      <c r="K10" s="22">
        <v>1</v>
      </c>
      <c r="L10" s="22"/>
      <c r="M10" s="22"/>
      <c r="N10" s="22"/>
      <c r="O10" s="23" t="s">
        <v>776</v>
      </c>
      <c r="P10" s="22">
        <f t="shared" si="0"/>
        <v>21020008</v>
      </c>
      <c r="Q10" s="22">
        <v>1</v>
      </c>
    </row>
    <row r="11" spans="1:17" s="12" customFormat="1" x14ac:dyDescent="0.15">
      <c r="A11" s="22">
        <v>21020008</v>
      </c>
      <c r="B11" s="22" t="s">
        <v>564</v>
      </c>
      <c r="C11" s="22" t="s">
        <v>592</v>
      </c>
      <c r="D11" s="22" t="s">
        <v>506</v>
      </c>
      <c r="E11" s="22">
        <v>3</v>
      </c>
      <c r="F11" s="22">
        <v>3</v>
      </c>
      <c r="G11" s="22">
        <v>1</v>
      </c>
      <c r="H11" s="22">
        <v>7</v>
      </c>
      <c r="I11" s="22">
        <v>1</v>
      </c>
      <c r="J11" s="22">
        <v>1300105</v>
      </c>
      <c r="K11" s="22">
        <v>1</v>
      </c>
      <c r="L11" s="22"/>
      <c r="M11" s="22"/>
      <c r="N11" s="22"/>
      <c r="O11" s="23" t="s">
        <v>751</v>
      </c>
      <c r="P11" s="22">
        <f t="shared" si="0"/>
        <v>21020009</v>
      </c>
      <c r="Q11" s="22">
        <v>1</v>
      </c>
    </row>
    <row r="12" spans="1:17" s="12" customFormat="1" x14ac:dyDescent="0.15">
      <c r="A12" s="22">
        <v>21020009</v>
      </c>
      <c r="B12" s="22" t="s">
        <v>565</v>
      </c>
      <c r="C12" s="22" t="s">
        <v>593</v>
      </c>
      <c r="D12" s="22" t="s">
        <v>506</v>
      </c>
      <c r="E12" s="22">
        <v>3</v>
      </c>
      <c r="F12" s="22">
        <v>4</v>
      </c>
      <c r="G12" s="22">
        <v>1</v>
      </c>
      <c r="H12" s="22">
        <v>7</v>
      </c>
      <c r="I12" s="22">
        <v>1</v>
      </c>
      <c r="J12" s="22">
        <v>1300106</v>
      </c>
      <c r="K12" s="22">
        <v>1</v>
      </c>
      <c r="L12" s="22"/>
      <c r="M12" s="22"/>
      <c r="N12" s="22"/>
      <c r="O12" s="23" t="s">
        <v>777</v>
      </c>
      <c r="P12" s="22">
        <f t="shared" si="0"/>
        <v>21020010</v>
      </c>
      <c r="Q12" s="22">
        <v>1</v>
      </c>
    </row>
    <row r="13" spans="1:17" s="12" customFormat="1" ht="12" x14ac:dyDescent="0.15">
      <c r="A13" s="22">
        <v>21020010</v>
      </c>
      <c r="B13" s="22" t="s">
        <v>564</v>
      </c>
      <c r="C13" s="24" t="s">
        <v>594</v>
      </c>
      <c r="D13" s="22" t="s">
        <v>506</v>
      </c>
      <c r="E13" s="22">
        <v>3</v>
      </c>
      <c r="F13" s="22">
        <v>5</v>
      </c>
      <c r="G13" s="22">
        <v>1</v>
      </c>
      <c r="H13" s="22">
        <v>7</v>
      </c>
      <c r="I13" s="22">
        <v>1</v>
      </c>
      <c r="J13" s="22">
        <v>1300107</v>
      </c>
      <c r="K13" s="22">
        <v>1</v>
      </c>
      <c r="L13" s="22"/>
      <c r="M13" s="22"/>
      <c r="N13" s="22"/>
      <c r="O13" s="23" t="s">
        <v>778</v>
      </c>
      <c r="P13" s="22">
        <f t="shared" si="0"/>
        <v>21020011</v>
      </c>
      <c r="Q13" s="22">
        <v>1</v>
      </c>
    </row>
    <row r="14" spans="1:17" s="13" customFormat="1" ht="12" x14ac:dyDescent="0.15">
      <c r="A14" s="22">
        <v>21020011</v>
      </c>
      <c r="B14" s="22" t="s">
        <v>565</v>
      </c>
      <c r="C14" s="24" t="s">
        <v>595</v>
      </c>
      <c r="D14" s="22" t="s">
        <v>506</v>
      </c>
      <c r="E14" s="22">
        <v>3</v>
      </c>
      <c r="F14" s="22">
        <v>6</v>
      </c>
      <c r="G14" s="22">
        <v>1</v>
      </c>
      <c r="H14" s="22">
        <v>7</v>
      </c>
      <c r="I14" s="22">
        <v>1</v>
      </c>
      <c r="J14" s="22">
        <v>1300108</v>
      </c>
      <c r="K14" s="22">
        <v>1</v>
      </c>
      <c r="L14" s="22"/>
      <c r="M14" s="22"/>
      <c r="N14" s="22"/>
      <c r="O14" s="23" t="s">
        <v>778</v>
      </c>
      <c r="P14" s="22">
        <f t="shared" si="0"/>
        <v>21020012</v>
      </c>
      <c r="Q14" s="22">
        <v>1</v>
      </c>
    </row>
    <row r="15" spans="1:17" s="13" customFormat="1" ht="12" x14ac:dyDescent="0.15">
      <c r="A15" s="22">
        <v>21020012</v>
      </c>
      <c r="B15" s="22" t="s">
        <v>564</v>
      </c>
      <c r="C15" s="24" t="s">
        <v>596</v>
      </c>
      <c r="D15" s="22" t="s">
        <v>506</v>
      </c>
      <c r="E15" s="22">
        <v>3</v>
      </c>
      <c r="F15" s="22">
        <v>7</v>
      </c>
      <c r="G15" s="22">
        <v>1</v>
      </c>
      <c r="H15" s="22">
        <v>7</v>
      </c>
      <c r="I15" s="22">
        <v>1</v>
      </c>
      <c r="J15" s="22">
        <v>1300109</v>
      </c>
      <c r="K15" s="22">
        <v>1</v>
      </c>
      <c r="L15" s="22"/>
      <c r="M15" s="22"/>
      <c r="N15" s="22" t="s">
        <v>779</v>
      </c>
      <c r="O15" s="23" t="s">
        <v>777</v>
      </c>
      <c r="P15" s="22">
        <f t="shared" si="0"/>
        <v>21020013</v>
      </c>
      <c r="Q15" s="22">
        <v>1</v>
      </c>
    </row>
    <row r="16" spans="1:17" s="13" customFormat="1" ht="12" x14ac:dyDescent="0.15">
      <c r="A16" s="22">
        <v>21020013</v>
      </c>
      <c r="B16" s="22" t="s">
        <v>565</v>
      </c>
      <c r="C16" s="24" t="s">
        <v>597</v>
      </c>
      <c r="D16" s="22" t="s">
        <v>506</v>
      </c>
      <c r="E16" s="22">
        <v>3</v>
      </c>
      <c r="F16" s="22">
        <v>8</v>
      </c>
      <c r="G16" s="22">
        <v>1</v>
      </c>
      <c r="H16" s="22">
        <v>7</v>
      </c>
      <c r="I16" s="22">
        <v>1</v>
      </c>
      <c r="J16" s="22">
        <v>1300110</v>
      </c>
      <c r="K16" s="22">
        <v>1</v>
      </c>
      <c r="L16" s="22"/>
      <c r="M16" s="22"/>
      <c r="N16" s="22"/>
      <c r="O16" s="23" t="s">
        <v>778</v>
      </c>
      <c r="P16" s="22">
        <f t="shared" si="0"/>
        <v>21020014</v>
      </c>
      <c r="Q16" s="22">
        <v>1</v>
      </c>
    </row>
    <row r="17" spans="1:17" s="13" customFormat="1" ht="12" x14ac:dyDescent="0.15">
      <c r="A17" s="22">
        <v>21020014</v>
      </c>
      <c r="B17" s="22" t="s">
        <v>564</v>
      </c>
      <c r="C17" s="24" t="s">
        <v>598</v>
      </c>
      <c r="D17" s="22" t="s">
        <v>506</v>
      </c>
      <c r="E17" s="22">
        <v>3</v>
      </c>
      <c r="F17" s="22">
        <v>9</v>
      </c>
      <c r="G17" s="22">
        <v>1</v>
      </c>
      <c r="H17" s="22">
        <v>7</v>
      </c>
      <c r="I17" s="22">
        <v>1</v>
      </c>
      <c r="J17" s="22">
        <v>1300111</v>
      </c>
      <c r="K17" s="22">
        <v>1</v>
      </c>
      <c r="L17" s="22"/>
      <c r="M17" s="22"/>
      <c r="N17" s="22"/>
      <c r="O17" s="23" t="s">
        <v>778</v>
      </c>
      <c r="P17" s="22">
        <f t="shared" si="0"/>
        <v>21020015</v>
      </c>
      <c r="Q17" s="22">
        <v>1</v>
      </c>
    </row>
    <row r="18" spans="1:17" s="13" customFormat="1" ht="12" x14ac:dyDescent="0.15">
      <c r="A18" s="22">
        <v>21020015</v>
      </c>
      <c r="B18" s="22" t="s">
        <v>565</v>
      </c>
      <c r="C18" s="24" t="s">
        <v>599</v>
      </c>
      <c r="D18" s="22" t="s">
        <v>506</v>
      </c>
      <c r="E18" s="22">
        <v>3</v>
      </c>
      <c r="F18" s="22">
        <v>10</v>
      </c>
      <c r="G18" s="22">
        <v>1</v>
      </c>
      <c r="H18" s="22">
        <v>7</v>
      </c>
      <c r="I18" s="22">
        <v>1</v>
      </c>
      <c r="J18" s="22">
        <v>1300112</v>
      </c>
      <c r="K18" s="22">
        <v>1</v>
      </c>
      <c r="L18" s="22"/>
      <c r="M18" s="22"/>
      <c r="N18" s="22"/>
      <c r="O18" s="23" t="s">
        <v>780</v>
      </c>
      <c r="P18" s="22">
        <f t="shared" si="0"/>
        <v>21020016</v>
      </c>
      <c r="Q18" s="22">
        <v>1</v>
      </c>
    </row>
    <row r="19" spans="1:17" s="13" customFormat="1" ht="12" x14ac:dyDescent="0.15">
      <c r="A19" s="22">
        <v>21020016</v>
      </c>
      <c r="B19" s="22" t="s">
        <v>564</v>
      </c>
      <c r="C19" s="24" t="s">
        <v>600</v>
      </c>
      <c r="D19" s="22" t="s">
        <v>506</v>
      </c>
      <c r="E19" s="22">
        <v>3</v>
      </c>
      <c r="F19" s="22">
        <v>11</v>
      </c>
      <c r="G19" s="22">
        <v>1</v>
      </c>
      <c r="H19" s="22">
        <v>7</v>
      </c>
      <c r="I19" s="22">
        <v>1</v>
      </c>
      <c r="J19" s="22">
        <v>1300113</v>
      </c>
      <c r="K19" s="22">
        <v>1</v>
      </c>
      <c r="L19" s="22"/>
      <c r="M19" s="22"/>
      <c r="N19" s="22"/>
      <c r="O19" s="23" t="s">
        <v>781</v>
      </c>
      <c r="P19" s="22">
        <f t="shared" si="0"/>
        <v>21020017</v>
      </c>
      <c r="Q19" s="22">
        <v>1</v>
      </c>
    </row>
    <row r="20" spans="1:17" s="13" customFormat="1" ht="12" x14ac:dyDescent="0.15">
      <c r="A20" s="22">
        <v>21020017</v>
      </c>
      <c r="B20" s="22" t="s">
        <v>565</v>
      </c>
      <c r="C20" s="24" t="s">
        <v>601</v>
      </c>
      <c r="D20" s="22" t="s">
        <v>506</v>
      </c>
      <c r="E20" s="22">
        <v>3</v>
      </c>
      <c r="F20" s="22">
        <v>12</v>
      </c>
      <c r="G20" s="22">
        <v>1</v>
      </c>
      <c r="H20" s="22">
        <v>7</v>
      </c>
      <c r="I20" s="22">
        <v>1</v>
      </c>
      <c r="J20" s="22">
        <v>1300114</v>
      </c>
      <c r="K20" s="22">
        <v>1</v>
      </c>
      <c r="L20" s="22"/>
      <c r="M20" s="22"/>
      <c r="N20" s="22"/>
      <c r="O20" s="23" t="s">
        <v>781</v>
      </c>
      <c r="P20" s="22">
        <f t="shared" si="0"/>
        <v>21020018</v>
      </c>
      <c r="Q20" s="22">
        <v>1</v>
      </c>
    </row>
    <row r="21" spans="1:17" s="13" customFormat="1" ht="12" x14ac:dyDescent="0.15">
      <c r="A21" s="22">
        <v>21020018</v>
      </c>
      <c r="B21" s="22" t="s">
        <v>564</v>
      </c>
      <c r="C21" s="24" t="s">
        <v>602</v>
      </c>
      <c r="D21" s="22" t="s">
        <v>506</v>
      </c>
      <c r="E21" s="22">
        <v>3</v>
      </c>
      <c r="F21" s="22">
        <v>13</v>
      </c>
      <c r="G21" s="22">
        <v>1</v>
      </c>
      <c r="H21" s="22">
        <v>7</v>
      </c>
      <c r="I21" s="22">
        <v>1</v>
      </c>
      <c r="J21" s="22">
        <v>1300115</v>
      </c>
      <c r="K21" s="22">
        <v>1</v>
      </c>
      <c r="L21" s="22"/>
      <c r="M21" s="22"/>
      <c r="N21" s="22"/>
      <c r="O21" s="23" t="s">
        <v>780</v>
      </c>
      <c r="P21" s="22">
        <f t="shared" si="0"/>
        <v>21020019</v>
      </c>
      <c r="Q21" s="22">
        <v>1</v>
      </c>
    </row>
    <row r="22" spans="1:17" s="13" customFormat="1" ht="12" x14ac:dyDescent="0.15">
      <c r="A22" s="22">
        <v>21020019</v>
      </c>
      <c r="B22" s="22" t="s">
        <v>565</v>
      </c>
      <c r="C22" s="24" t="s">
        <v>603</v>
      </c>
      <c r="D22" s="22" t="s">
        <v>506</v>
      </c>
      <c r="E22" s="22">
        <v>3</v>
      </c>
      <c r="F22" s="22">
        <v>14</v>
      </c>
      <c r="G22" s="22">
        <v>1</v>
      </c>
      <c r="H22" s="22">
        <v>7</v>
      </c>
      <c r="I22" s="22">
        <v>1</v>
      </c>
      <c r="J22" s="22">
        <v>1300116</v>
      </c>
      <c r="K22" s="22">
        <v>1</v>
      </c>
      <c r="L22" s="22"/>
      <c r="M22" s="22"/>
      <c r="N22" s="22"/>
      <c r="O22" s="23" t="s">
        <v>781</v>
      </c>
      <c r="P22" s="22">
        <f t="shared" si="0"/>
        <v>21020020</v>
      </c>
      <c r="Q22" s="22">
        <v>1</v>
      </c>
    </row>
    <row r="23" spans="1:17" s="13" customFormat="1" ht="12" x14ac:dyDescent="0.15">
      <c r="A23" s="22">
        <v>21020020</v>
      </c>
      <c r="B23" s="22" t="s">
        <v>564</v>
      </c>
      <c r="C23" s="24" t="s">
        <v>604</v>
      </c>
      <c r="D23" s="22" t="s">
        <v>506</v>
      </c>
      <c r="E23" s="22">
        <v>3</v>
      </c>
      <c r="F23" s="22">
        <v>15</v>
      </c>
      <c r="G23" s="22">
        <v>1</v>
      </c>
      <c r="H23" s="22">
        <v>7</v>
      </c>
      <c r="I23" s="22">
        <v>1</v>
      </c>
      <c r="J23" s="22">
        <v>1300117</v>
      </c>
      <c r="K23" s="22">
        <v>1</v>
      </c>
      <c r="L23" s="22"/>
      <c r="M23" s="22"/>
      <c r="N23" s="22"/>
      <c r="O23" s="23" t="s">
        <v>781</v>
      </c>
      <c r="P23" s="22">
        <f t="shared" si="0"/>
        <v>21020021</v>
      </c>
      <c r="Q23" s="22">
        <v>1</v>
      </c>
    </row>
    <row r="24" spans="1:17" s="13" customFormat="1" ht="12" x14ac:dyDescent="0.15">
      <c r="A24" s="22">
        <v>21020021</v>
      </c>
      <c r="B24" s="22" t="s">
        <v>565</v>
      </c>
      <c r="C24" s="24" t="s">
        <v>605</v>
      </c>
      <c r="D24" s="22" t="s">
        <v>506</v>
      </c>
      <c r="E24" s="22">
        <v>3</v>
      </c>
      <c r="F24" s="22">
        <v>16</v>
      </c>
      <c r="G24" s="22">
        <v>1</v>
      </c>
      <c r="H24" s="22">
        <v>7</v>
      </c>
      <c r="I24" s="22">
        <v>1</v>
      </c>
      <c r="J24" s="22">
        <v>1300118</v>
      </c>
      <c r="K24" s="22">
        <v>1</v>
      </c>
      <c r="L24" s="22"/>
      <c r="M24" s="22"/>
      <c r="N24" s="22" t="s">
        <v>779</v>
      </c>
      <c r="O24" s="23" t="s">
        <v>885</v>
      </c>
      <c r="P24" s="22">
        <f t="shared" si="0"/>
        <v>21020022</v>
      </c>
      <c r="Q24" s="22">
        <v>1</v>
      </c>
    </row>
    <row r="25" spans="1:17" s="13" customFormat="1" ht="12" x14ac:dyDescent="0.15">
      <c r="A25" s="22">
        <v>21020022</v>
      </c>
      <c r="B25" s="22" t="s">
        <v>564</v>
      </c>
      <c r="C25" s="25" t="s">
        <v>606</v>
      </c>
      <c r="D25" s="22" t="s">
        <v>506</v>
      </c>
      <c r="E25" s="22">
        <v>3</v>
      </c>
      <c r="F25" s="22">
        <v>17</v>
      </c>
      <c r="G25" s="22">
        <v>1</v>
      </c>
      <c r="H25" s="22">
        <v>7</v>
      </c>
      <c r="I25" s="22">
        <v>1</v>
      </c>
      <c r="J25" s="22">
        <v>1300201</v>
      </c>
      <c r="K25" s="22">
        <v>1</v>
      </c>
      <c r="L25" s="22"/>
      <c r="M25" s="22"/>
      <c r="N25" s="22"/>
      <c r="O25" s="23" t="s">
        <v>782</v>
      </c>
      <c r="P25" s="22">
        <f t="shared" si="0"/>
        <v>21020023</v>
      </c>
      <c r="Q25" s="22">
        <v>1</v>
      </c>
    </row>
    <row r="26" spans="1:17" s="13" customFormat="1" ht="12" x14ac:dyDescent="0.15">
      <c r="A26" s="22">
        <v>21020023</v>
      </c>
      <c r="B26" s="22" t="s">
        <v>565</v>
      </c>
      <c r="C26" s="25" t="s">
        <v>607</v>
      </c>
      <c r="D26" s="22" t="s">
        <v>506</v>
      </c>
      <c r="E26" s="22">
        <v>3</v>
      </c>
      <c r="F26" s="22">
        <v>18</v>
      </c>
      <c r="G26" s="22">
        <v>1</v>
      </c>
      <c r="H26" s="22">
        <v>7</v>
      </c>
      <c r="I26" s="22">
        <v>1</v>
      </c>
      <c r="J26" s="22">
        <v>1300202</v>
      </c>
      <c r="K26" s="22">
        <v>1</v>
      </c>
      <c r="L26" s="22"/>
      <c r="M26" s="22"/>
      <c r="N26" s="22"/>
      <c r="O26" s="23" t="s">
        <v>782</v>
      </c>
      <c r="P26" s="22">
        <f t="shared" si="0"/>
        <v>21020024</v>
      </c>
      <c r="Q26" s="22">
        <v>1</v>
      </c>
    </row>
    <row r="27" spans="1:17" s="13" customFormat="1" ht="12" x14ac:dyDescent="0.15">
      <c r="A27" s="22">
        <v>21020024</v>
      </c>
      <c r="B27" s="22" t="s">
        <v>564</v>
      </c>
      <c r="C27" s="25" t="s">
        <v>608</v>
      </c>
      <c r="D27" s="22" t="s">
        <v>506</v>
      </c>
      <c r="E27" s="22">
        <v>3</v>
      </c>
      <c r="F27" s="22">
        <v>19</v>
      </c>
      <c r="G27" s="22">
        <v>1</v>
      </c>
      <c r="H27" s="22">
        <v>7</v>
      </c>
      <c r="I27" s="22">
        <v>1</v>
      </c>
      <c r="J27" s="22">
        <v>1300203</v>
      </c>
      <c r="K27" s="22">
        <v>1</v>
      </c>
      <c r="L27" s="22"/>
      <c r="M27" s="22"/>
      <c r="N27" s="22"/>
      <c r="O27" s="23" t="s">
        <v>783</v>
      </c>
      <c r="P27" s="22">
        <f t="shared" si="0"/>
        <v>21020025</v>
      </c>
      <c r="Q27" s="22">
        <v>1</v>
      </c>
    </row>
    <row r="28" spans="1:17" s="13" customFormat="1" ht="12" x14ac:dyDescent="0.15">
      <c r="A28" s="22">
        <v>21020025</v>
      </c>
      <c r="B28" s="22" t="s">
        <v>565</v>
      </c>
      <c r="C28" s="25" t="s">
        <v>609</v>
      </c>
      <c r="D28" s="22" t="s">
        <v>506</v>
      </c>
      <c r="E28" s="22">
        <v>3</v>
      </c>
      <c r="F28" s="22">
        <v>20</v>
      </c>
      <c r="G28" s="22">
        <v>1</v>
      </c>
      <c r="H28" s="22">
        <v>7</v>
      </c>
      <c r="I28" s="22">
        <v>1</v>
      </c>
      <c r="J28" s="22">
        <v>1300204</v>
      </c>
      <c r="K28" s="22">
        <v>1</v>
      </c>
      <c r="L28" s="22"/>
      <c r="M28" s="22"/>
      <c r="N28" s="22"/>
      <c r="O28" s="23" t="s">
        <v>782</v>
      </c>
      <c r="P28" s="22">
        <f t="shared" si="0"/>
        <v>21020026</v>
      </c>
      <c r="Q28" s="22">
        <v>1</v>
      </c>
    </row>
    <row r="29" spans="1:17" s="13" customFormat="1" ht="12" x14ac:dyDescent="0.15">
      <c r="A29" s="22">
        <v>21020026</v>
      </c>
      <c r="B29" s="22" t="s">
        <v>564</v>
      </c>
      <c r="C29" s="25" t="s">
        <v>610</v>
      </c>
      <c r="D29" s="22" t="s">
        <v>506</v>
      </c>
      <c r="E29" s="22">
        <v>3</v>
      </c>
      <c r="F29" s="22">
        <v>21</v>
      </c>
      <c r="G29" s="22">
        <v>1</v>
      </c>
      <c r="H29" s="22">
        <v>7</v>
      </c>
      <c r="I29" s="22">
        <v>1</v>
      </c>
      <c r="J29" s="22">
        <v>1300205</v>
      </c>
      <c r="K29" s="22">
        <v>1</v>
      </c>
      <c r="L29" s="22"/>
      <c r="M29" s="22"/>
      <c r="N29" s="22"/>
      <c r="O29" s="23" t="s">
        <v>782</v>
      </c>
      <c r="P29" s="22">
        <f t="shared" si="0"/>
        <v>21020027</v>
      </c>
      <c r="Q29" s="22">
        <v>1</v>
      </c>
    </row>
    <row r="30" spans="1:17" s="13" customFormat="1" ht="12" x14ac:dyDescent="0.15">
      <c r="A30" s="22">
        <v>21020027</v>
      </c>
      <c r="B30" s="22" t="s">
        <v>565</v>
      </c>
      <c r="C30" s="25" t="s">
        <v>611</v>
      </c>
      <c r="D30" s="22" t="s">
        <v>506</v>
      </c>
      <c r="E30" s="22">
        <v>3</v>
      </c>
      <c r="F30" s="22">
        <v>22</v>
      </c>
      <c r="G30" s="22">
        <v>1</v>
      </c>
      <c r="H30" s="22">
        <v>7</v>
      </c>
      <c r="I30" s="22">
        <v>1</v>
      </c>
      <c r="J30" s="22">
        <v>1300206</v>
      </c>
      <c r="K30" s="22">
        <v>1</v>
      </c>
      <c r="L30" s="22"/>
      <c r="M30" s="22"/>
      <c r="N30" s="22"/>
      <c r="O30" s="23" t="s">
        <v>784</v>
      </c>
      <c r="P30" s="22">
        <f t="shared" si="0"/>
        <v>21020028</v>
      </c>
      <c r="Q30" s="22">
        <v>1</v>
      </c>
    </row>
    <row r="31" spans="1:17" s="13" customFormat="1" ht="12" x14ac:dyDescent="0.15">
      <c r="A31" s="22">
        <v>21020028</v>
      </c>
      <c r="B31" s="22" t="s">
        <v>564</v>
      </c>
      <c r="C31" s="24" t="s">
        <v>612</v>
      </c>
      <c r="D31" s="22" t="s">
        <v>506</v>
      </c>
      <c r="E31" s="22">
        <v>3</v>
      </c>
      <c r="F31" s="22">
        <v>23</v>
      </c>
      <c r="G31" s="22">
        <v>1</v>
      </c>
      <c r="H31" s="22">
        <v>7</v>
      </c>
      <c r="I31" s="22">
        <v>1</v>
      </c>
      <c r="J31" s="22">
        <v>1300207</v>
      </c>
      <c r="K31" s="22">
        <v>1</v>
      </c>
      <c r="L31" s="22"/>
      <c r="M31" s="22"/>
      <c r="N31" s="22"/>
      <c r="O31" s="23" t="s">
        <v>785</v>
      </c>
      <c r="P31" s="22">
        <f t="shared" si="0"/>
        <v>21020029</v>
      </c>
      <c r="Q31" s="22">
        <v>1</v>
      </c>
    </row>
    <row r="32" spans="1:17" s="13" customFormat="1" ht="12" x14ac:dyDescent="0.15">
      <c r="A32" s="22">
        <v>21020029</v>
      </c>
      <c r="B32" s="22" t="s">
        <v>565</v>
      </c>
      <c r="C32" s="24" t="s">
        <v>613</v>
      </c>
      <c r="D32" s="22" t="s">
        <v>506</v>
      </c>
      <c r="E32" s="22">
        <v>3</v>
      </c>
      <c r="F32" s="22">
        <v>24</v>
      </c>
      <c r="G32" s="22">
        <v>1</v>
      </c>
      <c r="H32" s="22">
        <v>7</v>
      </c>
      <c r="I32" s="22">
        <v>1</v>
      </c>
      <c r="J32" s="22">
        <v>1300208</v>
      </c>
      <c r="K32" s="22">
        <v>1</v>
      </c>
      <c r="L32" s="22"/>
      <c r="M32" s="22"/>
      <c r="N32" s="22"/>
      <c r="O32" s="23" t="s">
        <v>785</v>
      </c>
      <c r="P32" s="22">
        <f t="shared" si="0"/>
        <v>21020030</v>
      </c>
      <c r="Q32" s="22">
        <v>1</v>
      </c>
    </row>
    <row r="33" spans="1:17" s="13" customFormat="1" ht="12" x14ac:dyDescent="0.15">
      <c r="A33" s="22">
        <v>21020030</v>
      </c>
      <c r="B33" s="22" t="s">
        <v>564</v>
      </c>
      <c r="C33" s="24" t="s">
        <v>614</v>
      </c>
      <c r="D33" s="22" t="s">
        <v>506</v>
      </c>
      <c r="E33" s="22">
        <v>3</v>
      </c>
      <c r="F33" s="22">
        <v>25</v>
      </c>
      <c r="G33" s="22">
        <v>1</v>
      </c>
      <c r="H33" s="22">
        <v>7</v>
      </c>
      <c r="I33" s="22">
        <v>1</v>
      </c>
      <c r="J33" s="22">
        <v>1300209</v>
      </c>
      <c r="K33" s="22">
        <v>1</v>
      </c>
      <c r="L33" s="22"/>
      <c r="M33" s="22"/>
      <c r="N33" s="22" t="s">
        <v>786</v>
      </c>
      <c r="O33" s="23" t="s">
        <v>784</v>
      </c>
      <c r="P33" s="22">
        <f t="shared" si="0"/>
        <v>21020031</v>
      </c>
      <c r="Q33" s="22">
        <v>1</v>
      </c>
    </row>
    <row r="34" spans="1:17" s="13" customFormat="1" ht="12" x14ac:dyDescent="0.15">
      <c r="A34" s="22">
        <v>21020031</v>
      </c>
      <c r="B34" s="22" t="s">
        <v>565</v>
      </c>
      <c r="C34" s="24" t="s">
        <v>615</v>
      </c>
      <c r="D34" s="22" t="s">
        <v>506</v>
      </c>
      <c r="E34" s="22">
        <v>3</v>
      </c>
      <c r="F34" s="22">
        <v>26</v>
      </c>
      <c r="G34" s="22">
        <v>1</v>
      </c>
      <c r="H34" s="22">
        <v>7</v>
      </c>
      <c r="I34" s="22">
        <v>1</v>
      </c>
      <c r="J34" s="22">
        <v>1300210</v>
      </c>
      <c r="K34" s="22">
        <v>1</v>
      </c>
      <c r="L34" s="22"/>
      <c r="M34" s="22"/>
      <c r="N34" s="22"/>
      <c r="O34" s="23" t="s">
        <v>785</v>
      </c>
      <c r="P34" s="22">
        <f t="shared" si="0"/>
        <v>21020032</v>
      </c>
      <c r="Q34" s="22">
        <v>1</v>
      </c>
    </row>
    <row r="35" spans="1:17" s="13" customFormat="1" ht="12" x14ac:dyDescent="0.15">
      <c r="A35" s="22">
        <v>21020032</v>
      </c>
      <c r="B35" s="22" t="s">
        <v>564</v>
      </c>
      <c r="C35" s="24" t="s">
        <v>616</v>
      </c>
      <c r="D35" s="22" t="s">
        <v>506</v>
      </c>
      <c r="E35" s="22">
        <v>3</v>
      </c>
      <c r="F35" s="22">
        <v>27</v>
      </c>
      <c r="G35" s="22">
        <v>1</v>
      </c>
      <c r="H35" s="22">
        <v>7</v>
      </c>
      <c r="I35" s="22">
        <v>1</v>
      </c>
      <c r="J35" s="22">
        <v>1300211</v>
      </c>
      <c r="K35" s="22">
        <v>1</v>
      </c>
      <c r="L35" s="22"/>
      <c r="M35" s="22"/>
      <c r="N35" s="22"/>
      <c r="O35" s="23" t="s">
        <v>785</v>
      </c>
      <c r="P35" s="22">
        <f t="shared" si="0"/>
        <v>21020033</v>
      </c>
      <c r="Q35" s="22">
        <v>1</v>
      </c>
    </row>
    <row r="36" spans="1:17" s="13" customFormat="1" ht="12" x14ac:dyDescent="0.15">
      <c r="A36" s="22">
        <v>21020033</v>
      </c>
      <c r="B36" s="22" t="s">
        <v>565</v>
      </c>
      <c r="C36" s="24" t="s">
        <v>617</v>
      </c>
      <c r="D36" s="22" t="s">
        <v>506</v>
      </c>
      <c r="E36" s="22">
        <v>3</v>
      </c>
      <c r="F36" s="22">
        <v>28</v>
      </c>
      <c r="G36" s="22">
        <v>1</v>
      </c>
      <c r="H36" s="22">
        <v>7</v>
      </c>
      <c r="I36" s="22">
        <v>1</v>
      </c>
      <c r="J36" s="22">
        <v>1300212</v>
      </c>
      <c r="K36" s="22">
        <v>1</v>
      </c>
      <c r="L36" s="22"/>
      <c r="M36" s="22"/>
      <c r="N36" s="22"/>
      <c r="O36" s="23" t="s">
        <v>787</v>
      </c>
      <c r="P36" s="22">
        <f t="shared" si="0"/>
        <v>21020034</v>
      </c>
      <c r="Q36" s="22">
        <v>1</v>
      </c>
    </row>
    <row r="37" spans="1:17" s="13" customFormat="1" ht="12" x14ac:dyDescent="0.15">
      <c r="A37" s="22">
        <v>21020034</v>
      </c>
      <c r="B37" s="22" t="s">
        <v>564</v>
      </c>
      <c r="C37" s="24" t="s">
        <v>618</v>
      </c>
      <c r="D37" s="22" t="s">
        <v>506</v>
      </c>
      <c r="E37" s="22">
        <v>3</v>
      </c>
      <c r="F37" s="22">
        <v>29</v>
      </c>
      <c r="G37" s="22">
        <v>1</v>
      </c>
      <c r="H37" s="22">
        <v>7</v>
      </c>
      <c r="I37" s="22">
        <v>1</v>
      </c>
      <c r="J37" s="22">
        <v>1300213</v>
      </c>
      <c r="K37" s="22">
        <v>1</v>
      </c>
      <c r="L37" s="22"/>
      <c r="M37" s="22"/>
      <c r="N37" s="22"/>
      <c r="O37" s="23" t="s">
        <v>788</v>
      </c>
      <c r="P37" s="22">
        <f t="shared" si="0"/>
        <v>21020035</v>
      </c>
      <c r="Q37" s="22">
        <v>1</v>
      </c>
    </row>
    <row r="38" spans="1:17" s="13" customFormat="1" ht="12" x14ac:dyDescent="0.15">
      <c r="A38" s="22">
        <v>21020035</v>
      </c>
      <c r="B38" s="22" t="s">
        <v>565</v>
      </c>
      <c r="C38" s="24" t="s">
        <v>619</v>
      </c>
      <c r="D38" s="22" t="s">
        <v>506</v>
      </c>
      <c r="E38" s="22">
        <v>3</v>
      </c>
      <c r="F38" s="22">
        <v>30</v>
      </c>
      <c r="G38" s="22">
        <v>1</v>
      </c>
      <c r="H38" s="22">
        <v>7</v>
      </c>
      <c r="I38" s="22">
        <v>1</v>
      </c>
      <c r="J38" s="22">
        <v>1300214</v>
      </c>
      <c r="K38" s="22">
        <v>1</v>
      </c>
      <c r="L38" s="22"/>
      <c r="M38" s="22"/>
      <c r="N38" s="22"/>
      <c r="O38" s="23" t="s">
        <v>788</v>
      </c>
      <c r="P38" s="22">
        <f t="shared" si="0"/>
        <v>21020036</v>
      </c>
      <c r="Q38" s="22">
        <v>1</v>
      </c>
    </row>
    <row r="39" spans="1:17" s="13" customFormat="1" ht="12" x14ac:dyDescent="0.15">
      <c r="A39" s="22">
        <v>21020036</v>
      </c>
      <c r="B39" s="22" t="s">
        <v>564</v>
      </c>
      <c r="C39" s="24" t="s">
        <v>620</v>
      </c>
      <c r="D39" s="22" t="s">
        <v>506</v>
      </c>
      <c r="E39" s="22">
        <v>3</v>
      </c>
      <c r="F39" s="22">
        <v>31</v>
      </c>
      <c r="G39" s="22">
        <v>1</v>
      </c>
      <c r="H39" s="22">
        <v>7</v>
      </c>
      <c r="I39" s="22">
        <v>1</v>
      </c>
      <c r="J39" s="22">
        <v>1300215</v>
      </c>
      <c r="K39" s="22">
        <v>1</v>
      </c>
      <c r="L39" s="22"/>
      <c r="M39" s="22"/>
      <c r="N39" s="22"/>
      <c r="O39" s="23" t="s">
        <v>787</v>
      </c>
      <c r="P39" s="22">
        <f t="shared" si="0"/>
        <v>21020037</v>
      </c>
      <c r="Q39" s="22">
        <v>1</v>
      </c>
    </row>
    <row r="40" spans="1:17" s="13" customFormat="1" ht="12" x14ac:dyDescent="0.15">
      <c r="A40" s="22">
        <v>21020037</v>
      </c>
      <c r="B40" s="22" t="s">
        <v>565</v>
      </c>
      <c r="C40" s="24" t="s">
        <v>621</v>
      </c>
      <c r="D40" s="22" t="s">
        <v>506</v>
      </c>
      <c r="E40" s="22">
        <v>3</v>
      </c>
      <c r="F40" s="22">
        <v>32</v>
      </c>
      <c r="G40" s="22">
        <v>1</v>
      </c>
      <c r="H40" s="22">
        <v>7</v>
      </c>
      <c r="I40" s="22">
        <v>1</v>
      </c>
      <c r="J40" s="22">
        <v>1300216</v>
      </c>
      <c r="K40" s="22">
        <v>1</v>
      </c>
      <c r="L40" s="22"/>
      <c r="M40" s="22"/>
      <c r="N40" s="22"/>
      <c r="O40" s="23" t="s">
        <v>788</v>
      </c>
      <c r="P40" s="22">
        <f t="shared" si="0"/>
        <v>21020038</v>
      </c>
      <c r="Q40" s="22">
        <v>1</v>
      </c>
    </row>
    <row r="41" spans="1:17" s="13" customFormat="1" ht="12" x14ac:dyDescent="0.15">
      <c r="A41" s="22">
        <v>21020038</v>
      </c>
      <c r="B41" s="22" t="s">
        <v>564</v>
      </c>
      <c r="C41" s="24" t="s">
        <v>622</v>
      </c>
      <c r="D41" s="22" t="s">
        <v>506</v>
      </c>
      <c r="E41" s="22">
        <v>3</v>
      </c>
      <c r="F41" s="22">
        <v>33</v>
      </c>
      <c r="G41" s="22">
        <v>1</v>
      </c>
      <c r="H41" s="22">
        <v>7</v>
      </c>
      <c r="I41" s="22">
        <v>1</v>
      </c>
      <c r="J41" s="22">
        <v>1300217</v>
      </c>
      <c r="K41" s="22">
        <v>1</v>
      </c>
      <c r="L41" s="22"/>
      <c r="M41" s="22"/>
      <c r="N41" s="22"/>
      <c r="O41" s="23" t="s">
        <v>788</v>
      </c>
      <c r="P41" s="22">
        <f t="shared" si="0"/>
        <v>21020039</v>
      </c>
      <c r="Q41" s="22">
        <v>1</v>
      </c>
    </row>
    <row r="42" spans="1:17" s="13" customFormat="1" ht="12" x14ac:dyDescent="0.15">
      <c r="A42" s="22">
        <v>21020039</v>
      </c>
      <c r="B42" s="22" t="s">
        <v>565</v>
      </c>
      <c r="C42" s="24" t="s">
        <v>623</v>
      </c>
      <c r="D42" s="22" t="s">
        <v>506</v>
      </c>
      <c r="E42" s="22">
        <v>3</v>
      </c>
      <c r="F42" s="22">
        <v>34</v>
      </c>
      <c r="G42" s="22">
        <v>1</v>
      </c>
      <c r="H42" s="22">
        <v>7</v>
      </c>
      <c r="I42" s="22">
        <v>1</v>
      </c>
      <c r="J42" s="22">
        <v>1300218</v>
      </c>
      <c r="K42" s="22">
        <v>1</v>
      </c>
      <c r="L42" s="22"/>
      <c r="M42" s="22"/>
      <c r="N42" s="22" t="s">
        <v>786</v>
      </c>
      <c r="O42" s="23" t="s">
        <v>886</v>
      </c>
      <c r="P42" s="22">
        <f t="shared" si="0"/>
        <v>21020040</v>
      </c>
      <c r="Q42" s="22">
        <v>1</v>
      </c>
    </row>
    <row r="43" spans="1:17" s="13" customFormat="1" ht="12" x14ac:dyDescent="0.15">
      <c r="A43" s="22">
        <v>21020040</v>
      </c>
      <c r="B43" s="22" t="s">
        <v>564</v>
      </c>
      <c r="C43" s="25" t="s">
        <v>624</v>
      </c>
      <c r="D43" s="22" t="s">
        <v>506</v>
      </c>
      <c r="E43" s="22">
        <v>3</v>
      </c>
      <c r="F43" s="22">
        <v>35</v>
      </c>
      <c r="G43" s="22">
        <v>1</v>
      </c>
      <c r="H43" s="22">
        <v>7</v>
      </c>
      <c r="I43" s="22">
        <v>1</v>
      </c>
      <c r="J43" s="22">
        <v>1300301</v>
      </c>
      <c r="K43" s="22">
        <v>1</v>
      </c>
      <c r="L43" s="22"/>
      <c r="M43" s="22"/>
      <c r="N43" s="22"/>
      <c r="O43" s="23" t="s">
        <v>789</v>
      </c>
      <c r="P43" s="22">
        <f t="shared" si="0"/>
        <v>21020041</v>
      </c>
      <c r="Q43" s="22">
        <v>1</v>
      </c>
    </row>
    <row r="44" spans="1:17" s="13" customFormat="1" ht="12" x14ac:dyDescent="0.15">
      <c r="A44" s="22">
        <v>21020041</v>
      </c>
      <c r="B44" s="22" t="s">
        <v>565</v>
      </c>
      <c r="C44" s="25" t="s">
        <v>625</v>
      </c>
      <c r="D44" s="22" t="s">
        <v>506</v>
      </c>
      <c r="E44" s="22">
        <v>3</v>
      </c>
      <c r="F44" s="22">
        <v>36</v>
      </c>
      <c r="G44" s="22">
        <v>1</v>
      </c>
      <c r="H44" s="22">
        <v>7</v>
      </c>
      <c r="I44" s="22">
        <v>1</v>
      </c>
      <c r="J44" s="22">
        <v>1300302</v>
      </c>
      <c r="K44" s="22">
        <v>1</v>
      </c>
      <c r="L44" s="22"/>
      <c r="M44" s="22"/>
      <c r="N44" s="22"/>
      <c r="O44" s="23" t="s">
        <v>789</v>
      </c>
      <c r="P44" s="22">
        <f t="shared" si="0"/>
        <v>21020042</v>
      </c>
      <c r="Q44" s="22">
        <v>1</v>
      </c>
    </row>
    <row r="45" spans="1:17" s="13" customFormat="1" ht="12" x14ac:dyDescent="0.15">
      <c r="A45" s="22">
        <v>21020042</v>
      </c>
      <c r="B45" s="22" t="s">
        <v>564</v>
      </c>
      <c r="C45" s="25" t="s">
        <v>626</v>
      </c>
      <c r="D45" s="22" t="s">
        <v>506</v>
      </c>
      <c r="E45" s="22">
        <v>3</v>
      </c>
      <c r="F45" s="22">
        <v>37</v>
      </c>
      <c r="G45" s="22">
        <v>1</v>
      </c>
      <c r="H45" s="22">
        <v>7</v>
      </c>
      <c r="I45" s="22">
        <v>1</v>
      </c>
      <c r="J45" s="22">
        <v>1300303</v>
      </c>
      <c r="K45" s="22">
        <v>1</v>
      </c>
      <c r="L45" s="22"/>
      <c r="M45" s="22"/>
      <c r="N45" s="22"/>
      <c r="O45" s="23" t="s">
        <v>790</v>
      </c>
      <c r="P45" s="22">
        <f t="shared" si="0"/>
        <v>21020043</v>
      </c>
      <c r="Q45" s="22">
        <v>1</v>
      </c>
    </row>
    <row r="46" spans="1:17" ht="12" x14ac:dyDescent="0.15">
      <c r="A46" s="22">
        <v>21020043</v>
      </c>
      <c r="B46" s="22" t="s">
        <v>565</v>
      </c>
      <c r="C46" s="25" t="s">
        <v>627</v>
      </c>
      <c r="D46" s="22" t="s">
        <v>506</v>
      </c>
      <c r="E46" s="22">
        <v>3</v>
      </c>
      <c r="F46" s="22">
        <v>38</v>
      </c>
      <c r="G46" s="22">
        <v>1</v>
      </c>
      <c r="H46" s="22">
        <v>7</v>
      </c>
      <c r="I46" s="22">
        <v>1</v>
      </c>
      <c r="J46" s="22">
        <v>1300304</v>
      </c>
      <c r="K46" s="22">
        <v>1</v>
      </c>
      <c r="L46" s="22"/>
      <c r="M46" s="22"/>
      <c r="N46" s="22"/>
      <c r="O46" s="23" t="s">
        <v>789</v>
      </c>
      <c r="P46" s="22">
        <f t="shared" si="0"/>
        <v>21020044</v>
      </c>
      <c r="Q46" s="22">
        <v>1</v>
      </c>
    </row>
    <row r="47" spans="1:17" ht="12" x14ac:dyDescent="0.15">
      <c r="A47" s="22">
        <v>21020044</v>
      </c>
      <c r="B47" s="22" t="s">
        <v>564</v>
      </c>
      <c r="C47" s="25" t="s">
        <v>628</v>
      </c>
      <c r="D47" s="22" t="s">
        <v>506</v>
      </c>
      <c r="E47" s="22">
        <v>3</v>
      </c>
      <c r="F47" s="22">
        <v>39</v>
      </c>
      <c r="G47" s="22">
        <v>1</v>
      </c>
      <c r="H47" s="22">
        <v>7</v>
      </c>
      <c r="I47" s="22">
        <v>1</v>
      </c>
      <c r="J47" s="22">
        <v>1300305</v>
      </c>
      <c r="K47" s="22">
        <v>1</v>
      </c>
      <c r="L47" s="22"/>
      <c r="M47" s="22"/>
      <c r="N47" s="22"/>
      <c r="O47" s="23" t="s">
        <v>789</v>
      </c>
      <c r="P47" s="22">
        <f t="shared" si="0"/>
        <v>21020045</v>
      </c>
      <c r="Q47" s="22">
        <v>1</v>
      </c>
    </row>
    <row r="48" spans="1:17" ht="12" x14ac:dyDescent="0.15">
      <c r="A48" s="22">
        <v>21020045</v>
      </c>
      <c r="B48" s="22" t="s">
        <v>565</v>
      </c>
      <c r="C48" s="25" t="s">
        <v>629</v>
      </c>
      <c r="D48" s="22" t="s">
        <v>506</v>
      </c>
      <c r="E48" s="22">
        <v>3</v>
      </c>
      <c r="F48" s="22">
        <v>40</v>
      </c>
      <c r="G48" s="22">
        <v>1</v>
      </c>
      <c r="H48" s="22">
        <v>7</v>
      </c>
      <c r="I48" s="22">
        <v>1</v>
      </c>
      <c r="J48" s="22">
        <v>1300306</v>
      </c>
      <c r="K48" s="22">
        <v>1</v>
      </c>
      <c r="L48" s="22"/>
      <c r="M48" s="22"/>
      <c r="N48" s="22"/>
      <c r="O48" s="23" t="s">
        <v>791</v>
      </c>
      <c r="P48" s="22">
        <f t="shared" si="0"/>
        <v>21020046</v>
      </c>
      <c r="Q48" s="22">
        <v>1</v>
      </c>
    </row>
    <row r="49" spans="1:17" ht="12" x14ac:dyDescent="0.15">
      <c r="A49" s="22">
        <v>21020046</v>
      </c>
      <c r="B49" s="22" t="s">
        <v>564</v>
      </c>
      <c r="C49" s="24" t="s">
        <v>630</v>
      </c>
      <c r="D49" s="22" t="s">
        <v>506</v>
      </c>
      <c r="E49" s="22">
        <v>3</v>
      </c>
      <c r="F49" s="22">
        <v>41</v>
      </c>
      <c r="G49" s="22">
        <v>1</v>
      </c>
      <c r="H49" s="22">
        <v>7</v>
      </c>
      <c r="I49" s="22">
        <v>1</v>
      </c>
      <c r="J49" s="22">
        <v>1300307</v>
      </c>
      <c r="K49" s="22">
        <v>1</v>
      </c>
      <c r="L49" s="22"/>
      <c r="M49" s="22"/>
      <c r="N49" s="22"/>
      <c r="O49" s="23" t="s">
        <v>792</v>
      </c>
      <c r="P49" s="22">
        <f t="shared" si="0"/>
        <v>21020047</v>
      </c>
      <c r="Q49" s="22">
        <v>1</v>
      </c>
    </row>
    <row r="50" spans="1:17" ht="12" x14ac:dyDescent="0.15">
      <c r="A50" s="22">
        <v>21020047</v>
      </c>
      <c r="B50" s="22" t="s">
        <v>565</v>
      </c>
      <c r="C50" s="24" t="s">
        <v>631</v>
      </c>
      <c r="D50" s="22" t="s">
        <v>506</v>
      </c>
      <c r="E50" s="22">
        <v>3</v>
      </c>
      <c r="F50" s="22">
        <v>42</v>
      </c>
      <c r="G50" s="22">
        <v>1</v>
      </c>
      <c r="H50" s="22">
        <v>7</v>
      </c>
      <c r="I50" s="22">
        <v>1</v>
      </c>
      <c r="J50" s="22">
        <v>1300308</v>
      </c>
      <c r="K50" s="22">
        <v>1</v>
      </c>
      <c r="L50" s="22"/>
      <c r="M50" s="22"/>
      <c r="N50" s="22"/>
      <c r="O50" s="23" t="s">
        <v>792</v>
      </c>
      <c r="P50" s="22">
        <f t="shared" si="0"/>
        <v>21020048</v>
      </c>
      <c r="Q50" s="22">
        <v>1</v>
      </c>
    </row>
    <row r="51" spans="1:17" ht="12" x14ac:dyDescent="0.15">
      <c r="A51" s="22">
        <v>21020048</v>
      </c>
      <c r="B51" s="22" t="s">
        <v>564</v>
      </c>
      <c r="C51" s="24" t="s">
        <v>632</v>
      </c>
      <c r="D51" s="22" t="s">
        <v>506</v>
      </c>
      <c r="E51" s="22">
        <v>3</v>
      </c>
      <c r="F51" s="22">
        <v>43</v>
      </c>
      <c r="G51" s="22">
        <v>1</v>
      </c>
      <c r="H51" s="22">
        <v>7</v>
      </c>
      <c r="I51" s="22">
        <v>1</v>
      </c>
      <c r="J51" s="22">
        <v>1300309</v>
      </c>
      <c r="K51" s="22">
        <v>1</v>
      </c>
      <c r="L51" s="22"/>
      <c r="M51" s="22"/>
      <c r="N51" s="22" t="s">
        <v>793</v>
      </c>
      <c r="O51" s="23" t="s">
        <v>791</v>
      </c>
      <c r="P51" s="22">
        <f t="shared" si="0"/>
        <v>21020049</v>
      </c>
      <c r="Q51" s="22">
        <v>1</v>
      </c>
    </row>
    <row r="52" spans="1:17" ht="12" x14ac:dyDescent="0.15">
      <c r="A52" s="22">
        <v>21020049</v>
      </c>
      <c r="B52" s="22" t="s">
        <v>565</v>
      </c>
      <c r="C52" s="24" t="s">
        <v>633</v>
      </c>
      <c r="D52" s="22" t="s">
        <v>506</v>
      </c>
      <c r="E52" s="22">
        <v>3</v>
      </c>
      <c r="F52" s="22">
        <v>44</v>
      </c>
      <c r="G52" s="22">
        <v>1</v>
      </c>
      <c r="H52" s="22">
        <v>7</v>
      </c>
      <c r="I52" s="22">
        <v>1</v>
      </c>
      <c r="J52" s="22">
        <v>1300310</v>
      </c>
      <c r="K52" s="22">
        <v>1</v>
      </c>
      <c r="L52" s="22"/>
      <c r="M52" s="22"/>
      <c r="N52" s="22"/>
      <c r="O52" s="23" t="s">
        <v>792</v>
      </c>
      <c r="P52" s="22">
        <f t="shared" si="0"/>
        <v>21020050</v>
      </c>
      <c r="Q52" s="22">
        <v>1</v>
      </c>
    </row>
    <row r="53" spans="1:17" ht="12" x14ac:dyDescent="0.15">
      <c r="A53" s="22">
        <v>21020050</v>
      </c>
      <c r="B53" s="22" t="s">
        <v>564</v>
      </c>
      <c r="C53" s="24" t="s">
        <v>634</v>
      </c>
      <c r="D53" s="22" t="s">
        <v>506</v>
      </c>
      <c r="E53" s="22">
        <v>3</v>
      </c>
      <c r="F53" s="22">
        <v>45</v>
      </c>
      <c r="G53" s="22">
        <v>1</v>
      </c>
      <c r="H53" s="22">
        <v>7</v>
      </c>
      <c r="I53" s="22">
        <v>1</v>
      </c>
      <c r="J53" s="22">
        <v>1300311</v>
      </c>
      <c r="K53" s="22">
        <v>1</v>
      </c>
      <c r="L53" s="22"/>
      <c r="M53" s="22"/>
      <c r="N53" s="22"/>
      <c r="O53" s="23" t="s">
        <v>792</v>
      </c>
      <c r="P53" s="22">
        <f t="shared" si="0"/>
        <v>21020051</v>
      </c>
      <c r="Q53" s="22">
        <v>1</v>
      </c>
    </row>
    <row r="54" spans="1:17" ht="12" x14ac:dyDescent="0.15">
      <c r="A54" s="22">
        <v>21020051</v>
      </c>
      <c r="B54" s="22" t="s">
        <v>565</v>
      </c>
      <c r="C54" s="24" t="s">
        <v>635</v>
      </c>
      <c r="D54" s="22" t="s">
        <v>506</v>
      </c>
      <c r="E54" s="22">
        <v>3</v>
      </c>
      <c r="F54" s="22">
        <v>46</v>
      </c>
      <c r="G54" s="22">
        <v>1</v>
      </c>
      <c r="H54" s="22">
        <v>7</v>
      </c>
      <c r="I54" s="22">
        <v>1</v>
      </c>
      <c r="J54" s="22">
        <v>1300312</v>
      </c>
      <c r="K54" s="22">
        <v>1</v>
      </c>
      <c r="L54" s="22"/>
      <c r="M54" s="22"/>
      <c r="N54" s="22"/>
      <c r="O54" s="23" t="s">
        <v>794</v>
      </c>
      <c r="P54" s="22">
        <f t="shared" si="0"/>
        <v>21020052</v>
      </c>
      <c r="Q54" s="22">
        <v>1</v>
      </c>
    </row>
    <row r="55" spans="1:17" ht="12" x14ac:dyDescent="0.15">
      <c r="A55" s="22">
        <v>21020052</v>
      </c>
      <c r="B55" s="22" t="s">
        <v>564</v>
      </c>
      <c r="C55" s="25" t="s">
        <v>636</v>
      </c>
      <c r="D55" s="22" t="s">
        <v>506</v>
      </c>
      <c r="E55" s="22">
        <v>3</v>
      </c>
      <c r="F55" s="22">
        <v>47</v>
      </c>
      <c r="G55" s="22">
        <v>1</v>
      </c>
      <c r="H55" s="22">
        <v>7</v>
      </c>
      <c r="I55" s="22">
        <v>1</v>
      </c>
      <c r="J55" s="22">
        <v>1300313</v>
      </c>
      <c r="K55" s="22">
        <v>1</v>
      </c>
      <c r="L55" s="22"/>
      <c r="M55" s="22"/>
      <c r="N55" s="22"/>
      <c r="O55" s="23" t="s">
        <v>795</v>
      </c>
      <c r="P55" s="22">
        <f t="shared" si="0"/>
        <v>21020053</v>
      </c>
      <c r="Q55" s="22">
        <v>1</v>
      </c>
    </row>
    <row r="56" spans="1:17" ht="12" x14ac:dyDescent="0.15">
      <c r="A56" s="22">
        <v>21020053</v>
      </c>
      <c r="B56" s="22" t="s">
        <v>565</v>
      </c>
      <c r="C56" s="25" t="s">
        <v>637</v>
      </c>
      <c r="D56" s="22" t="s">
        <v>506</v>
      </c>
      <c r="E56" s="22">
        <v>3</v>
      </c>
      <c r="F56" s="22">
        <v>48</v>
      </c>
      <c r="G56" s="22">
        <v>1</v>
      </c>
      <c r="H56" s="22">
        <v>7</v>
      </c>
      <c r="I56" s="22">
        <v>1</v>
      </c>
      <c r="J56" s="22">
        <v>1300314</v>
      </c>
      <c r="K56" s="22">
        <v>1</v>
      </c>
      <c r="L56" s="22"/>
      <c r="M56" s="22"/>
      <c r="N56" s="22"/>
      <c r="O56" s="23" t="s">
        <v>795</v>
      </c>
      <c r="P56" s="22">
        <f t="shared" si="0"/>
        <v>21020054</v>
      </c>
      <c r="Q56" s="22">
        <v>1</v>
      </c>
    </row>
    <row r="57" spans="1:17" ht="12" x14ac:dyDescent="0.15">
      <c r="A57" s="22">
        <v>21020054</v>
      </c>
      <c r="B57" s="22" t="s">
        <v>564</v>
      </c>
      <c r="C57" s="25" t="s">
        <v>638</v>
      </c>
      <c r="D57" s="22" t="s">
        <v>506</v>
      </c>
      <c r="E57" s="22">
        <v>3</v>
      </c>
      <c r="F57" s="22">
        <v>49</v>
      </c>
      <c r="G57" s="22">
        <v>1</v>
      </c>
      <c r="H57" s="22">
        <v>7</v>
      </c>
      <c r="I57" s="22">
        <v>1</v>
      </c>
      <c r="J57" s="22">
        <v>1300315</v>
      </c>
      <c r="K57" s="22">
        <v>1</v>
      </c>
      <c r="L57" s="22"/>
      <c r="M57" s="22"/>
      <c r="N57" s="22"/>
      <c r="O57" s="23" t="s">
        <v>794</v>
      </c>
      <c r="P57" s="22">
        <f t="shared" si="0"/>
        <v>21020055</v>
      </c>
      <c r="Q57" s="22">
        <v>1</v>
      </c>
    </row>
    <row r="58" spans="1:17" ht="12" x14ac:dyDescent="0.15">
      <c r="A58" s="22">
        <v>21020055</v>
      </c>
      <c r="B58" s="22" t="s">
        <v>565</v>
      </c>
      <c r="C58" s="25" t="s">
        <v>639</v>
      </c>
      <c r="D58" s="22" t="s">
        <v>506</v>
      </c>
      <c r="E58" s="22">
        <v>3</v>
      </c>
      <c r="F58" s="22">
        <v>50</v>
      </c>
      <c r="G58" s="22">
        <v>1</v>
      </c>
      <c r="H58" s="22">
        <v>7</v>
      </c>
      <c r="I58" s="22">
        <v>1</v>
      </c>
      <c r="J58" s="22">
        <v>1300316</v>
      </c>
      <c r="K58" s="22">
        <v>1</v>
      </c>
      <c r="L58" s="22"/>
      <c r="M58" s="22"/>
      <c r="N58" s="22"/>
      <c r="O58" s="23" t="s">
        <v>795</v>
      </c>
      <c r="P58" s="22">
        <f t="shared" si="0"/>
        <v>21020056</v>
      </c>
      <c r="Q58" s="22">
        <v>1</v>
      </c>
    </row>
    <row r="59" spans="1:17" ht="12" x14ac:dyDescent="0.15">
      <c r="A59" s="22">
        <v>21020056</v>
      </c>
      <c r="B59" s="22" t="s">
        <v>564</v>
      </c>
      <c r="C59" s="25" t="s">
        <v>640</v>
      </c>
      <c r="D59" s="22" t="s">
        <v>506</v>
      </c>
      <c r="E59" s="22">
        <v>3</v>
      </c>
      <c r="F59" s="22">
        <v>51</v>
      </c>
      <c r="G59" s="22">
        <v>1</v>
      </c>
      <c r="H59" s="22">
        <v>7</v>
      </c>
      <c r="I59" s="22">
        <v>1</v>
      </c>
      <c r="J59" s="22">
        <v>1300317</v>
      </c>
      <c r="K59" s="22">
        <v>1</v>
      </c>
      <c r="L59" s="22"/>
      <c r="M59" s="22"/>
      <c r="N59" s="22"/>
      <c r="O59" s="23" t="s">
        <v>795</v>
      </c>
      <c r="P59" s="22">
        <f t="shared" si="0"/>
        <v>21020057</v>
      </c>
      <c r="Q59" s="22">
        <v>1</v>
      </c>
    </row>
    <row r="60" spans="1:17" ht="12" x14ac:dyDescent="0.15">
      <c r="A60" s="22">
        <v>21020057</v>
      </c>
      <c r="B60" s="22" t="s">
        <v>565</v>
      </c>
      <c r="C60" s="25" t="s">
        <v>641</v>
      </c>
      <c r="D60" s="22" t="s">
        <v>506</v>
      </c>
      <c r="E60" s="22">
        <v>3</v>
      </c>
      <c r="F60" s="22">
        <v>52</v>
      </c>
      <c r="G60" s="22">
        <v>1</v>
      </c>
      <c r="H60" s="22">
        <v>7</v>
      </c>
      <c r="I60" s="22">
        <v>1</v>
      </c>
      <c r="J60" s="22">
        <v>1300318</v>
      </c>
      <c r="K60" s="22">
        <v>1</v>
      </c>
      <c r="L60" s="22"/>
      <c r="M60" s="22"/>
      <c r="N60" s="22" t="s">
        <v>793</v>
      </c>
      <c r="O60" s="23" t="s">
        <v>887</v>
      </c>
      <c r="P60" s="22">
        <f t="shared" si="0"/>
        <v>21020058</v>
      </c>
      <c r="Q60" s="22">
        <v>1</v>
      </c>
    </row>
    <row r="61" spans="1:17" ht="12" x14ac:dyDescent="0.15">
      <c r="A61" s="22">
        <v>21020058</v>
      </c>
      <c r="B61" s="22" t="s">
        <v>564</v>
      </c>
      <c r="C61" s="24" t="s">
        <v>642</v>
      </c>
      <c r="D61" s="22" t="s">
        <v>506</v>
      </c>
      <c r="E61" s="22">
        <v>3</v>
      </c>
      <c r="F61" s="22">
        <v>53</v>
      </c>
      <c r="G61" s="22">
        <v>1</v>
      </c>
      <c r="H61" s="22">
        <v>7</v>
      </c>
      <c r="I61" s="22">
        <v>1</v>
      </c>
      <c r="J61" s="22">
        <v>1300401</v>
      </c>
      <c r="K61" s="22">
        <v>1</v>
      </c>
      <c r="L61" s="22"/>
      <c r="M61" s="22"/>
      <c r="N61" s="22"/>
      <c r="O61" s="23" t="s">
        <v>796</v>
      </c>
      <c r="P61" s="22">
        <f t="shared" si="0"/>
        <v>21020059</v>
      </c>
      <c r="Q61" s="22">
        <v>1</v>
      </c>
    </row>
    <row r="62" spans="1:17" ht="12" x14ac:dyDescent="0.15">
      <c r="A62" s="22">
        <v>21020059</v>
      </c>
      <c r="B62" s="22" t="s">
        <v>565</v>
      </c>
      <c r="C62" s="24" t="s">
        <v>643</v>
      </c>
      <c r="D62" s="22" t="s">
        <v>506</v>
      </c>
      <c r="E62" s="22">
        <v>3</v>
      </c>
      <c r="F62" s="22">
        <v>54</v>
      </c>
      <c r="G62" s="22">
        <v>1</v>
      </c>
      <c r="H62" s="22">
        <v>7</v>
      </c>
      <c r="I62" s="22">
        <v>1</v>
      </c>
      <c r="J62" s="22">
        <v>1300402</v>
      </c>
      <c r="K62" s="22">
        <v>1</v>
      </c>
      <c r="L62" s="22"/>
      <c r="M62" s="22"/>
      <c r="N62" s="22"/>
      <c r="O62" s="23" t="s">
        <v>796</v>
      </c>
      <c r="P62" s="22">
        <f t="shared" si="0"/>
        <v>21020060</v>
      </c>
      <c r="Q62" s="22">
        <v>1</v>
      </c>
    </row>
    <row r="63" spans="1:17" ht="12" x14ac:dyDescent="0.15">
      <c r="A63" s="22">
        <v>21020060</v>
      </c>
      <c r="B63" s="22" t="s">
        <v>564</v>
      </c>
      <c r="C63" s="24" t="s">
        <v>644</v>
      </c>
      <c r="D63" s="22" t="s">
        <v>506</v>
      </c>
      <c r="E63" s="22">
        <v>3</v>
      </c>
      <c r="F63" s="22">
        <v>55</v>
      </c>
      <c r="G63" s="22">
        <v>1</v>
      </c>
      <c r="H63" s="22">
        <v>7</v>
      </c>
      <c r="I63" s="22">
        <v>1</v>
      </c>
      <c r="J63" s="22">
        <v>1300403</v>
      </c>
      <c r="K63" s="22">
        <v>1</v>
      </c>
      <c r="L63" s="22"/>
      <c r="M63" s="22"/>
      <c r="N63" s="22"/>
      <c r="O63" s="23" t="s">
        <v>797</v>
      </c>
      <c r="P63" s="22">
        <f t="shared" si="0"/>
        <v>21020061</v>
      </c>
      <c r="Q63" s="22">
        <v>1</v>
      </c>
    </row>
    <row r="64" spans="1:17" ht="12" x14ac:dyDescent="0.15">
      <c r="A64" s="22">
        <v>21020061</v>
      </c>
      <c r="B64" s="22" t="s">
        <v>565</v>
      </c>
      <c r="C64" s="24" t="s">
        <v>645</v>
      </c>
      <c r="D64" s="22" t="s">
        <v>506</v>
      </c>
      <c r="E64" s="22">
        <v>3</v>
      </c>
      <c r="F64" s="22">
        <v>56</v>
      </c>
      <c r="G64" s="22">
        <v>1</v>
      </c>
      <c r="H64" s="22">
        <v>7</v>
      </c>
      <c r="I64" s="22">
        <v>1</v>
      </c>
      <c r="J64" s="22">
        <v>1300404</v>
      </c>
      <c r="K64" s="22">
        <v>1</v>
      </c>
      <c r="L64" s="22"/>
      <c r="M64" s="22"/>
      <c r="N64" s="22"/>
      <c r="O64" s="23" t="s">
        <v>796</v>
      </c>
      <c r="P64" s="22">
        <f t="shared" si="0"/>
        <v>21020062</v>
      </c>
      <c r="Q64" s="22">
        <v>1</v>
      </c>
    </row>
    <row r="65" spans="1:17" ht="12" x14ac:dyDescent="0.15">
      <c r="A65" s="22">
        <v>21020062</v>
      </c>
      <c r="B65" s="22" t="s">
        <v>564</v>
      </c>
      <c r="C65" s="24" t="s">
        <v>646</v>
      </c>
      <c r="D65" s="22" t="s">
        <v>506</v>
      </c>
      <c r="E65" s="22">
        <v>3</v>
      </c>
      <c r="F65" s="22">
        <v>57</v>
      </c>
      <c r="G65" s="22">
        <v>1</v>
      </c>
      <c r="H65" s="22">
        <v>7</v>
      </c>
      <c r="I65" s="22">
        <v>1</v>
      </c>
      <c r="J65" s="22">
        <v>1300405</v>
      </c>
      <c r="K65" s="22">
        <v>1</v>
      </c>
      <c r="L65" s="22"/>
      <c r="M65" s="22"/>
      <c r="N65" s="22"/>
      <c r="O65" s="23" t="s">
        <v>796</v>
      </c>
      <c r="P65" s="22">
        <f t="shared" si="0"/>
        <v>21020063</v>
      </c>
      <c r="Q65" s="22">
        <v>1</v>
      </c>
    </row>
    <row r="66" spans="1:17" ht="12" x14ac:dyDescent="0.15">
      <c r="A66" s="22">
        <v>21020063</v>
      </c>
      <c r="B66" s="22" t="s">
        <v>565</v>
      </c>
      <c r="C66" s="24" t="s">
        <v>647</v>
      </c>
      <c r="D66" s="22" t="s">
        <v>506</v>
      </c>
      <c r="E66" s="22">
        <v>3</v>
      </c>
      <c r="F66" s="22">
        <v>58</v>
      </c>
      <c r="G66" s="22">
        <v>1</v>
      </c>
      <c r="H66" s="22">
        <v>7</v>
      </c>
      <c r="I66" s="22">
        <v>1</v>
      </c>
      <c r="J66" s="22">
        <v>1300406</v>
      </c>
      <c r="K66" s="22">
        <v>1</v>
      </c>
      <c r="L66" s="22"/>
      <c r="M66" s="22"/>
      <c r="N66" s="22"/>
      <c r="O66" s="23" t="s">
        <v>798</v>
      </c>
      <c r="P66" s="22">
        <f t="shared" si="0"/>
        <v>21020064</v>
      </c>
      <c r="Q66" s="22">
        <v>1</v>
      </c>
    </row>
    <row r="67" spans="1:17" ht="12" x14ac:dyDescent="0.15">
      <c r="A67" s="22">
        <v>21020064</v>
      </c>
      <c r="B67" s="22" t="s">
        <v>564</v>
      </c>
      <c r="C67" s="24" t="s">
        <v>648</v>
      </c>
      <c r="D67" s="22" t="s">
        <v>506</v>
      </c>
      <c r="E67" s="22">
        <v>3</v>
      </c>
      <c r="F67" s="22">
        <v>59</v>
      </c>
      <c r="G67" s="22">
        <v>1</v>
      </c>
      <c r="H67" s="22">
        <v>7</v>
      </c>
      <c r="I67" s="22">
        <v>1</v>
      </c>
      <c r="J67" s="22">
        <v>1300407</v>
      </c>
      <c r="K67" s="22">
        <v>1</v>
      </c>
      <c r="L67" s="22"/>
      <c r="M67" s="22"/>
      <c r="N67" s="22"/>
      <c r="O67" s="23" t="s">
        <v>799</v>
      </c>
      <c r="P67" s="22">
        <f t="shared" si="0"/>
        <v>21020065</v>
      </c>
      <c r="Q67" s="22">
        <v>1</v>
      </c>
    </row>
    <row r="68" spans="1:17" ht="12" x14ac:dyDescent="0.15">
      <c r="A68" s="22">
        <v>21020065</v>
      </c>
      <c r="B68" s="22" t="s">
        <v>565</v>
      </c>
      <c r="C68" s="24" t="s">
        <v>649</v>
      </c>
      <c r="D68" s="22" t="s">
        <v>506</v>
      </c>
      <c r="E68" s="22">
        <v>3</v>
      </c>
      <c r="F68" s="22">
        <v>60</v>
      </c>
      <c r="G68" s="22">
        <v>1</v>
      </c>
      <c r="H68" s="22">
        <v>7</v>
      </c>
      <c r="I68" s="22">
        <v>1</v>
      </c>
      <c r="J68" s="22">
        <v>1300408</v>
      </c>
      <c r="K68" s="22">
        <v>1</v>
      </c>
      <c r="L68" s="22"/>
      <c r="M68" s="22"/>
      <c r="N68" s="22"/>
      <c r="O68" s="23" t="s">
        <v>799</v>
      </c>
      <c r="P68" s="22">
        <f t="shared" ref="P68:P131" si="1">IF(E68=E69,A69,0)</f>
        <v>21020066</v>
      </c>
      <c r="Q68" s="22">
        <v>1</v>
      </c>
    </row>
    <row r="69" spans="1:17" ht="12" x14ac:dyDescent="0.15">
      <c r="A69" s="22">
        <v>21020066</v>
      </c>
      <c r="B69" s="22" t="s">
        <v>564</v>
      </c>
      <c r="C69" s="24" t="s">
        <v>650</v>
      </c>
      <c r="D69" s="22" t="s">
        <v>506</v>
      </c>
      <c r="E69" s="22">
        <v>3</v>
      </c>
      <c r="F69" s="22">
        <v>61</v>
      </c>
      <c r="G69" s="22">
        <v>1</v>
      </c>
      <c r="H69" s="22">
        <v>7</v>
      </c>
      <c r="I69" s="22">
        <v>1</v>
      </c>
      <c r="J69" s="22">
        <v>1300409</v>
      </c>
      <c r="K69" s="22">
        <v>1</v>
      </c>
      <c r="L69" s="22"/>
      <c r="M69" s="22"/>
      <c r="N69" s="22" t="s">
        <v>800</v>
      </c>
      <c r="O69" s="23" t="s">
        <v>798</v>
      </c>
      <c r="P69" s="22">
        <f t="shared" si="1"/>
        <v>21020067</v>
      </c>
      <c r="Q69" s="22">
        <v>1</v>
      </c>
    </row>
    <row r="70" spans="1:17" ht="12" x14ac:dyDescent="0.15">
      <c r="A70" s="22">
        <v>21020067</v>
      </c>
      <c r="B70" s="22" t="s">
        <v>565</v>
      </c>
      <c r="C70" s="24" t="s">
        <v>651</v>
      </c>
      <c r="D70" s="22" t="s">
        <v>506</v>
      </c>
      <c r="E70" s="22">
        <v>3</v>
      </c>
      <c r="F70" s="22">
        <v>62</v>
      </c>
      <c r="G70" s="22">
        <v>1</v>
      </c>
      <c r="H70" s="22">
        <v>7</v>
      </c>
      <c r="I70" s="22">
        <v>1</v>
      </c>
      <c r="J70" s="22">
        <v>1300410</v>
      </c>
      <c r="K70" s="22">
        <v>1</v>
      </c>
      <c r="L70" s="22"/>
      <c r="M70" s="22"/>
      <c r="N70" s="22"/>
      <c r="O70" s="23" t="s">
        <v>799</v>
      </c>
      <c r="P70" s="22">
        <f t="shared" si="1"/>
        <v>21020068</v>
      </c>
      <c r="Q70" s="22">
        <v>1</v>
      </c>
    </row>
    <row r="71" spans="1:17" ht="12" x14ac:dyDescent="0.15">
      <c r="A71" s="22">
        <v>21020068</v>
      </c>
      <c r="B71" s="22" t="s">
        <v>564</v>
      </c>
      <c r="C71" s="24" t="s">
        <v>652</v>
      </c>
      <c r="D71" s="22" t="s">
        <v>506</v>
      </c>
      <c r="E71" s="22">
        <v>3</v>
      </c>
      <c r="F71" s="22">
        <v>63</v>
      </c>
      <c r="G71" s="22">
        <v>1</v>
      </c>
      <c r="H71" s="22">
        <v>7</v>
      </c>
      <c r="I71" s="22">
        <v>1</v>
      </c>
      <c r="J71" s="22">
        <v>1300411</v>
      </c>
      <c r="K71" s="22">
        <v>1</v>
      </c>
      <c r="L71" s="22"/>
      <c r="M71" s="22"/>
      <c r="N71" s="22"/>
      <c r="O71" s="23" t="s">
        <v>799</v>
      </c>
      <c r="P71" s="22">
        <f t="shared" si="1"/>
        <v>21020069</v>
      </c>
      <c r="Q71" s="22">
        <v>1</v>
      </c>
    </row>
    <row r="72" spans="1:17" ht="12" x14ac:dyDescent="0.15">
      <c r="A72" s="22">
        <v>21020069</v>
      </c>
      <c r="B72" s="22" t="s">
        <v>565</v>
      </c>
      <c r="C72" s="24" t="s">
        <v>653</v>
      </c>
      <c r="D72" s="22" t="s">
        <v>506</v>
      </c>
      <c r="E72" s="22">
        <v>3</v>
      </c>
      <c r="F72" s="22">
        <v>64</v>
      </c>
      <c r="G72" s="22">
        <v>1</v>
      </c>
      <c r="H72" s="22">
        <v>7</v>
      </c>
      <c r="I72" s="22">
        <v>1</v>
      </c>
      <c r="J72" s="22">
        <v>1300412</v>
      </c>
      <c r="K72" s="22">
        <v>1</v>
      </c>
      <c r="L72" s="22"/>
      <c r="M72" s="22"/>
      <c r="N72" s="22"/>
      <c r="O72" s="23" t="s">
        <v>801</v>
      </c>
      <c r="P72" s="22">
        <f t="shared" si="1"/>
        <v>21020070</v>
      </c>
      <c r="Q72" s="22">
        <v>1</v>
      </c>
    </row>
    <row r="73" spans="1:17" ht="12" x14ac:dyDescent="0.15">
      <c r="A73" s="22">
        <v>21020070</v>
      </c>
      <c r="B73" s="22" t="s">
        <v>564</v>
      </c>
      <c r="C73" s="25" t="s">
        <v>654</v>
      </c>
      <c r="D73" s="22" t="s">
        <v>506</v>
      </c>
      <c r="E73" s="22">
        <v>3</v>
      </c>
      <c r="F73" s="22">
        <v>65</v>
      </c>
      <c r="G73" s="22">
        <v>1</v>
      </c>
      <c r="H73" s="22">
        <v>7</v>
      </c>
      <c r="I73" s="22">
        <v>1</v>
      </c>
      <c r="J73" s="22">
        <v>1300413</v>
      </c>
      <c r="K73" s="22">
        <v>1</v>
      </c>
      <c r="L73" s="22"/>
      <c r="M73" s="22"/>
      <c r="N73" s="22"/>
      <c r="O73" s="23" t="s">
        <v>802</v>
      </c>
      <c r="P73" s="22">
        <f t="shared" si="1"/>
        <v>21020071</v>
      </c>
      <c r="Q73" s="22">
        <v>1</v>
      </c>
    </row>
    <row r="74" spans="1:17" ht="12" x14ac:dyDescent="0.15">
      <c r="A74" s="22">
        <v>21020071</v>
      </c>
      <c r="B74" s="22" t="s">
        <v>565</v>
      </c>
      <c r="C74" s="25" t="s">
        <v>655</v>
      </c>
      <c r="D74" s="22" t="s">
        <v>506</v>
      </c>
      <c r="E74" s="22">
        <v>3</v>
      </c>
      <c r="F74" s="22">
        <v>66</v>
      </c>
      <c r="G74" s="22">
        <v>1</v>
      </c>
      <c r="H74" s="22">
        <v>7</v>
      </c>
      <c r="I74" s="22">
        <v>1</v>
      </c>
      <c r="J74" s="22">
        <v>1300414</v>
      </c>
      <c r="K74" s="22">
        <v>1</v>
      </c>
      <c r="L74" s="22"/>
      <c r="M74" s="22"/>
      <c r="N74" s="22"/>
      <c r="O74" s="23" t="s">
        <v>802</v>
      </c>
      <c r="P74" s="22">
        <f t="shared" si="1"/>
        <v>21020072</v>
      </c>
      <c r="Q74" s="22">
        <v>1</v>
      </c>
    </row>
    <row r="75" spans="1:17" ht="12" x14ac:dyDescent="0.15">
      <c r="A75" s="22">
        <v>21020072</v>
      </c>
      <c r="B75" s="22" t="s">
        <v>564</v>
      </c>
      <c r="C75" s="25" t="s">
        <v>656</v>
      </c>
      <c r="D75" s="22" t="s">
        <v>506</v>
      </c>
      <c r="E75" s="22">
        <v>3</v>
      </c>
      <c r="F75" s="22">
        <v>67</v>
      </c>
      <c r="G75" s="22">
        <v>1</v>
      </c>
      <c r="H75" s="22">
        <v>7</v>
      </c>
      <c r="I75" s="22">
        <v>1</v>
      </c>
      <c r="J75" s="22">
        <v>1300415</v>
      </c>
      <c r="K75" s="22">
        <v>1</v>
      </c>
      <c r="L75" s="22"/>
      <c r="M75" s="22"/>
      <c r="N75" s="22"/>
      <c r="O75" s="23" t="s">
        <v>801</v>
      </c>
      <c r="P75" s="22">
        <f t="shared" si="1"/>
        <v>21020073</v>
      </c>
      <c r="Q75" s="22">
        <v>1</v>
      </c>
    </row>
    <row r="76" spans="1:17" ht="12" x14ac:dyDescent="0.15">
      <c r="A76" s="22">
        <v>21020073</v>
      </c>
      <c r="B76" s="22" t="s">
        <v>565</v>
      </c>
      <c r="C76" s="25" t="s">
        <v>657</v>
      </c>
      <c r="D76" s="22" t="s">
        <v>506</v>
      </c>
      <c r="E76" s="22">
        <v>3</v>
      </c>
      <c r="F76" s="22">
        <v>68</v>
      </c>
      <c r="G76" s="22">
        <v>1</v>
      </c>
      <c r="H76" s="22">
        <v>7</v>
      </c>
      <c r="I76" s="22">
        <v>1</v>
      </c>
      <c r="J76" s="22">
        <v>1300416</v>
      </c>
      <c r="K76" s="22">
        <v>1</v>
      </c>
      <c r="L76" s="22"/>
      <c r="M76" s="22"/>
      <c r="N76" s="22"/>
      <c r="O76" s="23" t="s">
        <v>802</v>
      </c>
      <c r="P76" s="22">
        <f t="shared" si="1"/>
        <v>21020074</v>
      </c>
      <c r="Q76" s="22">
        <v>1</v>
      </c>
    </row>
    <row r="77" spans="1:17" ht="12" x14ac:dyDescent="0.15">
      <c r="A77" s="22">
        <v>21020074</v>
      </c>
      <c r="B77" s="22" t="s">
        <v>564</v>
      </c>
      <c r="C77" s="25" t="s">
        <v>658</v>
      </c>
      <c r="D77" s="22" t="s">
        <v>506</v>
      </c>
      <c r="E77" s="22">
        <v>3</v>
      </c>
      <c r="F77" s="22">
        <v>69</v>
      </c>
      <c r="G77" s="22">
        <v>1</v>
      </c>
      <c r="H77" s="22">
        <v>7</v>
      </c>
      <c r="I77" s="22">
        <v>1</v>
      </c>
      <c r="J77" s="22">
        <v>1300417</v>
      </c>
      <c r="K77" s="22">
        <v>1</v>
      </c>
      <c r="L77" s="22"/>
      <c r="M77" s="22"/>
      <c r="N77" s="22"/>
      <c r="O77" s="23" t="s">
        <v>802</v>
      </c>
      <c r="P77" s="22">
        <f t="shared" si="1"/>
        <v>21020075</v>
      </c>
      <c r="Q77" s="22">
        <v>1</v>
      </c>
    </row>
    <row r="78" spans="1:17" ht="12" x14ac:dyDescent="0.15">
      <c r="A78" s="22">
        <v>21020075</v>
      </c>
      <c r="B78" s="22" t="s">
        <v>565</v>
      </c>
      <c r="C78" s="25" t="s">
        <v>659</v>
      </c>
      <c r="D78" s="22" t="s">
        <v>506</v>
      </c>
      <c r="E78" s="22">
        <v>3</v>
      </c>
      <c r="F78" s="22">
        <v>70</v>
      </c>
      <c r="G78" s="22">
        <v>1</v>
      </c>
      <c r="H78" s="22">
        <v>7</v>
      </c>
      <c r="I78" s="22">
        <v>1</v>
      </c>
      <c r="J78" s="22">
        <v>1300418</v>
      </c>
      <c r="K78" s="22">
        <v>1</v>
      </c>
      <c r="L78" s="22"/>
      <c r="M78" s="22"/>
      <c r="N78" s="22" t="s">
        <v>800</v>
      </c>
      <c r="O78" s="23" t="s">
        <v>888</v>
      </c>
      <c r="P78" s="22">
        <f t="shared" si="1"/>
        <v>21020076</v>
      </c>
      <c r="Q78" s="22">
        <v>1</v>
      </c>
    </row>
    <row r="79" spans="1:17" ht="12" x14ac:dyDescent="0.15">
      <c r="A79" s="22">
        <v>21020076</v>
      </c>
      <c r="B79" s="22" t="s">
        <v>564</v>
      </c>
      <c r="C79" s="25" t="s">
        <v>660</v>
      </c>
      <c r="D79" s="22" t="s">
        <v>506</v>
      </c>
      <c r="E79" s="22">
        <v>3</v>
      </c>
      <c r="F79" s="22">
        <v>71</v>
      </c>
      <c r="G79" s="22">
        <v>1</v>
      </c>
      <c r="H79" s="22">
        <v>7</v>
      </c>
      <c r="I79" s="22">
        <v>1</v>
      </c>
      <c r="J79" s="22">
        <v>1300501</v>
      </c>
      <c r="K79" s="22">
        <v>1</v>
      </c>
      <c r="L79" s="22"/>
      <c r="M79" s="22"/>
      <c r="N79" s="22"/>
      <c r="O79" s="23" t="s">
        <v>803</v>
      </c>
      <c r="P79" s="22">
        <f t="shared" si="1"/>
        <v>21020077</v>
      </c>
      <c r="Q79" s="22">
        <v>1</v>
      </c>
    </row>
    <row r="80" spans="1:17" ht="12" x14ac:dyDescent="0.15">
      <c r="A80" s="22">
        <v>21020077</v>
      </c>
      <c r="B80" s="22" t="s">
        <v>565</v>
      </c>
      <c r="C80" s="25" t="s">
        <v>661</v>
      </c>
      <c r="D80" s="22" t="s">
        <v>506</v>
      </c>
      <c r="E80" s="22">
        <v>3</v>
      </c>
      <c r="F80" s="22">
        <v>72</v>
      </c>
      <c r="G80" s="22">
        <v>1</v>
      </c>
      <c r="H80" s="22">
        <v>7</v>
      </c>
      <c r="I80" s="22">
        <v>1</v>
      </c>
      <c r="J80" s="22">
        <v>1300502</v>
      </c>
      <c r="K80" s="22">
        <v>1</v>
      </c>
      <c r="L80" s="22"/>
      <c r="M80" s="22"/>
      <c r="N80" s="22"/>
      <c r="O80" s="23" t="s">
        <v>803</v>
      </c>
      <c r="P80" s="22">
        <f t="shared" si="1"/>
        <v>21020078</v>
      </c>
      <c r="Q80" s="22">
        <v>1</v>
      </c>
    </row>
    <row r="81" spans="1:17" ht="12" x14ac:dyDescent="0.15">
      <c r="A81" s="22">
        <v>21020078</v>
      </c>
      <c r="B81" s="22" t="s">
        <v>564</v>
      </c>
      <c r="C81" s="25" t="s">
        <v>662</v>
      </c>
      <c r="D81" s="22" t="s">
        <v>506</v>
      </c>
      <c r="E81" s="22">
        <v>3</v>
      </c>
      <c r="F81" s="22">
        <v>73</v>
      </c>
      <c r="G81" s="22">
        <v>1</v>
      </c>
      <c r="H81" s="22">
        <v>7</v>
      </c>
      <c r="I81" s="22">
        <v>1</v>
      </c>
      <c r="J81" s="22">
        <v>1300503</v>
      </c>
      <c r="K81" s="22">
        <v>1</v>
      </c>
      <c r="L81" s="22"/>
      <c r="M81" s="22"/>
      <c r="N81" s="22"/>
      <c r="O81" s="23" t="s">
        <v>804</v>
      </c>
      <c r="P81" s="22">
        <f t="shared" si="1"/>
        <v>21020079</v>
      </c>
      <c r="Q81" s="22">
        <v>1</v>
      </c>
    </row>
    <row r="82" spans="1:17" ht="12" x14ac:dyDescent="0.15">
      <c r="A82" s="22">
        <v>21020079</v>
      </c>
      <c r="B82" s="22" t="s">
        <v>565</v>
      </c>
      <c r="C82" s="25" t="s">
        <v>663</v>
      </c>
      <c r="D82" s="22" t="s">
        <v>506</v>
      </c>
      <c r="E82" s="22">
        <v>3</v>
      </c>
      <c r="F82" s="22">
        <v>74</v>
      </c>
      <c r="G82" s="22">
        <v>1</v>
      </c>
      <c r="H82" s="22">
        <v>7</v>
      </c>
      <c r="I82" s="22">
        <v>1</v>
      </c>
      <c r="J82" s="22">
        <v>1300504</v>
      </c>
      <c r="K82" s="22">
        <v>1</v>
      </c>
      <c r="L82" s="22"/>
      <c r="M82" s="22"/>
      <c r="N82" s="22"/>
      <c r="O82" s="23" t="s">
        <v>803</v>
      </c>
      <c r="P82" s="22">
        <f t="shared" si="1"/>
        <v>21020080</v>
      </c>
      <c r="Q82" s="22">
        <v>1</v>
      </c>
    </row>
    <row r="83" spans="1:17" ht="12" x14ac:dyDescent="0.15">
      <c r="A83" s="22">
        <v>21020080</v>
      </c>
      <c r="B83" s="22" t="s">
        <v>564</v>
      </c>
      <c r="C83" s="25" t="s">
        <v>664</v>
      </c>
      <c r="D83" s="22" t="s">
        <v>506</v>
      </c>
      <c r="E83" s="22">
        <v>3</v>
      </c>
      <c r="F83" s="22">
        <v>75</v>
      </c>
      <c r="G83" s="22">
        <v>1</v>
      </c>
      <c r="H83" s="22">
        <v>7</v>
      </c>
      <c r="I83" s="22">
        <v>1</v>
      </c>
      <c r="J83" s="22">
        <v>1300505</v>
      </c>
      <c r="K83" s="22">
        <v>1</v>
      </c>
      <c r="L83" s="22"/>
      <c r="M83" s="22"/>
      <c r="N83" s="22"/>
      <c r="O83" s="23" t="s">
        <v>803</v>
      </c>
      <c r="P83" s="22">
        <f t="shared" si="1"/>
        <v>21020081</v>
      </c>
      <c r="Q83" s="22">
        <v>1</v>
      </c>
    </row>
    <row r="84" spans="1:17" ht="12" x14ac:dyDescent="0.15">
      <c r="A84" s="22">
        <v>21020081</v>
      </c>
      <c r="B84" s="22" t="s">
        <v>565</v>
      </c>
      <c r="C84" s="25" t="s">
        <v>665</v>
      </c>
      <c r="D84" s="22" t="s">
        <v>506</v>
      </c>
      <c r="E84" s="22">
        <v>3</v>
      </c>
      <c r="F84" s="22">
        <v>76</v>
      </c>
      <c r="G84" s="22">
        <v>1</v>
      </c>
      <c r="H84" s="22">
        <v>7</v>
      </c>
      <c r="I84" s="22">
        <v>1</v>
      </c>
      <c r="J84" s="22">
        <v>1300506</v>
      </c>
      <c r="K84" s="22">
        <v>1</v>
      </c>
      <c r="L84" s="22"/>
      <c r="M84" s="22"/>
      <c r="N84" s="22"/>
      <c r="O84" s="23" t="s">
        <v>805</v>
      </c>
      <c r="P84" s="22">
        <f t="shared" si="1"/>
        <v>21020082</v>
      </c>
      <c r="Q84" s="22">
        <v>1</v>
      </c>
    </row>
    <row r="85" spans="1:17" ht="12" x14ac:dyDescent="0.15">
      <c r="A85" s="22">
        <v>21020082</v>
      </c>
      <c r="B85" s="22" t="s">
        <v>564</v>
      </c>
      <c r="C85" s="25" t="s">
        <v>666</v>
      </c>
      <c r="D85" s="22" t="s">
        <v>506</v>
      </c>
      <c r="E85" s="22">
        <v>3</v>
      </c>
      <c r="F85" s="22">
        <v>77</v>
      </c>
      <c r="G85" s="22">
        <v>1</v>
      </c>
      <c r="H85" s="22">
        <v>7</v>
      </c>
      <c r="I85" s="22">
        <v>1</v>
      </c>
      <c r="J85" s="22">
        <v>1300507</v>
      </c>
      <c r="K85" s="22">
        <v>1</v>
      </c>
      <c r="L85" s="22"/>
      <c r="M85" s="22"/>
      <c r="N85" s="22"/>
      <c r="O85" s="23" t="s">
        <v>806</v>
      </c>
      <c r="P85" s="22">
        <f t="shared" si="1"/>
        <v>21020083</v>
      </c>
      <c r="Q85" s="22">
        <v>1</v>
      </c>
    </row>
    <row r="86" spans="1:17" ht="12" x14ac:dyDescent="0.15">
      <c r="A86" s="22">
        <v>21020083</v>
      </c>
      <c r="B86" s="22" t="s">
        <v>565</v>
      </c>
      <c r="C86" s="25" t="s">
        <v>667</v>
      </c>
      <c r="D86" s="22" t="s">
        <v>506</v>
      </c>
      <c r="E86" s="22">
        <v>3</v>
      </c>
      <c r="F86" s="22">
        <v>78</v>
      </c>
      <c r="G86" s="22">
        <v>1</v>
      </c>
      <c r="H86" s="22">
        <v>7</v>
      </c>
      <c r="I86" s="22">
        <v>1</v>
      </c>
      <c r="J86" s="22">
        <v>1300508</v>
      </c>
      <c r="K86" s="22">
        <v>1</v>
      </c>
      <c r="L86" s="22"/>
      <c r="M86" s="22"/>
      <c r="N86" s="22"/>
      <c r="O86" s="23" t="s">
        <v>806</v>
      </c>
      <c r="P86" s="22">
        <f t="shared" si="1"/>
        <v>21020084</v>
      </c>
      <c r="Q86" s="22">
        <v>1</v>
      </c>
    </row>
    <row r="87" spans="1:17" ht="12" x14ac:dyDescent="0.15">
      <c r="A87" s="22">
        <v>21020084</v>
      </c>
      <c r="B87" s="22" t="s">
        <v>564</v>
      </c>
      <c r="C87" s="25" t="s">
        <v>668</v>
      </c>
      <c r="D87" s="22" t="s">
        <v>506</v>
      </c>
      <c r="E87" s="22">
        <v>3</v>
      </c>
      <c r="F87" s="22">
        <v>79</v>
      </c>
      <c r="G87" s="22">
        <v>1</v>
      </c>
      <c r="H87" s="22">
        <v>7</v>
      </c>
      <c r="I87" s="22">
        <v>1</v>
      </c>
      <c r="J87" s="22">
        <v>1300509</v>
      </c>
      <c r="K87" s="22">
        <v>1</v>
      </c>
      <c r="L87" s="22"/>
      <c r="M87" s="22"/>
      <c r="N87" s="22" t="s">
        <v>807</v>
      </c>
      <c r="O87" s="23" t="s">
        <v>805</v>
      </c>
      <c r="P87" s="22">
        <f t="shared" si="1"/>
        <v>21020085</v>
      </c>
      <c r="Q87" s="22">
        <v>1</v>
      </c>
    </row>
    <row r="88" spans="1:17" ht="12" x14ac:dyDescent="0.15">
      <c r="A88" s="22">
        <v>21020085</v>
      </c>
      <c r="B88" s="22" t="s">
        <v>565</v>
      </c>
      <c r="C88" s="25" t="s">
        <v>669</v>
      </c>
      <c r="D88" s="22" t="s">
        <v>506</v>
      </c>
      <c r="E88" s="22">
        <v>3</v>
      </c>
      <c r="F88" s="22">
        <v>80</v>
      </c>
      <c r="G88" s="22">
        <v>1</v>
      </c>
      <c r="H88" s="22">
        <v>7</v>
      </c>
      <c r="I88" s="22">
        <v>1</v>
      </c>
      <c r="J88" s="22">
        <v>1300510</v>
      </c>
      <c r="K88" s="22">
        <v>1</v>
      </c>
      <c r="L88" s="22"/>
      <c r="M88" s="22"/>
      <c r="N88" s="22"/>
      <c r="O88" s="23" t="s">
        <v>806</v>
      </c>
      <c r="P88" s="22">
        <f t="shared" si="1"/>
        <v>21020086</v>
      </c>
      <c r="Q88" s="22">
        <v>1</v>
      </c>
    </row>
    <row r="89" spans="1:17" ht="12" x14ac:dyDescent="0.15">
      <c r="A89" s="22">
        <v>21020086</v>
      </c>
      <c r="B89" s="22" t="s">
        <v>564</v>
      </c>
      <c r="C89" s="25" t="s">
        <v>670</v>
      </c>
      <c r="D89" s="22" t="s">
        <v>506</v>
      </c>
      <c r="E89" s="22">
        <v>3</v>
      </c>
      <c r="F89" s="22">
        <v>81</v>
      </c>
      <c r="G89" s="22">
        <v>1</v>
      </c>
      <c r="H89" s="22">
        <v>7</v>
      </c>
      <c r="I89" s="22">
        <v>1</v>
      </c>
      <c r="J89" s="22">
        <v>1300511</v>
      </c>
      <c r="K89" s="22">
        <v>1</v>
      </c>
      <c r="L89" s="22"/>
      <c r="M89" s="22"/>
      <c r="N89" s="22"/>
      <c r="O89" s="23" t="s">
        <v>806</v>
      </c>
      <c r="P89" s="22">
        <f t="shared" si="1"/>
        <v>21020087</v>
      </c>
      <c r="Q89" s="22">
        <v>1</v>
      </c>
    </row>
    <row r="90" spans="1:17" ht="12" x14ac:dyDescent="0.15">
      <c r="A90" s="22">
        <v>21020087</v>
      </c>
      <c r="B90" s="22" t="s">
        <v>565</v>
      </c>
      <c r="C90" s="25" t="s">
        <v>671</v>
      </c>
      <c r="D90" s="22" t="s">
        <v>506</v>
      </c>
      <c r="E90" s="22">
        <v>3</v>
      </c>
      <c r="F90" s="22">
        <v>82</v>
      </c>
      <c r="G90" s="22">
        <v>1</v>
      </c>
      <c r="H90" s="22">
        <v>7</v>
      </c>
      <c r="I90" s="22">
        <v>1</v>
      </c>
      <c r="J90" s="22">
        <v>1300512</v>
      </c>
      <c r="K90" s="22">
        <v>1</v>
      </c>
      <c r="L90" s="22"/>
      <c r="M90" s="22"/>
      <c r="N90" s="22"/>
      <c r="O90" s="23" t="s">
        <v>808</v>
      </c>
      <c r="P90" s="22">
        <f t="shared" si="1"/>
        <v>21020088</v>
      </c>
      <c r="Q90" s="22">
        <v>1</v>
      </c>
    </row>
    <row r="91" spans="1:17" ht="12" x14ac:dyDescent="0.15">
      <c r="A91" s="22">
        <v>21020088</v>
      </c>
      <c r="B91" s="22" t="s">
        <v>564</v>
      </c>
      <c r="C91" s="25" t="s">
        <v>672</v>
      </c>
      <c r="D91" s="22" t="s">
        <v>506</v>
      </c>
      <c r="E91" s="22">
        <v>3</v>
      </c>
      <c r="F91" s="22">
        <v>83</v>
      </c>
      <c r="G91" s="22">
        <v>1</v>
      </c>
      <c r="H91" s="22">
        <v>7</v>
      </c>
      <c r="I91" s="22">
        <v>1</v>
      </c>
      <c r="J91" s="22">
        <v>1300513</v>
      </c>
      <c r="K91" s="22">
        <v>1</v>
      </c>
      <c r="L91" s="22"/>
      <c r="M91" s="22"/>
      <c r="N91" s="22"/>
      <c r="O91" s="23" t="s">
        <v>809</v>
      </c>
      <c r="P91" s="22">
        <f t="shared" si="1"/>
        <v>21020089</v>
      </c>
      <c r="Q91" s="22">
        <v>1</v>
      </c>
    </row>
    <row r="92" spans="1:17" ht="12" x14ac:dyDescent="0.15">
      <c r="A92" s="22">
        <v>21020089</v>
      </c>
      <c r="B92" s="22" t="s">
        <v>565</v>
      </c>
      <c r="C92" s="25" t="s">
        <v>673</v>
      </c>
      <c r="D92" s="22" t="s">
        <v>506</v>
      </c>
      <c r="E92" s="22">
        <v>3</v>
      </c>
      <c r="F92" s="22">
        <v>84</v>
      </c>
      <c r="G92" s="22">
        <v>1</v>
      </c>
      <c r="H92" s="22">
        <v>7</v>
      </c>
      <c r="I92" s="22">
        <v>1</v>
      </c>
      <c r="J92" s="22">
        <v>1300514</v>
      </c>
      <c r="K92" s="22">
        <v>1</v>
      </c>
      <c r="L92" s="22"/>
      <c r="M92" s="22"/>
      <c r="N92" s="22"/>
      <c r="O92" s="23" t="s">
        <v>809</v>
      </c>
      <c r="P92" s="22">
        <f t="shared" si="1"/>
        <v>21020090</v>
      </c>
      <c r="Q92" s="22">
        <v>1</v>
      </c>
    </row>
    <row r="93" spans="1:17" ht="12" x14ac:dyDescent="0.15">
      <c r="A93" s="22">
        <v>21020090</v>
      </c>
      <c r="B93" s="22" t="s">
        <v>564</v>
      </c>
      <c r="C93" s="25" t="s">
        <v>674</v>
      </c>
      <c r="D93" s="22" t="s">
        <v>506</v>
      </c>
      <c r="E93" s="22">
        <v>3</v>
      </c>
      <c r="F93" s="22">
        <v>85</v>
      </c>
      <c r="G93" s="22">
        <v>1</v>
      </c>
      <c r="H93" s="22">
        <v>7</v>
      </c>
      <c r="I93" s="22">
        <v>1</v>
      </c>
      <c r="J93" s="22">
        <v>1300515</v>
      </c>
      <c r="K93" s="22">
        <v>1</v>
      </c>
      <c r="L93" s="22"/>
      <c r="M93" s="22"/>
      <c r="N93" s="22"/>
      <c r="O93" s="23" t="s">
        <v>808</v>
      </c>
      <c r="P93" s="22">
        <f t="shared" si="1"/>
        <v>21020091</v>
      </c>
      <c r="Q93" s="22">
        <v>1</v>
      </c>
    </row>
    <row r="94" spans="1:17" ht="12" x14ac:dyDescent="0.15">
      <c r="A94" s="22">
        <v>21020091</v>
      </c>
      <c r="B94" s="22" t="s">
        <v>565</v>
      </c>
      <c r="C94" s="25" t="s">
        <v>675</v>
      </c>
      <c r="D94" s="22" t="s">
        <v>506</v>
      </c>
      <c r="E94" s="22">
        <v>3</v>
      </c>
      <c r="F94" s="22">
        <v>86</v>
      </c>
      <c r="G94" s="22">
        <v>1</v>
      </c>
      <c r="H94" s="22">
        <v>7</v>
      </c>
      <c r="I94" s="22">
        <v>1</v>
      </c>
      <c r="J94" s="22">
        <v>1300516</v>
      </c>
      <c r="K94" s="22">
        <v>1</v>
      </c>
      <c r="L94" s="22"/>
      <c r="M94" s="22"/>
      <c r="N94" s="22"/>
      <c r="O94" s="23" t="s">
        <v>809</v>
      </c>
      <c r="P94" s="22">
        <f t="shared" si="1"/>
        <v>21020092</v>
      </c>
      <c r="Q94" s="22">
        <v>1</v>
      </c>
    </row>
    <row r="95" spans="1:17" ht="12" x14ac:dyDescent="0.15">
      <c r="A95" s="22">
        <v>21020092</v>
      </c>
      <c r="B95" s="22" t="s">
        <v>564</v>
      </c>
      <c r="C95" s="25" t="s">
        <v>676</v>
      </c>
      <c r="D95" s="22" t="s">
        <v>506</v>
      </c>
      <c r="E95" s="22">
        <v>3</v>
      </c>
      <c r="F95" s="22">
        <v>87</v>
      </c>
      <c r="G95" s="22">
        <v>1</v>
      </c>
      <c r="H95" s="22">
        <v>7</v>
      </c>
      <c r="I95" s="22">
        <v>1</v>
      </c>
      <c r="J95" s="22">
        <v>1300517</v>
      </c>
      <c r="K95" s="22">
        <v>1</v>
      </c>
      <c r="L95" s="22"/>
      <c r="M95" s="22"/>
      <c r="N95" s="22"/>
      <c r="O95" s="23" t="s">
        <v>809</v>
      </c>
      <c r="P95" s="22">
        <f t="shared" si="1"/>
        <v>21020093</v>
      </c>
      <c r="Q95" s="22">
        <v>1</v>
      </c>
    </row>
    <row r="96" spans="1:17" ht="12" x14ac:dyDescent="0.15">
      <c r="A96" s="22">
        <v>21020093</v>
      </c>
      <c r="B96" s="22" t="s">
        <v>565</v>
      </c>
      <c r="C96" s="25" t="s">
        <v>677</v>
      </c>
      <c r="D96" s="22" t="s">
        <v>506</v>
      </c>
      <c r="E96" s="22">
        <v>3</v>
      </c>
      <c r="F96" s="22">
        <v>88</v>
      </c>
      <c r="G96" s="22">
        <v>1</v>
      </c>
      <c r="H96" s="22">
        <v>7</v>
      </c>
      <c r="I96" s="22">
        <v>1</v>
      </c>
      <c r="J96" s="22">
        <v>1300518</v>
      </c>
      <c r="K96" s="22">
        <v>1</v>
      </c>
      <c r="L96" s="22"/>
      <c r="M96" s="22"/>
      <c r="N96" s="22" t="s">
        <v>807</v>
      </c>
      <c r="O96" s="23" t="s">
        <v>889</v>
      </c>
      <c r="P96" s="22">
        <f t="shared" si="1"/>
        <v>21020094</v>
      </c>
      <c r="Q96" s="22">
        <v>1</v>
      </c>
    </row>
    <row r="97" spans="1:17" ht="12" x14ac:dyDescent="0.15">
      <c r="A97" s="22">
        <v>21020094</v>
      </c>
      <c r="B97" s="22" t="s">
        <v>564</v>
      </c>
      <c r="C97" s="25" t="s">
        <v>678</v>
      </c>
      <c r="D97" s="22" t="s">
        <v>506</v>
      </c>
      <c r="E97" s="22">
        <v>3</v>
      </c>
      <c r="F97" s="22">
        <v>89</v>
      </c>
      <c r="G97" s="22">
        <v>1</v>
      </c>
      <c r="H97" s="22">
        <v>7</v>
      </c>
      <c r="I97" s="22">
        <v>1</v>
      </c>
      <c r="J97" s="22">
        <v>1300601</v>
      </c>
      <c r="K97" s="22">
        <v>1</v>
      </c>
      <c r="L97" s="22"/>
      <c r="M97" s="22"/>
      <c r="N97" s="22"/>
      <c r="O97" s="23" t="s">
        <v>810</v>
      </c>
      <c r="P97" s="22">
        <f t="shared" si="1"/>
        <v>21020095</v>
      </c>
      <c r="Q97" s="22">
        <v>1</v>
      </c>
    </row>
    <row r="98" spans="1:17" ht="12" x14ac:dyDescent="0.15">
      <c r="A98" s="22">
        <v>21020095</v>
      </c>
      <c r="B98" s="22" t="s">
        <v>565</v>
      </c>
      <c r="C98" s="25" t="s">
        <v>679</v>
      </c>
      <c r="D98" s="22" t="s">
        <v>506</v>
      </c>
      <c r="E98" s="22">
        <v>3</v>
      </c>
      <c r="F98" s="22">
        <v>90</v>
      </c>
      <c r="G98" s="22">
        <v>1</v>
      </c>
      <c r="H98" s="22">
        <v>7</v>
      </c>
      <c r="I98" s="22">
        <v>1</v>
      </c>
      <c r="J98" s="22">
        <v>1300602</v>
      </c>
      <c r="K98" s="22">
        <v>1</v>
      </c>
      <c r="L98" s="22"/>
      <c r="M98" s="22"/>
      <c r="N98" s="22"/>
      <c r="O98" s="23" t="s">
        <v>810</v>
      </c>
      <c r="P98" s="22">
        <f t="shared" si="1"/>
        <v>21020096</v>
      </c>
      <c r="Q98" s="22">
        <v>1</v>
      </c>
    </row>
    <row r="99" spans="1:17" ht="12" x14ac:dyDescent="0.15">
      <c r="A99" s="22">
        <v>21020096</v>
      </c>
      <c r="B99" s="22" t="s">
        <v>564</v>
      </c>
      <c r="C99" s="25" t="s">
        <v>680</v>
      </c>
      <c r="D99" s="22" t="s">
        <v>506</v>
      </c>
      <c r="E99" s="22">
        <v>3</v>
      </c>
      <c r="F99" s="22">
        <v>91</v>
      </c>
      <c r="G99" s="22">
        <v>1</v>
      </c>
      <c r="H99" s="22">
        <v>7</v>
      </c>
      <c r="I99" s="22">
        <v>1</v>
      </c>
      <c r="J99" s="22">
        <v>1300603</v>
      </c>
      <c r="K99" s="22">
        <v>1</v>
      </c>
      <c r="L99" s="22"/>
      <c r="M99" s="22"/>
      <c r="N99" s="22"/>
      <c r="O99" s="23" t="s">
        <v>811</v>
      </c>
      <c r="P99" s="22">
        <f t="shared" si="1"/>
        <v>21020097</v>
      </c>
      <c r="Q99" s="22">
        <v>1</v>
      </c>
    </row>
    <row r="100" spans="1:17" ht="12" x14ac:dyDescent="0.15">
      <c r="A100" s="22">
        <v>21020097</v>
      </c>
      <c r="B100" s="22" t="s">
        <v>565</v>
      </c>
      <c r="C100" s="25" t="s">
        <v>681</v>
      </c>
      <c r="D100" s="22" t="s">
        <v>506</v>
      </c>
      <c r="E100" s="22">
        <v>3</v>
      </c>
      <c r="F100" s="22">
        <v>92</v>
      </c>
      <c r="G100" s="22">
        <v>1</v>
      </c>
      <c r="H100" s="22">
        <v>7</v>
      </c>
      <c r="I100" s="22">
        <v>1</v>
      </c>
      <c r="J100" s="22">
        <v>1300604</v>
      </c>
      <c r="K100" s="22">
        <v>1</v>
      </c>
      <c r="L100" s="22"/>
      <c r="M100" s="22"/>
      <c r="N100" s="22"/>
      <c r="O100" s="23" t="s">
        <v>810</v>
      </c>
      <c r="P100" s="22">
        <f t="shared" si="1"/>
        <v>21020098</v>
      </c>
      <c r="Q100" s="22">
        <v>1</v>
      </c>
    </row>
    <row r="101" spans="1:17" ht="12" x14ac:dyDescent="0.15">
      <c r="A101" s="22">
        <v>21020098</v>
      </c>
      <c r="B101" s="22" t="s">
        <v>564</v>
      </c>
      <c r="C101" s="25" t="s">
        <v>682</v>
      </c>
      <c r="D101" s="22" t="s">
        <v>506</v>
      </c>
      <c r="E101" s="22">
        <v>3</v>
      </c>
      <c r="F101" s="22">
        <v>93</v>
      </c>
      <c r="G101" s="22">
        <v>1</v>
      </c>
      <c r="H101" s="22">
        <v>7</v>
      </c>
      <c r="I101" s="22">
        <v>1</v>
      </c>
      <c r="J101" s="22">
        <v>1300605</v>
      </c>
      <c r="K101" s="22">
        <v>1</v>
      </c>
      <c r="L101" s="22"/>
      <c r="M101" s="22"/>
      <c r="N101" s="22"/>
      <c r="O101" s="23" t="s">
        <v>810</v>
      </c>
      <c r="P101" s="22">
        <f t="shared" si="1"/>
        <v>21020099</v>
      </c>
      <c r="Q101" s="22">
        <v>1</v>
      </c>
    </row>
    <row r="102" spans="1:17" ht="12" x14ac:dyDescent="0.15">
      <c r="A102" s="22">
        <v>21020099</v>
      </c>
      <c r="B102" s="22" t="s">
        <v>565</v>
      </c>
      <c r="C102" s="25" t="s">
        <v>683</v>
      </c>
      <c r="D102" s="22" t="s">
        <v>506</v>
      </c>
      <c r="E102" s="22">
        <v>3</v>
      </c>
      <c r="F102" s="22">
        <v>94</v>
      </c>
      <c r="G102" s="22">
        <v>1</v>
      </c>
      <c r="H102" s="22">
        <v>7</v>
      </c>
      <c r="I102" s="22">
        <v>1</v>
      </c>
      <c r="J102" s="22">
        <v>1300606</v>
      </c>
      <c r="K102" s="22">
        <v>1</v>
      </c>
      <c r="L102" s="22"/>
      <c r="M102" s="22"/>
      <c r="N102" s="22"/>
      <c r="O102" s="23" t="s">
        <v>812</v>
      </c>
      <c r="P102" s="22">
        <f t="shared" si="1"/>
        <v>21020100</v>
      </c>
      <c r="Q102" s="22">
        <v>1</v>
      </c>
    </row>
    <row r="103" spans="1:17" ht="12" x14ac:dyDescent="0.15">
      <c r="A103" s="22">
        <v>21020100</v>
      </c>
      <c r="B103" s="22" t="s">
        <v>564</v>
      </c>
      <c r="C103" s="25" t="s">
        <v>684</v>
      </c>
      <c r="D103" s="22" t="s">
        <v>506</v>
      </c>
      <c r="E103" s="22">
        <v>3</v>
      </c>
      <c r="F103" s="22">
        <v>95</v>
      </c>
      <c r="G103" s="22">
        <v>1</v>
      </c>
      <c r="H103" s="22">
        <v>7</v>
      </c>
      <c r="I103" s="22">
        <v>1</v>
      </c>
      <c r="J103" s="22">
        <v>1300607</v>
      </c>
      <c r="K103" s="22">
        <v>1</v>
      </c>
      <c r="L103" s="22"/>
      <c r="M103" s="22"/>
      <c r="N103" s="22"/>
      <c r="O103" s="23" t="s">
        <v>813</v>
      </c>
      <c r="P103" s="22">
        <f t="shared" si="1"/>
        <v>21020101</v>
      </c>
      <c r="Q103" s="22">
        <v>1</v>
      </c>
    </row>
    <row r="104" spans="1:17" ht="12" x14ac:dyDescent="0.15">
      <c r="A104" s="22">
        <v>21020101</v>
      </c>
      <c r="B104" s="22" t="s">
        <v>565</v>
      </c>
      <c r="C104" s="25" t="s">
        <v>685</v>
      </c>
      <c r="D104" s="22" t="s">
        <v>506</v>
      </c>
      <c r="E104" s="22">
        <v>3</v>
      </c>
      <c r="F104" s="22">
        <v>96</v>
      </c>
      <c r="G104" s="22">
        <v>1</v>
      </c>
      <c r="H104" s="22">
        <v>7</v>
      </c>
      <c r="I104" s="22">
        <v>1</v>
      </c>
      <c r="J104" s="22">
        <v>1300608</v>
      </c>
      <c r="K104" s="22">
        <v>1</v>
      </c>
      <c r="L104" s="22"/>
      <c r="M104" s="22"/>
      <c r="N104" s="22"/>
      <c r="O104" s="23" t="s">
        <v>813</v>
      </c>
      <c r="P104" s="22">
        <f t="shared" si="1"/>
        <v>21020102</v>
      </c>
      <c r="Q104" s="22">
        <v>1</v>
      </c>
    </row>
    <row r="105" spans="1:17" ht="12" x14ac:dyDescent="0.15">
      <c r="A105" s="22">
        <v>21020102</v>
      </c>
      <c r="B105" s="22" t="s">
        <v>564</v>
      </c>
      <c r="C105" s="25" t="s">
        <v>686</v>
      </c>
      <c r="D105" s="22" t="s">
        <v>506</v>
      </c>
      <c r="E105" s="22">
        <v>3</v>
      </c>
      <c r="F105" s="22">
        <v>97</v>
      </c>
      <c r="G105" s="22">
        <v>1</v>
      </c>
      <c r="H105" s="22">
        <v>7</v>
      </c>
      <c r="I105" s="22">
        <v>1</v>
      </c>
      <c r="J105" s="22">
        <v>1300609</v>
      </c>
      <c r="K105" s="22">
        <v>1</v>
      </c>
      <c r="L105" s="22"/>
      <c r="M105" s="22"/>
      <c r="N105" s="22" t="s">
        <v>814</v>
      </c>
      <c r="O105" s="23" t="s">
        <v>812</v>
      </c>
      <c r="P105" s="22">
        <f t="shared" si="1"/>
        <v>21020103</v>
      </c>
      <c r="Q105" s="22">
        <v>1</v>
      </c>
    </row>
    <row r="106" spans="1:17" ht="12" x14ac:dyDescent="0.15">
      <c r="A106" s="22">
        <v>21020103</v>
      </c>
      <c r="B106" s="22" t="s">
        <v>565</v>
      </c>
      <c r="C106" s="25" t="s">
        <v>687</v>
      </c>
      <c r="D106" s="22" t="s">
        <v>506</v>
      </c>
      <c r="E106" s="22">
        <v>3</v>
      </c>
      <c r="F106" s="22">
        <v>98</v>
      </c>
      <c r="G106" s="22">
        <v>1</v>
      </c>
      <c r="H106" s="22">
        <v>7</v>
      </c>
      <c r="I106" s="22">
        <v>1</v>
      </c>
      <c r="J106" s="22">
        <v>1300610</v>
      </c>
      <c r="K106" s="22">
        <v>1</v>
      </c>
      <c r="L106" s="22"/>
      <c r="M106" s="22"/>
      <c r="N106" s="22"/>
      <c r="O106" s="23" t="s">
        <v>813</v>
      </c>
      <c r="P106" s="22">
        <f t="shared" si="1"/>
        <v>21020104</v>
      </c>
      <c r="Q106" s="22">
        <v>1</v>
      </c>
    </row>
    <row r="107" spans="1:17" ht="12" x14ac:dyDescent="0.15">
      <c r="A107" s="22">
        <v>21020104</v>
      </c>
      <c r="B107" s="22" t="s">
        <v>564</v>
      </c>
      <c r="C107" s="25" t="s">
        <v>688</v>
      </c>
      <c r="D107" s="22" t="s">
        <v>506</v>
      </c>
      <c r="E107" s="22">
        <v>3</v>
      </c>
      <c r="F107" s="22">
        <v>99</v>
      </c>
      <c r="G107" s="22">
        <v>1</v>
      </c>
      <c r="H107" s="22">
        <v>7</v>
      </c>
      <c r="I107" s="22">
        <v>1</v>
      </c>
      <c r="J107" s="22">
        <v>1300611</v>
      </c>
      <c r="K107" s="22">
        <v>1</v>
      </c>
      <c r="L107" s="22"/>
      <c r="M107" s="22"/>
      <c r="N107" s="22"/>
      <c r="O107" s="23" t="s">
        <v>813</v>
      </c>
      <c r="P107" s="22">
        <f t="shared" si="1"/>
        <v>21020105</v>
      </c>
      <c r="Q107" s="22">
        <v>1</v>
      </c>
    </row>
    <row r="108" spans="1:17" ht="12" x14ac:dyDescent="0.15">
      <c r="A108" s="22">
        <v>21020105</v>
      </c>
      <c r="B108" s="22" t="s">
        <v>565</v>
      </c>
      <c r="C108" s="25" t="s">
        <v>689</v>
      </c>
      <c r="D108" s="22" t="s">
        <v>506</v>
      </c>
      <c r="E108" s="22">
        <v>3</v>
      </c>
      <c r="F108" s="22">
        <v>100</v>
      </c>
      <c r="G108" s="22">
        <v>1</v>
      </c>
      <c r="H108" s="22">
        <v>7</v>
      </c>
      <c r="I108" s="22">
        <v>1</v>
      </c>
      <c r="J108" s="22">
        <v>1300612</v>
      </c>
      <c r="K108" s="22">
        <v>1</v>
      </c>
      <c r="L108" s="22"/>
      <c r="M108" s="22"/>
      <c r="N108" s="22"/>
      <c r="O108" s="23" t="s">
        <v>815</v>
      </c>
      <c r="P108" s="22">
        <f t="shared" si="1"/>
        <v>21020106</v>
      </c>
      <c r="Q108" s="22">
        <v>1</v>
      </c>
    </row>
    <row r="109" spans="1:17" ht="12" x14ac:dyDescent="0.15">
      <c r="A109" s="22">
        <v>21020106</v>
      </c>
      <c r="B109" s="22" t="s">
        <v>564</v>
      </c>
      <c r="C109" s="25" t="s">
        <v>690</v>
      </c>
      <c r="D109" s="22" t="s">
        <v>506</v>
      </c>
      <c r="E109" s="22">
        <v>3</v>
      </c>
      <c r="F109" s="22">
        <v>101</v>
      </c>
      <c r="G109" s="22">
        <v>1</v>
      </c>
      <c r="H109" s="22">
        <v>7</v>
      </c>
      <c r="I109" s="22">
        <v>1</v>
      </c>
      <c r="J109" s="22">
        <v>1300613</v>
      </c>
      <c r="K109" s="22">
        <v>1</v>
      </c>
      <c r="L109" s="22"/>
      <c r="M109" s="22"/>
      <c r="N109" s="22"/>
      <c r="O109" s="23" t="s">
        <v>816</v>
      </c>
      <c r="P109" s="22">
        <f t="shared" si="1"/>
        <v>21020107</v>
      </c>
      <c r="Q109" s="22">
        <v>1</v>
      </c>
    </row>
    <row r="110" spans="1:17" ht="12" x14ac:dyDescent="0.15">
      <c r="A110" s="22">
        <v>21020107</v>
      </c>
      <c r="B110" s="22" t="s">
        <v>565</v>
      </c>
      <c r="C110" s="25" t="s">
        <v>691</v>
      </c>
      <c r="D110" s="22" t="s">
        <v>506</v>
      </c>
      <c r="E110" s="22">
        <v>3</v>
      </c>
      <c r="F110" s="22">
        <v>102</v>
      </c>
      <c r="G110" s="22">
        <v>1</v>
      </c>
      <c r="H110" s="22">
        <v>7</v>
      </c>
      <c r="I110" s="22">
        <v>1</v>
      </c>
      <c r="J110" s="22">
        <v>1300614</v>
      </c>
      <c r="K110" s="22">
        <v>1</v>
      </c>
      <c r="L110" s="22"/>
      <c r="M110" s="22"/>
      <c r="N110" s="22"/>
      <c r="O110" s="23" t="s">
        <v>816</v>
      </c>
      <c r="P110" s="22">
        <f t="shared" si="1"/>
        <v>21020108</v>
      </c>
      <c r="Q110" s="22">
        <v>1</v>
      </c>
    </row>
    <row r="111" spans="1:17" ht="12" x14ac:dyDescent="0.15">
      <c r="A111" s="22">
        <v>21020108</v>
      </c>
      <c r="B111" s="22" t="s">
        <v>564</v>
      </c>
      <c r="C111" s="25" t="s">
        <v>692</v>
      </c>
      <c r="D111" s="22" t="s">
        <v>506</v>
      </c>
      <c r="E111" s="22">
        <v>3</v>
      </c>
      <c r="F111" s="22">
        <v>103</v>
      </c>
      <c r="G111" s="22">
        <v>1</v>
      </c>
      <c r="H111" s="22">
        <v>7</v>
      </c>
      <c r="I111" s="22">
        <v>1</v>
      </c>
      <c r="J111" s="22">
        <v>1300615</v>
      </c>
      <c r="K111" s="22">
        <v>1</v>
      </c>
      <c r="L111" s="22"/>
      <c r="M111" s="22"/>
      <c r="N111" s="22"/>
      <c r="O111" s="23" t="s">
        <v>815</v>
      </c>
      <c r="P111" s="22">
        <f t="shared" si="1"/>
        <v>21020109</v>
      </c>
      <c r="Q111" s="22">
        <v>1</v>
      </c>
    </row>
    <row r="112" spans="1:17" ht="12" x14ac:dyDescent="0.15">
      <c r="A112" s="22">
        <v>21020109</v>
      </c>
      <c r="B112" s="22" t="s">
        <v>565</v>
      </c>
      <c r="C112" s="25" t="s">
        <v>693</v>
      </c>
      <c r="D112" s="22" t="s">
        <v>506</v>
      </c>
      <c r="E112" s="22">
        <v>3</v>
      </c>
      <c r="F112" s="22">
        <v>104</v>
      </c>
      <c r="G112" s="22">
        <v>1</v>
      </c>
      <c r="H112" s="22">
        <v>7</v>
      </c>
      <c r="I112" s="22">
        <v>1</v>
      </c>
      <c r="J112" s="22">
        <v>1300616</v>
      </c>
      <c r="K112" s="22">
        <v>1</v>
      </c>
      <c r="L112" s="22"/>
      <c r="M112" s="22"/>
      <c r="N112" s="22"/>
      <c r="O112" s="23" t="s">
        <v>816</v>
      </c>
      <c r="P112" s="22">
        <f t="shared" si="1"/>
        <v>21020110</v>
      </c>
      <c r="Q112" s="22">
        <v>1</v>
      </c>
    </row>
    <row r="113" spans="1:17" ht="12" x14ac:dyDescent="0.15">
      <c r="A113" s="22">
        <v>21020110</v>
      </c>
      <c r="B113" s="22" t="s">
        <v>564</v>
      </c>
      <c r="C113" s="25" t="s">
        <v>694</v>
      </c>
      <c r="D113" s="22" t="s">
        <v>506</v>
      </c>
      <c r="E113" s="22">
        <v>3</v>
      </c>
      <c r="F113" s="22">
        <v>105</v>
      </c>
      <c r="G113" s="22">
        <v>1</v>
      </c>
      <c r="H113" s="22">
        <v>7</v>
      </c>
      <c r="I113" s="22">
        <v>1</v>
      </c>
      <c r="J113" s="22">
        <v>1300617</v>
      </c>
      <c r="K113" s="22">
        <v>1</v>
      </c>
      <c r="L113" s="22"/>
      <c r="M113" s="22"/>
      <c r="N113" s="22"/>
      <c r="O113" s="23" t="s">
        <v>816</v>
      </c>
      <c r="P113" s="22">
        <f t="shared" si="1"/>
        <v>21020111</v>
      </c>
      <c r="Q113" s="22">
        <v>1</v>
      </c>
    </row>
    <row r="114" spans="1:17" ht="12" x14ac:dyDescent="0.15">
      <c r="A114" s="22">
        <v>21020111</v>
      </c>
      <c r="B114" s="22" t="s">
        <v>565</v>
      </c>
      <c r="C114" s="25" t="s">
        <v>695</v>
      </c>
      <c r="D114" s="22" t="s">
        <v>506</v>
      </c>
      <c r="E114" s="22">
        <v>3</v>
      </c>
      <c r="F114" s="22">
        <v>106</v>
      </c>
      <c r="G114" s="22">
        <v>1</v>
      </c>
      <c r="H114" s="22">
        <v>7</v>
      </c>
      <c r="I114" s="22">
        <v>1</v>
      </c>
      <c r="J114" s="22">
        <v>1300618</v>
      </c>
      <c r="K114" s="22">
        <v>1</v>
      </c>
      <c r="L114" s="22"/>
      <c r="M114" s="22"/>
      <c r="N114" s="22" t="s">
        <v>814</v>
      </c>
      <c r="O114" s="23" t="s">
        <v>890</v>
      </c>
      <c r="P114" s="22">
        <f t="shared" si="1"/>
        <v>21020112</v>
      </c>
      <c r="Q114" s="22">
        <v>1</v>
      </c>
    </row>
    <row r="115" spans="1:17" ht="12" x14ac:dyDescent="0.15">
      <c r="A115" s="22">
        <v>21020112</v>
      </c>
      <c r="B115" s="22" t="s">
        <v>564</v>
      </c>
      <c r="C115" s="25" t="s">
        <v>696</v>
      </c>
      <c r="D115" s="22" t="s">
        <v>506</v>
      </c>
      <c r="E115" s="22">
        <v>3</v>
      </c>
      <c r="F115" s="22">
        <v>107</v>
      </c>
      <c r="G115" s="22">
        <v>1</v>
      </c>
      <c r="H115" s="22">
        <v>7</v>
      </c>
      <c r="I115" s="22">
        <v>1</v>
      </c>
      <c r="J115" s="22">
        <v>1300701</v>
      </c>
      <c r="K115" s="22">
        <v>1</v>
      </c>
      <c r="L115" s="22"/>
      <c r="M115" s="22"/>
      <c r="N115" s="22"/>
      <c r="O115" s="23" t="s">
        <v>817</v>
      </c>
      <c r="P115" s="22">
        <f t="shared" si="1"/>
        <v>21020113</v>
      </c>
      <c r="Q115" s="22">
        <v>1</v>
      </c>
    </row>
    <row r="116" spans="1:17" ht="12" x14ac:dyDescent="0.15">
      <c r="A116" s="22">
        <v>21020113</v>
      </c>
      <c r="B116" s="22" t="s">
        <v>565</v>
      </c>
      <c r="C116" s="25" t="s">
        <v>697</v>
      </c>
      <c r="D116" s="22" t="s">
        <v>506</v>
      </c>
      <c r="E116" s="22">
        <v>3</v>
      </c>
      <c r="F116" s="22">
        <v>108</v>
      </c>
      <c r="G116" s="22">
        <v>1</v>
      </c>
      <c r="H116" s="22">
        <v>7</v>
      </c>
      <c r="I116" s="22">
        <v>1</v>
      </c>
      <c r="J116" s="22">
        <v>1300702</v>
      </c>
      <c r="K116" s="22">
        <v>1</v>
      </c>
      <c r="L116" s="22"/>
      <c r="M116" s="22"/>
      <c r="N116" s="22"/>
      <c r="O116" s="23" t="s">
        <v>817</v>
      </c>
      <c r="P116" s="22">
        <f t="shared" si="1"/>
        <v>21020114</v>
      </c>
      <c r="Q116" s="22">
        <v>1</v>
      </c>
    </row>
    <row r="117" spans="1:17" ht="12" x14ac:dyDescent="0.15">
      <c r="A117" s="22">
        <v>21020114</v>
      </c>
      <c r="B117" s="22" t="s">
        <v>564</v>
      </c>
      <c r="C117" s="25" t="s">
        <v>698</v>
      </c>
      <c r="D117" s="22" t="s">
        <v>506</v>
      </c>
      <c r="E117" s="22">
        <v>3</v>
      </c>
      <c r="F117" s="22">
        <v>109</v>
      </c>
      <c r="G117" s="22">
        <v>1</v>
      </c>
      <c r="H117" s="22">
        <v>7</v>
      </c>
      <c r="I117" s="22">
        <v>1</v>
      </c>
      <c r="J117" s="22">
        <v>1300703</v>
      </c>
      <c r="K117" s="22">
        <v>1</v>
      </c>
      <c r="L117" s="22"/>
      <c r="M117" s="22"/>
      <c r="N117" s="22"/>
      <c r="O117" s="23" t="s">
        <v>818</v>
      </c>
      <c r="P117" s="22">
        <f t="shared" si="1"/>
        <v>21020115</v>
      </c>
      <c r="Q117" s="22">
        <v>1</v>
      </c>
    </row>
    <row r="118" spans="1:17" ht="12" x14ac:dyDescent="0.15">
      <c r="A118" s="22">
        <v>21020115</v>
      </c>
      <c r="B118" s="22" t="s">
        <v>565</v>
      </c>
      <c r="C118" s="25" t="s">
        <v>699</v>
      </c>
      <c r="D118" s="22" t="s">
        <v>506</v>
      </c>
      <c r="E118" s="22">
        <v>3</v>
      </c>
      <c r="F118" s="22">
        <v>110</v>
      </c>
      <c r="G118" s="22">
        <v>1</v>
      </c>
      <c r="H118" s="22">
        <v>7</v>
      </c>
      <c r="I118" s="22">
        <v>1</v>
      </c>
      <c r="J118" s="22">
        <v>1300704</v>
      </c>
      <c r="K118" s="22">
        <v>1</v>
      </c>
      <c r="L118" s="22"/>
      <c r="M118" s="22"/>
      <c r="N118" s="22"/>
      <c r="O118" s="23" t="s">
        <v>817</v>
      </c>
      <c r="P118" s="22">
        <f t="shared" si="1"/>
        <v>21020116</v>
      </c>
      <c r="Q118" s="22">
        <v>1</v>
      </c>
    </row>
    <row r="119" spans="1:17" ht="12" x14ac:dyDescent="0.15">
      <c r="A119" s="22">
        <v>21020116</v>
      </c>
      <c r="B119" s="22" t="s">
        <v>564</v>
      </c>
      <c r="C119" s="25" t="s">
        <v>700</v>
      </c>
      <c r="D119" s="22" t="s">
        <v>506</v>
      </c>
      <c r="E119" s="22">
        <v>3</v>
      </c>
      <c r="F119" s="22">
        <v>111</v>
      </c>
      <c r="G119" s="22">
        <v>1</v>
      </c>
      <c r="H119" s="22">
        <v>7</v>
      </c>
      <c r="I119" s="22">
        <v>1</v>
      </c>
      <c r="J119" s="22">
        <v>1300705</v>
      </c>
      <c r="K119" s="22">
        <v>1</v>
      </c>
      <c r="L119" s="22"/>
      <c r="M119" s="22"/>
      <c r="N119" s="22"/>
      <c r="O119" s="23" t="s">
        <v>817</v>
      </c>
      <c r="P119" s="22">
        <f t="shared" si="1"/>
        <v>21020117</v>
      </c>
      <c r="Q119" s="22">
        <v>1</v>
      </c>
    </row>
    <row r="120" spans="1:17" ht="12" x14ac:dyDescent="0.15">
      <c r="A120" s="22">
        <v>21020117</v>
      </c>
      <c r="B120" s="22" t="s">
        <v>565</v>
      </c>
      <c r="C120" s="25" t="s">
        <v>701</v>
      </c>
      <c r="D120" s="22" t="s">
        <v>506</v>
      </c>
      <c r="E120" s="22">
        <v>3</v>
      </c>
      <c r="F120" s="22">
        <v>112</v>
      </c>
      <c r="G120" s="22">
        <v>1</v>
      </c>
      <c r="H120" s="22">
        <v>7</v>
      </c>
      <c r="I120" s="22">
        <v>1</v>
      </c>
      <c r="J120" s="22">
        <v>1300706</v>
      </c>
      <c r="K120" s="22">
        <v>1</v>
      </c>
      <c r="L120" s="22"/>
      <c r="M120" s="22"/>
      <c r="N120" s="22"/>
      <c r="O120" s="23" t="s">
        <v>819</v>
      </c>
      <c r="P120" s="22">
        <f t="shared" si="1"/>
        <v>21020118</v>
      </c>
      <c r="Q120" s="22">
        <v>1</v>
      </c>
    </row>
    <row r="121" spans="1:17" ht="12" x14ac:dyDescent="0.15">
      <c r="A121" s="22">
        <v>21020118</v>
      </c>
      <c r="B121" s="22" t="s">
        <v>564</v>
      </c>
      <c r="C121" s="25" t="s">
        <v>702</v>
      </c>
      <c r="D121" s="22" t="s">
        <v>506</v>
      </c>
      <c r="E121" s="22">
        <v>3</v>
      </c>
      <c r="F121" s="22">
        <v>113</v>
      </c>
      <c r="G121" s="22">
        <v>1</v>
      </c>
      <c r="H121" s="22">
        <v>7</v>
      </c>
      <c r="I121" s="22">
        <v>1</v>
      </c>
      <c r="J121" s="22">
        <v>1300707</v>
      </c>
      <c r="K121" s="22">
        <v>1</v>
      </c>
      <c r="L121" s="22"/>
      <c r="M121" s="22"/>
      <c r="N121" s="22"/>
      <c r="O121" s="23" t="s">
        <v>820</v>
      </c>
      <c r="P121" s="22">
        <f t="shared" si="1"/>
        <v>21020119</v>
      </c>
      <c r="Q121" s="22">
        <v>1</v>
      </c>
    </row>
    <row r="122" spans="1:17" ht="12" x14ac:dyDescent="0.15">
      <c r="A122" s="22">
        <v>21020119</v>
      </c>
      <c r="B122" s="22" t="s">
        <v>565</v>
      </c>
      <c r="C122" s="25" t="s">
        <v>703</v>
      </c>
      <c r="D122" s="22" t="s">
        <v>506</v>
      </c>
      <c r="E122" s="22">
        <v>3</v>
      </c>
      <c r="F122" s="22">
        <v>114</v>
      </c>
      <c r="G122" s="22">
        <v>1</v>
      </c>
      <c r="H122" s="22">
        <v>7</v>
      </c>
      <c r="I122" s="22">
        <v>1</v>
      </c>
      <c r="J122" s="22">
        <v>1300708</v>
      </c>
      <c r="K122" s="22">
        <v>1</v>
      </c>
      <c r="L122" s="22"/>
      <c r="M122" s="22"/>
      <c r="N122" s="22"/>
      <c r="O122" s="23" t="s">
        <v>820</v>
      </c>
      <c r="P122" s="22">
        <f t="shared" si="1"/>
        <v>21020120</v>
      </c>
      <c r="Q122" s="22">
        <v>1</v>
      </c>
    </row>
    <row r="123" spans="1:17" ht="12" x14ac:dyDescent="0.15">
      <c r="A123" s="22">
        <v>21020120</v>
      </c>
      <c r="B123" s="22" t="s">
        <v>564</v>
      </c>
      <c r="C123" s="25" t="s">
        <v>704</v>
      </c>
      <c r="D123" s="22" t="s">
        <v>506</v>
      </c>
      <c r="E123" s="22">
        <v>3</v>
      </c>
      <c r="F123" s="22">
        <v>115</v>
      </c>
      <c r="G123" s="22">
        <v>1</v>
      </c>
      <c r="H123" s="22">
        <v>7</v>
      </c>
      <c r="I123" s="22">
        <v>1</v>
      </c>
      <c r="J123" s="22">
        <v>1300709</v>
      </c>
      <c r="K123" s="22">
        <v>1</v>
      </c>
      <c r="L123" s="22"/>
      <c r="M123" s="22"/>
      <c r="N123" s="22" t="s">
        <v>821</v>
      </c>
      <c r="O123" s="23" t="s">
        <v>819</v>
      </c>
      <c r="P123" s="22">
        <f t="shared" si="1"/>
        <v>21020121</v>
      </c>
      <c r="Q123" s="22">
        <v>1</v>
      </c>
    </row>
    <row r="124" spans="1:17" ht="12" x14ac:dyDescent="0.15">
      <c r="A124" s="22">
        <v>21020121</v>
      </c>
      <c r="B124" s="22" t="s">
        <v>565</v>
      </c>
      <c r="C124" s="25" t="s">
        <v>705</v>
      </c>
      <c r="D124" s="22" t="s">
        <v>506</v>
      </c>
      <c r="E124" s="22">
        <v>3</v>
      </c>
      <c r="F124" s="22">
        <v>116</v>
      </c>
      <c r="G124" s="22">
        <v>1</v>
      </c>
      <c r="H124" s="22">
        <v>7</v>
      </c>
      <c r="I124" s="22">
        <v>1</v>
      </c>
      <c r="J124" s="22">
        <v>1300710</v>
      </c>
      <c r="K124" s="22">
        <v>1</v>
      </c>
      <c r="L124" s="22"/>
      <c r="M124" s="22"/>
      <c r="N124" s="22"/>
      <c r="O124" s="23" t="s">
        <v>820</v>
      </c>
      <c r="P124" s="22">
        <f t="shared" si="1"/>
        <v>21020122</v>
      </c>
      <c r="Q124" s="22">
        <v>1</v>
      </c>
    </row>
    <row r="125" spans="1:17" ht="12" x14ac:dyDescent="0.15">
      <c r="A125" s="22">
        <v>21020122</v>
      </c>
      <c r="B125" s="22" t="s">
        <v>564</v>
      </c>
      <c r="C125" s="25" t="s">
        <v>706</v>
      </c>
      <c r="D125" s="22" t="s">
        <v>506</v>
      </c>
      <c r="E125" s="22">
        <v>3</v>
      </c>
      <c r="F125" s="22">
        <v>117</v>
      </c>
      <c r="G125" s="22">
        <v>1</v>
      </c>
      <c r="H125" s="22">
        <v>7</v>
      </c>
      <c r="I125" s="22">
        <v>1</v>
      </c>
      <c r="J125" s="22">
        <v>1300711</v>
      </c>
      <c r="K125" s="22">
        <v>1</v>
      </c>
      <c r="L125" s="22"/>
      <c r="M125" s="22"/>
      <c r="N125" s="22"/>
      <c r="O125" s="23" t="s">
        <v>820</v>
      </c>
      <c r="P125" s="22">
        <f t="shared" si="1"/>
        <v>21020123</v>
      </c>
      <c r="Q125" s="22">
        <v>1</v>
      </c>
    </row>
    <row r="126" spans="1:17" ht="12" x14ac:dyDescent="0.15">
      <c r="A126" s="22">
        <v>21020123</v>
      </c>
      <c r="B126" s="22" t="s">
        <v>565</v>
      </c>
      <c r="C126" s="25" t="s">
        <v>707</v>
      </c>
      <c r="D126" s="22" t="s">
        <v>506</v>
      </c>
      <c r="E126" s="22">
        <v>3</v>
      </c>
      <c r="F126" s="22">
        <v>118</v>
      </c>
      <c r="G126" s="22">
        <v>1</v>
      </c>
      <c r="H126" s="22">
        <v>7</v>
      </c>
      <c r="I126" s="22">
        <v>1</v>
      </c>
      <c r="J126" s="22">
        <v>1300712</v>
      </c>
      <c r="K126" s="22">
        <v>1</v>
      </c>
      <c r="L126" s="22"/>
      <c r="M126" s="22"/>
      <c r="N126" s="22"/>
      <c r="O126" s="23" t="s">
        <v>822</v>
      </c>
      <c r="P126" s="22">
        <f t="shared" si="1"/>
        <v>21020124</v>
      </c>
      <c r="Q126" s="22">
        <v>1</v>
      </c>
    </row>
    <row r="127" spans="1:17" ht="12" x14ac:dyDescent="0.15">
      <c r="A127" s="22">
        <v>21020124</v>
      </c>
      <c r="B127" s="22" t="s">
        <v>564</v>
      </c>
      <c r="C127" s="25" t="s">
        <v>708</v>
      </c>
      <c r="D127" s="22" t="s">
        <v>506</v>
      </c>
      <c r="E127" s="22">
        <v>3</v>
      </c>
      <c r="F127" s="22">
        <v>119</v>
      </c>
      <c r="G127" s="22">
        <v>1</v>
      </c>
      <c r="H127" s="22">
        <v>7</v>
      </c>
      <c r="I127" s="22">
        <v>1</v>
      </c>
      <c r="J127" s="22">
        <v>1300713</v>
      </c>
      <c r="K127" s="22">
        <v>1</v>
      </c>
      <c r="L127" s="22"/>
      <c r="M127" s="22"/>
      <c r="N127" s="22"/>
      <c r="O127" s="23" t="s">
        <v>823</v>
      </c>
      <c r="P127" s="22">
        <f t="shared" si="1"/>
        <v>21020125</v>
      </c>
      <c r="Q127" s="22">
        <v>1</v>
      </c>
    </row>
    <row r="128" spans="1:17" ht="12" x14ac:dyDescent="0.15">
      <c r="A128" s="22">
        <v>21020125</v>
      </c>
      <c r="B128" s="22" t="s">
        <v>565</v>
      </c>
      <c r="C128" s="25" t="s">
        <v>709</v>
      </c>
      <c r="D128" s="22" t="s">
        <v>506</v>
      </c>
      <c r="E128" s="22">
        <v>3</v>
      </c>
      <c r="F128" s="22">
        <v>120</v>
      </c>
      <c r="G128" s="22">
        <v>1</v>
      </c>
      <c r="H128" s="22">
        <v>7</v>
      </c>
      <c r="I128" s="22">
        <v>1</v>
      </c>
      <c r="J128" s="22">
        <v>1300714</v>
      </c>
      <c r="K128" s="22">
        <v>1</v>
      </c>
      <c r="L128" s="22"/>
      <c r="M128" s="22"/>
      <c r="N128" s="22"/>
      <c r="O128" s="23" t="s">
        <v>823</v>
      </c>
      <c r="P128" s="22">
        <f t="shared" si="1"/>
        <v>21020126</v>
      </c>
      <c r="Q128" s="22">
        <v>1</v>
      </c>
    </row>
    <row r="129" spans="1:17" ht="12" x14ac:dyDescent="0.15">
      <c r="A129" s="22">
        <v>21020126</v>
      </c>
      <c r="B129" s="22" t="s">
        <v>564</v>
      </c>
      <c r="C129" s="25" t="s">
        <v>710</v>
      </c>
      <c r="D129" s="22" t="s">
        <v>506</v>
      </c>
      <c r="E129" s="22">
        <v>3</v>
      </c>
      <c r="F129" s="22">
        <v>121</v>
      </c>
      <c r="G129" s="22">
        <v>1</v>
      </c>
      <c r="H129" s="22">
        <v>7</v>
      </c>
      <c r="I129" s="22">
        <v>1</v>
      </c>
      <c r="J129" s="22">
        <v>1300715</v>
      </c>
      <c r="K129" s="22">
        <v>1</v>
      </c>
      <c r="L129" s="22"/>
      <c r="M129" s="22"/>
      <c r="N129" s="22"/>
      <c r="O129" s="23" t="s">
        <v>822</v>
      </c>
      <c r="P129" s="22">
        <f t="shared" si="1"/>
        <v>21020127</v>
      </c>
      <c r="Q129" s="22">
        <v>1</v>
      </c>
    </row>
    <row r="130" spans="1:17" ht="12" x14ac:dyDescent="0.15">
      <c r="A130" s="22">
        <v>21020127</v>
      </c>
      <c r="B130" s="22" t="s">
        <v>565</v>
      </c>
      <c r="C130" s="25" t="s">
        <v>711</v>
      </c>
      <c r="D130" s="22" t="s">
        <v>506</v>
      </c>
      <c r="E130" s="22">
        <v>3</v>
      </c>
      <c r="F130" s="22">
        <v>122</v>
      </c>
      <c r="G130" s="22">
        <v>1</v>
      </c>
      <c r="H130" s="22">
        <v>7</v>
      </c>
      <c r="I130" s="22">
        <v>1</v>
      </c>
      <c r="J130" s="22">
        <v>1300716</v>
      </c>
      <c r="K130" s="22">
        <v>1</v>
      </c>
      <c r="L130" s="22"/>
      <c r="M130" s="22"/>
      <c r="N130" s="22"/>
      <c r="O130" s="23" t="s">
        <v>823</v>
      </c>
      <c r="P130" s="22">
        <f t="shared" si="1"/>
        <v>21020128</v>
      </c>
      <c r="Q130" s="22">
        <v>1</v>
      </c>
    </row>
    <row r="131" spans="1:17" ht="12" x14ac:dyDescent="0.15">
      <c r="A131" s="22">
        <v>21020128</v>
      </c>
      <c r="B131" s="22" t="s">
        <v>564</v>
      </c>
      <c r="C131" s="25" t="s">
        <v>712</v>
      </c>
      <c r="D131" s="22" t="s">
        <v>506</v>
      </c>
      <c r="E131" s="22">
        <v>3</v>
      </c>
      <c r="F131" s="22">
        <v>123</v>
      </c>
      <c r="G131" s="22">
        <v>1</v>
      </c>
      <c r="H131" s="22">
        <v>7</v>
      </c>
      <c r="I131" s="22">
        <v>1</v>
      </c>
      <c r="J131" s="22">
        <v>1300717</v>
      </c>
      <c r="K131" s="22">
        <v>1</v>
      </c>
      <c r="L131" s="22"/>
      <c r="M131" s="22"/>
      <c r="N131" s="22"/>
      <c r="O131" s="23" t="s">
        <v>823</v>
      </c>
      <c r="P131" s="22">
        <f t="shared" si="1"/>
        <v>21020129</v>
      </c>
      <c r="Q131" s="22">
        <v>1</v>
      </c>
    </row>
    <row r="132" spans="1:17" ht="12" x14ac:dyDescent="0.15">
      <c r="A132" s="22">
        <v>21020129</v>
      </c>
      <c r="B132" s="22" t="s">
        <v>565</v>
      </c>
      <c r="C132" s="25" t="s">
        <v>713</v>
      </c>
      <c r="D132" s="22" t="s">
        <v>506</v>
      </c>
      <c r="E132" s="22">
        <v>3</v>
      </c>
      <c r="F132" s="22">
        <v>124</v>
      </c>
      <c r="G132" s="22">
        <v>1</v>
      </c>
      <c r="H132" s="22">
        <v>7</v>
      </c>
      <c r="I132" s="22">
        <v>1</v>
      </c>
      <c r="J132" s="22">
        <v>1300718</v>
      </c>
      <c r="K132" s="22">
        <v>1</v>
      </c>
      <c r="L132" s="22"/>
      <c r="M132" s="22"/>
      <c r="N132" s="22" t="s">
        <v>821</v>
      </c>
      <c r="O132" s="23" t="s">
        <v>891</v>
      </c>
      <c r="P132" s="22">
        <f t="shared" ref="P132:P195" si="2">IF(E132=E133,A133,0)</f>
        <v>21020130</v>
      </c>
      <c r="Q132" s="22">
        <v>1</v>
      </c>
    </row>
    <row r="133" spans="1:17" ht="12" x14ac:dyDescent="0.15">
      <c r="A133" s="22">
        <v>21020130</v>
      </c>
      <c r="B133" s="22" t="s">
        <v>564</v>
      </c>
      <c r="C133" s="25" t="s">
        <v>714</v>
      </c>
      <c r="D133" s="22" t="s">
        <v>506</v>
      </c>
      <c r="E133" s="22">
        <v>3</v>
      </c>
      <c r="F133" s="22">
        <v>125</v>
      </c>
      <c r="G133" s="22">
        <v>1</v>
      </c>
      <c r="H133" s="22">
        <v>7</v>
      </c>
      <c r="I133" s="22">
        <v>1</v>
      </c>
      <c r="J133" s="22">
        <v>1300801</v>
      </c>
      <c r="K133" s="22">
        <v>1</v>
      </c>
      <c r="L133" s="22"/>
      <c r="M133" s="22"/>
      <c r="N133" s="22"/>
      <c r="O133" s="23" t="s">
        <v>824</v>
      </c>
      <c r="P133" s="22">
        <f t="shared" si="2"/>
        <v>21020131</v>
      </c>
      <c r="Q133" s="22">
        <v>1</v>
      </c>
    </row>
    <row r="134" spans="1:17" ht="12" x14ac:dyDescent="0.15">
      <c r="A134" s="22">
        <v>21020131</v>
      </c>
      <c r="B134" s="22" t="s">
        <v>565</v>
      </c>
      <c r="C134" s="25" t="s">
        <v>715</v>
      </c>
      <c r="D134" s="22" t="s">
        <v>506</v>
      </c>
      <c r="E134" s="22">
        <v>3</v>
      </c>
      <c r="F134" s="22">
        <v>126</v>
      </c>
      <c r="G134" s="22">
        <v>1</v>
      </c>
      <c r="H134" s="22">
        <v>7</v>
      </c>
      <c r="I134" s="22">
        <v>1</v>
      </c>
      <c r="J134" s="22">
        <v>1300802</v>
      </c>
      <c r="K134" s="22">
        <v>1</v>
      </c>
      <c r="L134" s="22"/>
      <c r="M134" s="22"/>
      <c r="N134" s="22"/>
      <c r="O134" s="23" t="s">
        <v>824</v>
      </c>
      <c r="P134" s="22">
        <f t="shared" si="2"/>
        <v>21020132</v>
      </c>
      <c r="Q134" s="22">
        <v>1</v>
      </c>
    </row>
    <row r="135" spans="1:17" ht="12" x14ac:dyDescent="0.15">
      <c r="A135" s="22">
        <v>21020132</v>
      </c>
      <c r="B135" s="22" t="s">
        <v>564</v>
      </c>
      <c r="C135" s="25" t="s">
        <v>716</v>
      </c>
      <c r="D135" s="22" t="s">
        <v>506</v>
      </c>
      <c r="E135" s="22">
        <v>3</v>
      </c>
      <c r="F135" s="22">
        <v>127</v>
      </c>
      <c r="G135" s="22">
        <v>1</v>
      </c>
      <c r="H135" s="22">
        <v>7</v>
      </c>
      <c r="I135" s="22">
        <v>1</v>
      </c>
      <c r="J135" s="22">
        <v>1300803</v>
      </c>
      <c r="K135" s="22">
        <v>1</v>
      </c>
      <c r="L135" s="22"/>
      <c r="M135" s="22"/>
      <c r="N135" s="22"/>
      <c r="O135" s="23" t="s">
        <v>825</v>
      </c>
      <c r="P135" s="22">
        <f t="shared" si="2"/>
        <v>21020133</v>
      </c>
      <c r="Q135" s="22">
        <v>1</v>
      </c>
    </row>
    <row r="136" spans="1:17" ht="12" x14ac:dyDescent="0.15">
      <c r="A136" s="22">
        <v>21020133</v>
      </c>
      <c r="B136" s="22" t="s">
        <v>565</v>
      </c>
      <c r="C136" s="25" t="s">
        <v>717</v>
      </c>
      <c r="D136" s="22" t="s">
        <v>506</v>
      </c>
      <c r="E136" s="22">
        <v>3</v>
      </c>
      <c r="F136" s="22">
        <v>128</v>
      </c>
      <c r="G136" s="22">
        <v>1</v>
      </c>
      <c r="H136" s="22">
        <v>7</v>
      </c>
      <c r="I136" s="22">
        <v>1</v>
      </c>
      <c r="J136" s="22">
        <v>1300804</v>
      </c>
      <c r="K136" s="22">
        <v>1</v>
      </c>
      <c r="L136" s="22"/>
      <c r="M136" s="22"/>
      <c r="N136" s="22"/>
      <c r="O136" s="23" t="s">
        <v>824</v>
      </c>
      <c r="P136" s="22">
        <f t="shared" si="2"/>
        <v>21020134</v>
      </c>
      <c r="Q136" s="22">
        <v>1</v>
      </c>
    </row>
    <row r="137" spans="1:17" ht="12" x14ac:dyDescent="0.15">
      <c r="A137" s="22">
        <v>21020134</v>
      </c>
      <c r="B137" s="22" t="s">
        <v>564</v>
      </c>
      <c r="C137" s="25" t="s">
        <v>718</v>
      </c>
      <c r="D137" s="22" t="s">
        <v>506</v>
      </c>
      <c r="E137" s="22">
        <v>3</v>
      </c>
      <c r="F137" s="22">
        <v>129</v>
      </c>
      <c r="G137" s="22">
        <v>1</v>
      </c>
      <c r="H137" s="22">
        <v>7</v>
      </c>
      <c r="I137" s="22">
        <v>1</v>
      </c>
      <c r="J137" s="22">
        <v>1300805</v>
      </c>
      <c r="K137" s="22">
        <v>1</v>
      </c>
      <c r="L137" s="22"/>
      <c r="M137" s="22"/>
      <c r="N137" s="22"/>
      <c r="O137" s="23" t="s">
        <v>824</v>
      </c>
      <c r="P137" s="22">
        <f t="shared" si="2"/>
        <v>21020135</v>
      </c>
      <c r="Q137" s="22">
        <v>1</v>
      </c>
    </row>
    <row r="138" spans="1:17" ht="12" x14ac:dyDescent="0.15">
      <c r="A138" s="22">
        <v>21020135</v>
      </c>
      <c r="B138" s="22" t="s">
        <v>565</v>
      </c>
      <c r="C138" s="25" t="s">
        <v>719</v>
      </c>
      <c r="D138" s="22" t="s">
        <v>506</v>
      </c>
      <c r="E138" s="22">
        <v>3</v>
      </c>
      <c r="F138" s="22">
        <v>130</v>
      </c>
      <c r="G138" s="22">
        <v>1</v>
      </c>
      <c r="H138" s="22">
        <v>7</v>
      </c>
      <c r="I138" s="22">
        <v>1</v>
      </c>
      <c r="J138" s="22">
        <v>1300806</v>
      </c>
      <c r="K138" s="22">
        <v>1</v>
      </c>
      <c r="L138" s="22"/>
      <c r="M138" s="22"/>
      <c r="N138" s="22"/>
      <c r="O138" s="23" t="s">
        <v>826</v>
      </c>
      <c r="P138" s="22">
        <f t="shared" si="2"/>
        <v>21020136</v>
      </c>
      <c r="Q138" s="22">
        <v>1</v>
      </c>
    </row>
    <row r="139" spans="1:17" ht="12" x14ac:dyDescent="0.15">
      <c r="A139" s="22">
        <v>21020136</v>
      </c>
      <c r="B139" s="22" t="s">
        <v>564</v>
      </c>
      <c r="C139" s="25" t="s">
        <v>720</v>
      </c>
      <c r="D139" s="22" t="s">
        <v>506</v>
      </c>
      <c r="E139" s="22">
        <v>3</v>
      </c>
      <c r="F139" s="22">
        <v>131</v>
      </c>
      <c r="G139" s="22">
        <v>1</v>
      </c>
      <c r="H139" s="22">
        <v>7</v>
      </c>
      <c r="I139" s="22">
        <v>1</v>
      </c>
      <c r="J139" s="22">
        <v>1300807</v>
      </c>
      <c r="K139" s="22">
        <v>1</v>
      </c>
      <c r="L139" s="22"/>
      <c r="M139" s="22"/>
      <c r="N139" s="22"/>
      <c r="O139" s="23" t="s">
        <v>827</v>
      </c>
      <c r="P139" s="22">
        <f t="shared" si="2"/>
        <v>21020137</v>
      </c>
      <c r="Q139" s="22">
        <v>1</v>
      </c>
    </row>
    <row r="140" spans="1:17" ht="12" x14ac:dyDescent="0.15">
      <c r="A140" s="22">
        <v>21020137</v>
      </c>
      <c r="B140" s="22" t="s">
        <v>565</v>
      </c>
      <c r="C140" s="25" t="s">
        <v>721</v>
      </c>
      <c r="D140" s="22" t="s">
        <v>506</v>
      </c>
      <c r="E140" s="22">
        <v>3</v>
      </c>
      <c r="F140" s="22">
        <v>132</v>
      </c>
      <c r="G140" s="22">
        <v>1</v>
      </c>
      <c r="H140" s="22">
        <v>7</v>
      </c>
      <c r="I140" s="22">
        <v>1</v>
      </c>
      <c r="J140" s="22">
        <v>1300808</v>
      </c>
      <c r="K140" s="22">
        <v>1</v>
      </c>
      <c r="L140" s="22"/>
      <c r="M140" s="22"/>
      <c r="N140" s="22"/>
      <c r="O140" s="23" t="s">
        <v>827</v>
      </c>
      <c r="P140" s="22">
        <f t="shared" si="2"/>
        <v>21020138</v>
      </c>
      <c r="Q140" s="22">
        <v>1</v>
      </c>
    </row>
    <row r="141" spans="1:17" ht="12" x14ac:dyDescent="0.15">
      <c r="A141" s="22">
        <v>21020138</v>
      </c>
      <c r="B141" s="22" t="s">
        <v>564</v>
      </c>
      <c r="C141" s="25" t="s">
        <v>722</v>
      </c>
      <c r="D141" s="22" t="s">
        <v>506</v>
      </c>
      <c r="E141" s="22">
        <v>3</v>
      </c>
      <c r="F141" s="22">
        <v>133</v>
      </c>
      <c r="G141" s="22">
        <v>1</v>
      </c>
      <c r="H141" s="22">
        <v>7</v>
      </c>
      <c r="I141" s="22">
        <v>1</v>
      </c>
      <c r="J141" s="22">
        <v>1300809</v>
      </c>
      <c r="K141" s="22">
        <v>1</v>
      </c>
      <c r="L141" s="22"/>
      <c r="M141" s="22"/>
      <c r="N141" s="22" t="s">
        <v>828</v>
      </c>
      <c r="O141" s="23" t="s">
        <v>826</v>
      </c>
      <c r="P141" s="22">
        <f t="shared" si="2"/>
        <v>21020139</v>
      </c>
      <c r="Q141" s="22">
        <v>1</v>
      </c>
    </row>
    <row r="142" spans="1:17" ht="12" x14ac:dyDescent="0.15">
      <c r="A142" s="22">
        <v>21020139</v>
      </c>
      <c r="B142" s="22" t="s">
        <v>565</v>
      </c>
      <c r="C142" s="25" t="s">
        <v>723</v>
      </c>
      <c r="D142" s="22" t="s">
        <v>506</v>
      </c>
      <c r="E142" s="22">
        <v>3</v>
      </c>
      <c r="F142" s="22">
        <v>134</v>
      </c>
      <c r="G142" s="22">
        <v>1</v>
      </c>
      <c r="H142" s="22">
        <v>7</v>
      </c>
      <c r="I142" s="22">
        <v>1</v>
      </c>
      <c r="J142" s="22">
        <v>1300810</v>
      </c>
      <c r="K142" s="22">
        <v>1</v>
      </c>
      <c r="L142" s="22"/>
      <c r="M142" s="22"/>
      <c r="N142" s="22"/>
      <c r="O142" s="23" t="s">
        <v>827</v>
      </c>
      <c r="P142" s="22">
        <f t="shared" si="2"/>
        <v>21020140</v>
      </c>
      <c r="Q142" s="22">
        <v>1</v>
      </c>
    </row>
    <row r="143" spans="1:17" ht="12" x14ac:dyDescent="0.15">
      <c r="A143" s="22">
        <v>21020140</v>
      </c>
      <c r="B143" s="22" t="s">
        <v>564</v>
      </c>
      <c r="C143" s="25" t="s">
        <v>724</v>
      </c>
      <c r="D143" s="22" t="s">
        <v>506</v>
      </c>
      <c r="E143" s="22">
        <v>3</v>
      </c>
      <c r="F143" s="22">
        <v>135</v>
      </c>
      <c r="G143" s="22">
        <v>1</v>
      </c>
      <c r="H143" s="22">
        <v>7</v>
      </c>
      <c r="I143" s="22">
        <v>1</v>
      </c>
      <c r="J143" s="22">
        <v>1300811</v>
      </c>
      <c r="K143" s="22">
        <v>1</v>
      </c>
      <c r="L143" s="22"/>
      <c r="M143" s="22"/>
      <c r="N143" s="22"/>
      <c r="O143" s="23" t="s">
        <v>827</v>
      </c>
      <c r="P143" s="22">
        <f t="shared" si="2"/>
        <v>21020141</v>
      </c>
      <c r="Q143" s="22">
        <v>1</v>
      </c>
    </row>
    <row r="144" spans="1:17" ht="12" x14ac:dyDescent="0.15">
      <c r="A144" s="22">
        <v>21020141</v>
      </c>
      <c r="B144" s="22" t="s">
        <v>565</v>
      </c>
      <c r="C144" s="25" t="s">
        <v>725</v>
      </c>
      <c r="D144" s="22" t="s">
        <v>506</v>
      </c>
      <c r="E144" s="22">
        <v>3</v>
      </c>
      <c r="F144" s="22">
        <v>136</v>
      </c>
      <c r="G144" s="22">
        <v>1</v>
      </c>
      <c r="H144" s="22">
        <v>7</v>
      </c>
      <c r="I144" s="22">
        <v>1</v>
      </c>
      <c r="J144" s="22">
        <v>1300812</v>
      </c>
      <c r="K144" s="22">
        <v>1</v>
      </c>
      <c r="L144" s="22"/>
      <c r="M144" s="22"/>
      <c r="N144" s="22"/>
      <c r="O144" s="23" t="s">
        <v>829</v>
      </c>
      <c r="P144" s="22">
        <f t="shared" si="2"/>
        <v>21020142</v>
      </c>
      <c r="Q144" s="22">
        <v>1</v>
      </c>
    </row>
    <row r="145" spans="1:17" ht="12" x14ac:dyDescent="0.15">
      <c r="A145" s="22">
        <v>21020142</v>
      </c>
      <c r="B145" s="22" t="s">
        <v>564</v>
      </c>
      <c r="C145" s="25" t="s">
        <v>726</v>
      </c>
      <c r="D145" s="22" t="s">
        <v>506</v>
      </c>
      <c r="E145" s="22">
        <v>3</v>
      </c>
      <c r="F145" s="22">
        <v>137</v>
      </c>
      <c r="G145" s="22">
        <v>1</v>
      </c>
      <c r="H145" s="22">
        <v>7</v>
      </c>
      <c r="I145" s="22">
        <v>1</v>
      </c>
      <c r="J145" s="22">
        <v>1300813</v>
      </c>
      <c r="K145" s="22">
        <v>1</v>
      </c>
      <c r="L145" s="22"/>
      <c r="M145" s="22"/>
      <c r="N145" s="22"/>
      <c r="O145" s="23" t="s">
        <v>830</v>
      </c>
      <c r="P145" s="22">
        <f t="shared" si="2"/>
        <v>21020143</v>
      </c>
      <c r="Q145" s="22">
        <v>1</v>
      </c>
    </row>
    <row r="146" spans="1:17" ht="12" x14ac:dyDescent="0.15">
      <c r="A146" s="22">
        <v>21020143</v>
      </c>
      <c r="B146" s="22" t="s">
        <v>565</v>
      </c>
      <c r="C146" s="25" t="s">
        <v>727</v>
      </c>
      <c r="D146" s="22" t="s">
        <v>506</v>
      </c>
      <c r="E146" s="22">
        <v>3</v>
      </c>
      <c r="F146" s="22">
        <v>138</v>
      </c>
      <c r="G146" s="22">
        <v>1</v>
      </c>
      <c r="H146" s="22">
        <v>7</v>
      </c>
      <c r="I146" s="22">
        <v>1</v>
      </c>
      <c r="J146" s="22">
        <v>1300814</v>
      </c>
      <c r="K146" s="22">
        <v>1</v>
      </c>
      <c r="L146" s="22"/>
      <c r="M146" s="22"/>
      <c r="N146" s="22"/>
      <c r="O146" s="23" t="s">
        <v>830</v>
      </c>
      <c r="P146" s="22">
        <f t="shared" si="2"/>
        <v>21020144</v>
      </c>
      <c r="Q146" s="22">
        <v>1</v>
      </c>
    </row>
    <row r="147" spans="1:17" ht="12" x14ac:dyDescent="0.15">
      <c r="A147" s="22">
        <v>21020144</v>
      </c>
      <c r="B147" s="22" t="s">
        <v>564</v>
      </c>
      <c r="C147" s="25" t="s">
        <v>728</v>
      </c>
      <c r="D147" s="22" t="s">
        <v>506</v>
      </c>
      <c r="E147" s="22">
        <v>3</v>
      </c>
      <c r="F147" s="22">
        <v>139</v>
      </c>
      <c r="G147" s="22">
        <v>1</v>
      </c>
      <c r="H147" s="22">
        <v>7</v>
      </c>
      <c r="I147" s="22">
        <v>1</v>
      </c>
      <c r="J147" s="22">
        <v>1300815</v>
      </c>
      <c r="K147" s="22">
        <v>1</v>
      </c>
      <c r="L147" s="22"/>
      <c r="M147" s="22"/>
      <c r="N147" s="22"/>
      <c r="O147" s="23" t="s">
        <v>829</v>
      </c>
      <c r="P147" s="22">
        <f t="shared" si="2"/>
        <v>21020145</v>
      </c>
      <c r="Q147" s="22">
        <v>1</v>
      </c>
    </row>
    <row r="148" spans="1:17" ht="12" x14ac:dyDescent="0.15">
      <c r="A148" s="22">
        <v>21020145</v>
      </c>
      <c r="B148" s="22" t="s">
        <v>565</v>
      </c>
      <c r="C148" s="25" t="s">
        <v>729</v>
      </c>
      <c r="D148" s="22" t="s">
        <v>506</v>
      </c>
      <c r="E148" s="22">
        <v>3</v>
      </c>
      <c r="F148" s="22">
        <v>140</v>
      </c>
      <c r="G148" s="22">
        <v>1</v>
      </c>
      <c r="H148" s="22">
        <v>7</v>
      </c>
      <c r="I148" s="22">
        <v>1</v>
      </c>
      <c r="J148" s="22">
        <v>1300816</v>
      </c>
      <c r="K148" s="22">
        <v>1</v>
      </c>
      <c r="L148" s="22"/>
      <c r="M148" s="22"/>
      <c r="N148" s="22"/>
      <c r="O148" s="23" t="s">
        <v>830</v>
      </c>
      <c r="P148" s="22">
        <f t="shared" si="2"/>
        <v>21020146</v>
      </c>
      <c r="Q148" s="22">
        <v>1</v>
      </c>
    </row>
    <row r="149" spans="1:17" ht="12" x14ac:dyDescent="0.15">
      <c r="A149" s="22">
        <v>21020146</v>
      </c>
      <c r="B149" s="22" t="s">
        <v>564</v>
      </c>
      <c r="C149" s="25" t="s">
        <v>730</v>
      </c>
      <c r="D149" s="22" t="s">
        <v>506</v>
      </c>
      <c r="E149" s="22">
        <v>3</v>
      </c>
      <c r="F149" s="22">
        <v>141</v>
      </c>
      <c r="G149" s="22">
        <v>1</v>
      </c>
      <c r="H149" s="22">
        <v>7</v>
      </c>
      <c r="I149" s="22">
        <v>1</v>
      </c>
      <c r="J149" s="22">
        <v>1300817</v>
      </c>
      <c r="K149" s="22">
        <v>1</v>
      </c>
      <c r="L149" s="22"/>
      <c r="M149" s="22"/>
      <c r="N149" s="22"/>
      <c r="O149" s="23" t="s">
        <v>830</v>
      </c>
      <c r="P149" s="22">
        <f t="shared" si="2"/>
        <v>21020147</v>
      </c>
      <c r="Q149" s="22">
        <v>1</v>
      </c>
    </row>
    <row r="150" spans="1:17" ht="12" x14ac:dyDescent="0.15">
      <c r="A150" s="22">
        <v>21020147</v>
      </c>
      <c r="B150" s="22" t="s">
        <v>565</v>
      </c>
      <c r="C150" s="25" t="s">
        <v>731</v>
      </c>
      <c r="D150" s="22" t="s">
        <v>506</v>
      </c>
      <c r="E150" s="22">
        <v>3</v>
      </c>
      <c r="F150" s="22">
        <v>142</v>
      </c>
      <c r="G150" s="22">
        <v>1</v>
      </c>
      <c r="H150" s="22">
        <v>7</v>
      </c>
      <c r="I150" s="22">
        <v>1</v>
      </c>
      <c r="J150" s="22">
        <v>1300818</v>
      </c>
      <c r="K150" s="22">
        <v>1</v>
      </c>
      <c r="L150" s="22"/>
      <c r="M150" s="22"/>
      <c r="N150" s="22" t="s">
        <v>828</v>
      </c>
      <c r="O150" s="23" t="s">
        <v>892</v>
      </c>
      <c r="P150" s="22">
        <f t="shared" si="2"/>
        <v>21020148</v>
      </c>
      <c r="Q150" s="22">
        <v>1</v>
      </c>
    </row>
    <row r="151" spans="1:17" ht="12" x14ac:dyDescent="0.15">
      <c r="A151" s="22">
        <v>21020148</v>
      </c>
      <c r="B151" s="22" t="s">
        <v>564</v>
      </c>
      <c r="C151" s="25" t="s">
        <v>732</v>
      </c>
      <c r="D151" s="22" t="s">
        <v>506</v>
      </c>
      <c r="E151" s="22">
        <v>3</v>
      </c>
      <c r="F151" s="22">
        <v>143</v>
      </c>
      <c r="G151" s="22">
        <v>1</v>
      </c>
      <c r="H151" s="22">
        <v>7</v>
      </c>
      <c r="I151" s="22">
        <v>1</v>
      </c>
      <c r="J151" s="22">
        <v>1300901</v>
      </c>
      <c r="K151" s="22">
        <v>1</v>
      </c>
      <c r="L151" s="22"/>
      <c r="M151" s="22"/>
      <c r="N151" s="22"/>
      <c r="O151" s="23" t="s">
        <v>831</v>
      </c>
      <c r="P151" s="22">
        <f t="shared" si="2"/>
        <v>21020149</v>
      </c>
      <c r="Q151" s="22">
        <v>1</v>
      </c>
    </row>
    <row r="152" spans="1:17" ht="12" x14ac:dyDescent="0.15">
      <c r="A152" s="22">
        <v>21020149</v>
      </c>
      <c r="B152" s="22" t="s">
        <v>565</v>
      </c>
      <c r="C152" s="25" t="s">
        <v>733</v>
      </c>
      <c r="D152" s="22" t="s">
        <v>506</v>
      </c>
      <c r="E152" s="22">
        <v>3</v>
      </c>
      <c r="F152" s="22">
        <v>144</v>
      </c>
      <c r="G152" s="22">
        <v>1</v>
      </c>
      <c r="H152" s="22">
        <v>7</v>
      </c>
      <c r="I152" s="22">
        <v>1</v>
      </c>
      <c r="J152" s="22">
        <v>1300902</v>
      </c>
      <c r="K152" s="22">
        <v>1</v>
      </c>
      <c r="L152" s="22"/>
      <c r="M152" s="22"/>
      <c r="N152" s="22"/>
      <c r="O152" s="23" t="s">
        <v>831</v>
      </c>
      <c r="P152" s="22">
        <f t="shared" si="2"/>
        <v>21020150</v>
      </c>
      <c r="Q152" s="22">
        <v>1</v>
      </c>
    </row>
    <row r="153" spans="1:17" ht="12" x14ac:dyDescent="0.15">
      <c r="A153" s="22">
        <v>21020150</v>
      </c>
      <c r="B153" s="22" t="s">
        <v>564</v>
      </c>
      <c r="C153" s="25" t="s">
        <v>734</v>
      </c>
      <c r="D153" s="22" t="s">
        <v>506</v>
      </c>
      <c r="E153" s="22">
        <v>3</v>
      </c>
      <c r="F153" s="22">
        <v>145</v>
      </c>
      <c r="G153" s="22">
        <v>1</v>
      </c>
      <c r="H153" s="22">
        <v>7</v>
      </c>
      <c r="I153" s="22">
        <v>1</v>
      </c>
      <c r="J153" s="22">
        <v>1300903</v>
      </c>
      <c r="K153" s="22">
        <v>1</v>
      </c>
      <c r="L153" s="22"/>
      <c r="M153" s="22"/>
      <c r="N153" s="22"/>
      <c r="O153" s="23" t="s">
        <v>832</v>
      </c>
      <c r="P153" s="22">
        <f t="shared" si="2"/>
        <v>21020151</v>
      </c>
      <c r="Q153" s="22">
        <v>1</v>
      </c>
    </row>
    <row r="154" spans="1:17" ht="12" x14ac:dyDescent="0.15">
      <c r="A154" s="22">
        <v>21020151</v>
      </c>
      <c r="B154" s="22" t="s">
        <v>565</v>
      </c>
      <c r="C154" s="25" t="s">
        <v>735</v>
      </c>
      <c r="D154" s="22" t="s">
        <v>506</v>
      </c>
      <c r="E154" s="22">
        <v>3</v>
      </c>
      <c r="F154" s="22">
        <v>146</v>
      </c>
      <c r="G154" s="22">
        <v>1</v>
      </c>
      <c r="H154" s="22">
        <v>7</v>
      </c>
      <c r="I154" s="22">
        <v>1</v>
      </c>
      <c r="J154" s="22">
        <v>1300904</v>
      </c>
      <c r="K154" s="22">
        <v>1</v>
      </c>
      <c r="L154" s="22"/>
      <c r="M154" s="22"/>
      <c r="N154" s="22"/>
      <c r="O154" s="23" t="s">
        <v>831</v>
      </c>
      <c r="P154" s="22">
        <f t="shared" si="2"/>
        <v>21020152</v>
      </c>
      <c r="Q154" s="22">
        <v>1</v>
      </c>
    </row>
    <row r="155" spans="1:17" ht="12" x14ac:dyDescent="0.15">
      <c r="A155" s="22">
        <v>21020152</v>
      </c>
      <c r="B155" s="22" t="s">
        <v>564</v>
      </c>
      <c r="C155" s="25" t="s">
        <v>736</v>
      </c>
      <c r="D155" s="22" t="s">
        <v>506</v>
      </c>
      <c r="E155" s="22">
        <v>3</v>
      </c>
      <c r="F155" s="22">
        <v>147</v>
      </c>
      <c r="G155" s="22">
        <v>1</v>
      </c>
      <c r="H155" s="22">
        <v>7</v>
      </c>
      <c r="I155" s="22">
        <v>1</v>
      </c>
      <c r="J155" s="22">
        <v>1300905</v>
      </c>
      <c r="K155" s="22">
        <v>1</v>
      </c>
      <c r="L155" s="22"/>
      <c r="M155" s="22"/>
      <c r="N155" s="22"/>
      <c r="O155" s="23" t="s">
        <v>831</v>
      </c>
      <c r="P155" s="22">
        <f t="shared" si="2"/>
        <v>21020153</v>
      </c>
      <c r="Q155" s="22">
        <v>1</v>
      </c>
    </row>
    <row r="156" spans="1:17" ht="12" x14ac:dyDescent="0.15">
      <c r="A156" s="22">
        <v>21020153</v>
      </c>
      <c r="B156" s="22" t="s">
        <v>565</v>
      </c>
      <c r="C156" s="25" t="s">
        <v>737</v>
      </c>
      <c r="D156" s="22" t="s">
        <v>506</v>
      </c>
      <c r="E156" s="22">
        <v>3</v>
      </c>
      <c r="F156" s="22">
        <v>148</v>
      </c>
      <c r="G156" s="22">
        <v>1</v>
      </c>
      <c r="H156" s="22">
        <v>7</v>
      </c>
      <c r="I156" s="22">
        <v>1</v>
      </c>
      <c r="J156" s="22">
        <v>1300906</v>
      </c>
      <c r="K156" s="22">
        <v>1</v>
      </c>
      <c r="L156" s="22"/>
      <c r="M156" s="22"/>
      <c r="N156" s="22"/>
      <c r="O156" s="23" t="s">
        <v>833</v>
      </c>
      <c r="P156" s="22">
        <f t="shared" si="2"/>
        <v>21020154</v>
      </c>
      <c r="Q156" s="22">
        <v>1</v>
      </c>
    </row>
    <row r="157" spans="1:17" ht="12" x14ac:dyDescent="0.15">
      <c r="A157" s="22">
        <v>21020154</v>
      </c>
      <c r="B157" s="22" t="s">
        <v>564</v>
      </c>
      <c r="C157" s="25" t="s">
        <v>738</v>
      </c>
      <c r="D157" s="22" t="s">
        <v>506</v>
      </c>
      <c r="E157" s="22">
        <v>3</v>
      </c>
      <c r="F157" s="22">
        <v>149</v>
      </c>
      <c r="G157" s="22">
        <v>1</v>
      </c>
      <c r="H157" s="22">
        <v>7</v>
      </c>
      <c r="I157" s="22">
        <v>1</v>
      </c>
      <c r="J157" s="22">
        <v>1300907</v>
      </c>
      <c r="K157" s="22">
        <v>1</v>
      </c>
      <c r="L157" s="22"/>
      <c r="M157" s="22"/>
      <c r="N157" s="22"/>
      <c r="O157" s="23" t="s">
        <v>834</v>
      </c>
      <c r="P157" s="22">
        <f t="shared" si="2"/>
        <v>21020155</v>
      </c>
      <c r="Q157" s="22">
        <v>1</v>
      </c>
    </row>
    <row r="158" spans="1:17" ht="12" x14ac:dyDescent="0.15">
      <c r="A158" s="22">
        <v>21020155</v>
      </c>
      <c r="B158" s="22" t="s">
        <v>565</v>
      </c>
      <c r="C158" s="25" t="s">
        <v>739</v>
      </c>
      <c r="D158" s="22" t="s">
        <v>506</v>
      </c>
      <c r="E158" s="22">
        <v>3</v>
      </c>
      <c r="F158" s="22">
        <v>150</v>
      </c>
      <c r="G158" s="22">
        <v>1</v>
      </c>
      <c r="H158" s="22">
        <v>7</v>
      </c>
      <c r="I158" s="22">
        <v>1</v>
      </c>
      <c r="J158" s="22">
        <v>1300908</v>
      </c>
      <c r="K158" s="22">
        <v>1</v>
      </c>
      <c r="L158" s="22"/>
      <c r="M158" s="22"/>
      <c r="N158" s="22"/>
      <c r="O158" s="23" t="s">
        <v>834</v>
      </c>
      <c r="P158" s="22">
        <f t="shared" si="2"/>
        <v>21020156</v>
      </c>
      <c r="Q158" s="22">
        <v>1</v>
      </c>
    </row>
    <row r="159" spans="1:17" ht="12" x14ac:dyDescent="0.15">
      <c r="A159" s="22">
        <v>21020156</v>
      </c>
      <c r="B159" s="22" t="s">
        <v>564</v>
      </c>
      <c r="C159" s="25" t="s">
        <v>740</v>
      </c>
      <c r="D159" s="22" t="s">
        <v>506</v>
      </c>
      <c r="E159" s="22">
        <v>3</v>
      </c>
      <c r="F159" s="22">
        <v>151</v>
      </c>
      <c r="G159" s="22">
        <v>1</v>
      </c>
      <c r="H159" s="22">
        <v>7</v>
      </c>
      <c r="I159" s="22">
        <v>1</v>
      </c>
      <c r="J159" s="22">
        <v>1300909</v>
      </c>
      <c r="K159" s="22">
        <v>1</v>
      </c>
      <c r="L159" s="22"/>
      <c r="M159" s="22"/>
      <c r="N159" s="22" t="s">
        <v>835</v>
      </c>
      <c r="O159" s="23" t="s">
        <v>833</v>
      </c>
      <c r="P159" s="22">
        <f t="shared" si="2"/>
        <v>21020157</v>
      </c>
      <c r="Q159" s="22">
        <v>1</v>
      </c>
    </row>
    <row r="160" spans="1:17" ht="12" x14ac:dyDescent="0.15">
      <c r="A160" s="22">
        <v>21020157</v>
      </c>
      <c r="B160" s="22" t="s">
        <v>565</v>
      </c>
      <c r="C160" s="25" t="s">
        <v>741</v>
      </c>
      <c r="D160" s="22" t="s">
        <v>506</v>
      </c>
      <c r="E160" s="22">
        <v>3</v>
      </c>
      <c r="F160" s="22">
        <v>152</v>
      </c>
      <c r="G160" s="22">
        <v>1</v>
      </c>
      <c r="H160" s="22">
        <v>7</v>
      </c>
      <c r="I160" s="22">
        <v>1</v>
      </c>
      <c r="J160" s="22">
        <v>1300910</v>
      </c>
      <c r="K160" s="22">
        <v>1</v>
      </c>
      <c r="L160" s="22"/>
      <c r="M160" s="22"/>
      <c r="N160" s="22"/>
      <c r="O160" s="23" t="s">
        <v>834</v>
      </c>
      <c r="P160" s="22">
        <f t="shared" si="2"/>
        <v>21020158</v>
      </c>
      <c r="Q160" s="22">
        <v>1</v>
      </c>
    </row>
    <row r="161" spans="1:17" ht="12" x14ac:dyDescent="0.15">
      <c r="A161" s="22">
        <v>21020158</v>
      </c>
      <c r="B161" s="22" t="s">
        <v>564</v>
      </c>
      <c r="C161" s="25" t="s">
        <v>742</v>
      </c>
      <c r="D161" s="22" t="s">
        <v>506</v>
      </c>
      <c r="E161" s="22">
        <v>3</v>
      </c>
      <c r="F161" s="22">
        <v>153</v>
      </c>
      <c r="G161" s="22">
        <v>1</v>
      </c>
      <c r="H161" s="22">
        <v>7</v>
      </c>
      <c r="I161" s="22">
        <v>1</v>
      </c>
      <c r="J161" s="22">
        <v>1300911</v>
      </c>
      <c r="K161" s="22">
        <v>1</v>
      </c>
      <c r="L161" s="22"/>
      <c r="M161" s="22"/>
      <c r="N161" s="22"/>
      <c r="O161" s="23" t="s">
        <v>834</v>
      </c>
      <c r="P161" s="22">
        <f t="shared" si="2"/>
        <v>21020159</v>
      </c>
      <c r="Q161" s="22">
        <v>1</v>
      </c>
    </row>
    <row r="162" spans="1:17" ht="12" x14ac:dyDescent="0.15">
      <c r="A162" s="22">
        <v>21020159</v>
      </c>
      <c r="B162" s="22" t="s">
        <v>565</v>
      </c>
      <c r="C162" s="25" t="s">
        <v>743</v>
      </c>
      <c r="D162" s="22" t="s">
        <v>506</v>
      </c>
      <c r="E162" s="22">
        <v>3</v>
      </c>
      <c r="F162" s="22">
        <v>154</v>
      </c>
      <c r="G162" s="22">
        <v>1</v>
      </c>
      <c r="H162" s="22">
        <v>7</v>
      </c>
      <c r="I162" s="22">
        <v>1</v>
      </c>
      <c r="J162" s="22">
        <v>1300912</v>
      </c>
      <c r="K162" s="22">
        <v>1</v>
      </c>
      <c r="L162" s="22"/>
      <c r="M162" s="22"/>
      <c r="N162" s="22"/>
      <c r="O162" s="23" t="s">
        <v>836</v>
      </c>
      <c r="P162" s="22">
        <f t="shared" si="2"/>
        <v>21020160</v>
      </c>
      <c r="Q162" s="22">
        <v>1</v>
      </c>
    </row>
    <row r="163" spans="1:17" ht="12" x14ac:dyDescent="0.15">
      <c r="A163" s="22">
        <v>21020160</v>
      </c>
      <c r="B163" s="22" t="s">
        <v>564</v>
      </c>
      <c r="C163" s="25" t="s">
        <v>744</v>
      </c>
      <c r="D163" s="22" t="s">
        <v>506</v>
      </c>
      <c r="E163" s="22">
        <v>3</v>
      </c>
      <c r="F163" s="22">
        <v>155</v>
      </c>
      <c r="G163" s="22">
        <v>1</v>
      </c>
      <c r="H163" s="22">
        <v>7</v>
      </c>
      <c r="I163" s="22">
        <v>1</v>
      </c>
      <c r="J163" s="22">
        <v>1300913</v>
      </c>
      <c r="K163" s="22">
        <v>1</v>
      </c>
      <c r="L163" s="22"/>
      <c r="M163" s="22"/>
      <c r="N163" s="22"/>
      <c r="O163" s="23" t="s">
        <v>837</v>
      </c>
      <c r="P163" s="22">
        <f t="shared" si="2"/>
        <v>21020161</v>
      </c>
      <c r="Q163" s="22">
        <v>1</v>
      </c>
    </row>
    <row r="164" spans="1:17" ht="12" x14ac:dyDescent="0.15">
      <c r="A164" s="22">
        <v>21020161</v>
      </c>
      <c r="B164" s="22" t="s">
        <v>565</v>
      </c>
      <c r="C164" s="25" t="s">
        <v>745</v>
      </c>
      <c r="D164" s="22" t="s">
        <v>506</v>
      </c>
      <c r="E164" s="22">
        <v>3</v>
      </c>
      <c r="F164" s="22">
        <v>156</v>
      </c>
      <c r="G164" s="22">
        <v>1</v>
      </c>
      <c r="H164" s="22">
        <v>7</v>
      </c>
      <c r="I164" s="22">
        <v>1</v>
      </c>
      <c r="J164" s="22">
        <v>1300914</v>
      </c>
      <c r="K164" s="22">
        <v>1</v>
      </c>
      <c r="L164" s="22"/>
      <c r="M164" s="22"/>
      <c r="N164" s="22"/>
      <c r="O164" s="23" t="s">
        <v>837</v>
      </c>
      <c r="P164" s="22">
        <f t="shared" si="2"/>
        <v>21020162</v>
      </c>
      <c r="Q164" s="22">
        <v>1</v>
      </c>
    </row>
    <row r="165" spans="1:17" ht="12" x14ac:dyDescent="0.15">
      <c r="A165" s="22">
        <v>21020162</v>
      </c>
      <c r="B165" s="22" t="s">
        <v>564</v>
      </c>
      <c r="C165" s="25" t="s">
        <v>746</v>
      </c>
      <c r="D165" s="22" t="s">
        <v>506</v>
      </c>
      <c r="E165" s="22">
        <v>3</v>
      </c>
      <c r="F165" s="22">
        <v>157</v>
      </c>
      <c r="G165" s="22">
        <v>1</v>
      </c>
      <c r="H165" s="22">
        <v>7</v>
      </c>
      <c r="I165" s="22">
        <v>1</v>
      </c>
      <c r="J165" s="22">
        <v>1300915</v>
      </c>
      <c r="K165" s="22">
        <v>1</v>
      </c>
      <c r="L165" s="22"/>
      <c r="M165" s="22"/>
      <c r="N165" s="22"/>
      <c r="O165" s="23" t="s">
        <v>836</v>
      </c>
      <c r="P165" s="22">
        <f t="shared" si="2"/>
        <v>21020163</v>
      </c>
      <c r="Q165" s="22">
        <v>1</v>
      </c>
    </row>
    <row r="166" spans="1:17" ht="12" x14ac:dyDescent="0.15">
      <c r="A166" s="22">
        <v>21020163</v>
      </c>
      <c r="B166" s="22" t="s">
        <v>565</v>
      </c>
      <c r="C166" s="25" t="s">
        <v>747</v>
      </c>
      <c r="D166" s="22" t="s">
        <v>506</v>
      </c>
      <c r="E166" s="22">
        <v>3</v>
      </c>
      <c r="F166" s="22">
        <v>158</v>
      </c>
      <c r="G166" s="22">
        <v>1</v>
      </c>
      <c r="H166" s="22">
        <v>7</v>
      </c>
      <c r="I166" s="22">
        <v>1</v>
      </c>
      <c r="J166" s="22">
        <v>1300916</v>
      </c>
      <c r="K166" s="22">
        <v>1</v>
      </c>
      <c r="L166" s="22"/>
      <c r="M166" s="22"/>
      <c r="N166" s="22"/>
      <c r="O166" s="23" t="s">
        <v>837</v>
      </c>
      <c r="P166" s="22">
        <f t="shared" si="2"/>
        <v>21020164</v>
      </c>
      <c r="Q166" s="22">
        <v>1</v>
      </c>
    </row>
    <row r="167" spans="1:17" ht="12" x14ac:dyDescent="0.15">
      <c r="A167" s="22">
        <v>21020164</v>
      </c>
      <c r="B167" s="22" t="s">
        <v>564</v>
      </c>
      <c r="C167" s="25" t="s">
        <v>748</v>
      </c>
      <c r="D167" s="22" t="s">
        <v>506</v>
      </c>
      <c r="E167" s="22">
        <v>3</v>
      </c>
      <c r="F167" s="22">
        <v>159</v>
      </c>
      <c r="G167" s="22">
        <v>1</v>
      </c>
      <c r="H167" s="22">
        <v>7</v>
      </c>
      <c r="I167" s="22">
        <v>1</v>
      </c>
      <c r="J167" s="22">
        <v>1300917</v>
      </c>
      <c r="K167" s="22">
        <v>1</v>
      </c>
      <c r="L167" s="22"/>
      <c r="M167" s="22"/>
      <c r="N167" s="22"/>
      <c r="O167" s="23" t="s">
        <v>837</v>
      </c>
      <c r="P167" s="22">
        <f t="shared" si="2"/>
        <v>21020165</v>
      </c>
      <c r="Q167" s="22">
        <v>1</v>
      </c>
    </row>
    <row r="168" spans="1:17" ht="12" x14ac:dyDescent="0.15">
      <c r="A168" s="22">
        <v>21020165</v>
      </c>
      <c r="B168" s="22" t="s">
        <v>565</v>
      </c>
      <c r="C168" s="25" t="s">
        <v>749</v>
      </c>
      <c r="D168" s="22" t="s">
        <v>506</v>
      </c>
      <c r="E168" s="22">
        <v>3</v>
      </c>
      <c r="F168" s="22">
        <v>160</v>
      </c>
      <c r="G168" s="22">
        <v>1</v>
      </c>
      <c r="H168" s="22">
        <v>7</v>
      </c>
      <c r="I168" s="22">
        <v>1</v>
      </c>
      <c r="J168" s="22">
        <v>1300918</v>
      </c>
      <c r="K168" s="22">
        <v>1</v>
      </c>
      <c r="L168" s="22"/>
      <c r="M168" s="22"/>
      <c r="N168" s="22" t="s">
        <v>835</v>
      </c>
      <c r="O168" s="23" t="s">
        <v>884</v>
      </c>
      <c r="P168" s="22">
        <f t="shared" si="2"/>
        <v>0</v>
      </c>
      <c r="Q168" s="22">
        <v>1</v>
      </c>
    </row>
    <row r="169" spans="1:17" x14ac:dyDescent="0.15">
      <c r="A169" s="22">
        <v>21020166</v>
      </c>
      <c r="B169" s="22" t="s">
        <v>567</v>
      </c>
      <c r="C169" s="22" t="s">
        <v>6</v>
      </c>
      <c r="D169" s="22" t="s">
        <v>459</v>
      </c>
      <c r="E169" s="22">
        <v>4</v>
      </c>
      <c r="F169" s="22">
        <v>1</v>
      </c>
      <c r="G169" s="22">
        <v>10</v>
      </c>
      <c r="H169" s="22">
        <v>25</v>
      </c>
      <c r="I169" s="22">
        <v>1</v>
      </c>
      <c r="J169" s="26">
        <v>0</v>
      </c>
      <c r="K169" s="26">
        <v>1000</v>
      </c>
      <c r="L169" s="22"/>
      <c r="M169" s="22"/>
      <c r="N169" s="22"/>
      <c r="O169" s="23" t="s">
        <v>751</v>
      </c>
      <c r="P169" s="22">
        <f t="shared" si="2"/>
        <v>21020167</v>
      </c>
      <c r="Q169" s="22">
        <v>5</v>
      </c>
    </row>
    <row r="170" spans="1:17" x14ac:dyDescent="0.15">
      <c r="A170" s="22">
        <v>21020167</v>
      </c>
      <c r="B170" s="22" t="s">
        <v>567</v>
      </c>
      <c r="C170" s="22" t="s">
        <v>7</v>
      </c>
      <c r="D170" s="22" t="s">
        <v>459</v>
      </c>
      <c r="E170" s="22">
        <v>4</v>
      </c>
      <c r="F170" s="22">
        <v>2</v>
      </c>
      <c r="G170" s="22">
        <v>10</v>
      </c>
      <c r="H170" s="22">
        <v>25</v>
      </c>
      <c r="I170" s="22">
        <v>1</v>
      </c>
      <c r="J170" s="26">
        <v>0</v>
      </c>
      <c r="K170" s="26">
        <v>900</v>
      </c>
      <c r="L170" s="22"/>
      <c r="M170" s="22"/>
      <c r="N170" s="22"/>
      <c r="O170" s="23" t="s">
        <v>751</v>
      </c>
      <c r="P170" s="22">
        <f t="shared" si="2"/>
        <v>21020168</v>
      </c>
      <c r="Q170" s="22">
        <v>5</v>
      </c>
    </row>
    <row r="171" spans="1:17" x14ac:dyDescent="0.15">
      <c r="A171" s="22">
        <v>21020168</v>
      </c>
      <c r="B171" s="22" t="s">
        <v>567</v>
      </c>
      <c r="C171" s="22" t="s">
        <v>8</v>
      </c>
      <c r="D171" s="22" t="s">
        <v>458</v>
      </c>
      <c r="E171" s="22">
        <v>4</v>
      </c>
      <c r="F171" s="22">
        <v>3</v>
      </c>
      <c r="G171" s="22">
        <v>10</v>
      </c>
      <c r="H171" s="22">
        <v>25</v>
      </c>
      <c r="I171" s="22">
        <v>1</v>
      </c>
      <c r="J171" s="26">
        <v>0</v>
      </c>
      <c r="K171" s="26">
        <v>800</v>
      </c>
      <c r="L171" s="22"/>
      <c r="M171" s="22"/>
      <c r="N171" s="22"/>
      <c r="O171" s="23" t="s">
        <v>751</v>
      </c>
      <c r="P171" s="22">
        <f t="shared" si="2"/>
        <v>21020169</v>
      </c>
      <c r="Q171" s="22">
        <v>5</v>
      </c>
    </row>
    <row r="172" spans="1:17" x14ac:dyDescent="0.15">
      <c r="A172" s="22">
        <v>21020169</v>
      </c>
      <c r="B172" s="22" t="s">
        <v>567</v>
      </c>
      <c r="C172" s="22" t="s">
        <v>9</v>
      </c>
      <c r="D172" s="22" t="s">
        <v>458</v>
      </c>
      <c r="E172" s="22">
        <v>4</v>
      </c>
      <c r="F172" s="22">
        <v>4</v>
      </c>
      <c r="G172" s="22">
        <v>10</v>
      </c>
      <c r="H172" s="22">
        <v>25</v>
      </c>
      <c r="I172" s="22">
        <v>1</v>
      </c>
      <c r="J172" s="26">
        <v>0</v>
      </c>
      <c r="K172" s="26">
        <v>700</v>
      </c>
      <c r="L172" s="22"/>
      <c r="M172" s="22"/>
      <c r="N172" s="22"/>
      <c r="O172" s="23" t="s">
        <v>751</v>
      </c>
      <c r="P172" s="22">
        <f t="shared" si="2"/>
        <v>21020170</v>
      </c>
      <c r="Q172" s="22">
        <v>5</v>
      </c>
    </row>
    <row r="173" spans="1:17" x14ac:dyDescent="0.15">
      <c r="A173" s="22">
        <v>21020170</v>
      </c>
      <c r="B173" s="22" t="s">
        <v>567</v>
      </c>
      <c r="C173" s="22" t="s">
        <v>10</v>
      </c>
      <c r="D173" s="22" t="s">
        <v>458</v>
      </c>
      <c r="E173" s="22">
        <v>4</v>
      </c>
      <c r="F173" s="22">
        <v>5</v>
      </c>
      <c r="G173" s="22">
        <v>10</v>
      </c>
      <c r="H173" s="22">
        <v>25</v>
      </c>
      <c r="I173" s="22">
        <v>1</v>
      </c>
      <c r="J173" s="26">
        <v>0</v>
      </c>
      <c r="K173" s="26">
        <v>600</v>
      </c>
      <c r="L173" s="22"/>
      <c r="M173" s="22"/>
      <c r="N173" s="22"/>
      <c r="O173" s="23" t="s">
        <v>751</v>
      </c>
      <c r="P173" s="22">
        <f t="shared" si="2"/>
        <v>21020171</v>
      </c>
      <c r="Q173" s="22">
        <v>5</v>
      </c>
    </row>
    <row r="174" spans="1:17" x14ac:dyDescent="0.15">
      <c r="A174" s="22">
        <v>21020171</v>
      </c>
      <c r="B174" s="22" t="s">
        <v>567</v>
      </c>
      <c r="C174" s="22" t="s">
        <v>11</v>
      </c>
      <c r="D174" s="22" t="s">
        <v>458</v>
      </c>
      <c r="E174" s="22">
        <v>4</v>
      </c>
      <c r="F174" s="22">
        <v>6</v>
      </c>
      <c r="G174" s="22">
        <v>10</v>
      </c>
      <c r="H174" s="22">
        <v>25</v>
      </c>
      <c r="I174" s="22">
        <v>1</v>
      </c>
      <c r="J174" s="26">
        <v>0</v>
      </c>
      <c r="K174" s="26">
        <v>500</v>
      </c>
      <c r="L174" s="22"/>
      <c r="M174" s="22"/>
      <c r="N174" s="22"/>
      <c r="O174" s="23" t="s">
        <v>751</v>
      </c>
      <c r="P174" s="22">
        <f t="shared" si="2"/>
        <v>21020172</v>
      </c>
      <c r="Q174" s="22">
        <v>5</v>
      </c>
    </row>
    <row r="175" spans="1:17" x14ac:dyDescent="0.15">
      <c r="A175" s="22">
        <v>21020172</v>
      </c>
      <c r="B175" s="22" t="s">
        <v>567</v>
      </c>
      <c r="C175" s="22" t="s">
        <v>12</v>
      </c>
      <c r="D175" s="22" t="s">
        <v>458</v>
      </c>
      <c r="E175" s="22">
        <v>4</v>
      </c>
      <c r="F175" s="22">
        <v>7</v>
      </c>
      <c r="G175" s="22">
        <v>10</v>
      </c>
      <c r="H175" s="22">
        <v>25</v>
      </c>
      <c r="I175" s="22">
        <v>1</v>
      </c>
      <c r="J175" s="26">
        <v>0</v>
      </c>
      <c r="K175" s="26">
        <v>400</v>
      </c>
      <c r="L175" s="22"/>
      <c r="M175" s="22"/>
      <c r="N175" s="22"/>
      <c r="O175" s="23" t="s">
        <v>751</v>
      </c>
      <c r="P175" s="22">
        <f t="shared" si="2"/>
        <v>21020173</v>
      </c>
      <c r="Q175" s="22">
        <v>5</v>
      </c>
    </row>
    <row r="176" spans="1:17" x14ac:dyDescent="0.15">
      <c r="A176" s="22">
        <v>21020173</v>
      </c>
      <c r="B176" s="22" t="s">
        <v>567</v>
      </c>
      <c r="C176" s="22" t="s">
        <v>13</v>
      </c>
      <c r="D176" s="22" t="s">
        <v>458</v>
      </c>
      <c r="E176" s="22">
        <v>4</v>
      </c>
      <c r="F176" s="22">
        <v>8</v>
      </c>
      <c r="G176" s="22">
        <v>10</v>
      </c>
      <c r="H176" s="22">
        <v>25</v>
      </c>
      <c r="I176" s="22">
        <v>1</v>
      </c>
      <c r="J176" s="26">
        <v>0</v>
      </c>
      <c r="K176" s="26">
        <v>300</v>
      </c>
      <c r="L176" s="22"/>
      <c r="M176" s="22"/>
      <c r="N176" s="22"/>
      <c r="O176" s="23" t="s">
        <v>751</v>
      </c>
      <c r="P176" s="22">
        <f t="shared" si="2"/>
        <v>21020174</v>
      </c>
      <c r="Q176" s="22">
        <v>5</v>
      </c>
    </row>
    <row r="177" spans="1:17" x14ac:dyDescent="0.15">
      <c r="A177" s="22">
        <v>21020174</v>
      </c>
      <c r="B177" s="22" t="s">
        <v>567</v>
      </c>
      <c r="C177" s="22" t="s">
        <v>14</v>
      </c>
      <c r="D177" s="22" t="s">
        <v>458</v>
      </c>
      <c r="E177" s="22">
        <v>4</v>
      </c>
      <c r="F177" s="22">
        <v>9</v>
      </c>
      <c r="G177" s="22">
        <v>10</v>
      </c>
      <c r="H177" s="22">
        <v>25</v>
      </c>
      <c r="I177" s="22">
        <v>1</v>
      </c>
      <c r="J177" s="26">
        <v>0</v>
      </c>
      <c r="K177" s="26">
        <v>275</v>
      </c>
      <c r="L177" s="22"/>
      <c r="M177" s="22"/>
      <c r="N177" s="22"/>
      <c r="O177" s="23" t="s">
        <v>751</v>
      </c>
      <c r="P177" s="22">
        <f t="shared" si="2"/>
        <v>21020175</v>
      </c>
      <c r="Q177" s="22">
        <v>5</v>
      </c>
    </row>
    <row r="178" spans="1:17" x14ac:dyDescent="0.15">
      <c r="A178" s="22">
        <v>21020175</v>
      </c>
      <c r="B178" s="22" t="s">
        <v>567</v>
      </c>
      <c r="C178" s="22" t="s">
        <v>15</v>
      </c>
      <c r="D178" s="22" t="s">
        <v>458</v>
      </c>
      <c r="E178" s="22">
        <v>4</v>
      </c>
      <c r="F178" s="22">
        <v>10</v>
      </c>
      <c r="G178" s="22">
        <v>10</v>
      </c>
      <c r="H178" s="22">
        <v>25</v>
      </c>
      <c r="I178" s="22">
        <v>1</v>
      </c>
      <c r="J178" s="26">
        <v>0</v>
      </c>
      <c r="K178" s="26">
        <v>250</v>
      </c>
      <c r="L178" s="22"/>
      <c r="M178" s="22"/>
      <c r="N178" s="22"/>
      <c r="O178" s="23" t="s">
        <v>751</v>
      </c>
      <c r="P178" s="22">
        <f t="shared" si="2"/>
        <v>21020176</v>
      </c>
      <c r="Q178" s="22">
        <v>5</v>
      </c>
    </row>
    <row r="179" spans="1:17" x14ac:dyDescent="0.15">
      <c r="A179" s="22">
        <v>21020176</v>
      </c>
      <c r="B179" s="22" t="s">
        <v>567</v>
      </c>
      <c r="C179" s="22" t="s">
        <v>17</v>
      </c>
      <c r="D179" s="22" t="s">
        <v>458</v>
      </c>
      <c r="E179" s="22">
        <v>4</v>
      </c>
      <c r="F179" s="22">
        <v>11</v>
      </c>
      <c r="G179" s="22">
        <v>10</v>
      </c>
      <c r="H179" s="22">
        <v>25</v>
      </c>
      <c r="I179" s="22">
        <v>1</v>
      </c>
      <c r="J179" s="26">
        <v>0</v>
      </c>
      <c r="K179" s="26">
        <v>225</v>
      </c>
      <c r="L179" s="22"/>
      <c r="M179" s="22"/>
      <c r="N179" s="22"/>
      <c r="O179" s="23" t="s">
        <v>751</v>
      </c>
      <c r="P179" s="22">
        <f t="shared" si="2"/>
        <v>21020177</v>
      </c>
      <c r="Q179" s="22">
        <v>5</v>
      </c>
    </row>
    <row r="180" spans="1:17" x14ac:dyDescent="0.15">
      <c r="A180" s="22">
        <v>21020177</v>
      </c>
      <c r="B180" s="22" t="s">
        <v>567</v>
      </c>
      <c r="C180" s="22" t="s">
        <v>18</v>
      </c>
      <c r="D180" s="22" t="s">
        <v>458</v>
      </c>
      <c r="E180" s="22">
        <v>4</v>
      </c>
      <c r="F180" s="22">
        <v>12</v>
      </c>
      <c r="G180" s="22">
        <v>10</v>
      </c>
      <c r="H180" s="22">
        <v>25</v>
      </c>
      <c r="I180" s="22">
        <v>1</v>
      </c>
      <c r="J180" s="26">
        <v>0</v>
      </c>
      <c r="K180" s="26">
        <v>200</v>
      </c>
      <c r="L180" s="22"/>
      <c r="M180" s="22"/>
      <c r="N180" s="22"/>
      <c r="O180" s="23" t="s">
        <v>751</v>
      </c>
      <c r="P180" s="22">
        <f t="shared" si="2"/>
        <v>21020178</v>
      </c>
      <c r="Q180" s="22">
        <v>5</v>
      </c>
    </row>
    <row r="181" spans="1:17" x14ac:dyDescent="0.15">
      <c r="A181" s="22">
        <v>21020178</v>
      </c>
      <c r="B181" s="22" t="s">
        <v>567</v>
      </c>
      <c r="C181" s="22" t="s">
        <v>19</v>
      </c>
      <c r="D181" s="22" t="s">
        <v>458</v>
      </c>
      <c r="E181" s="22">
        <v>4</v>
      </c>
      <c r="F181" s="22">
        <v>13</v>
      </c>
      <c r="G181" s="22">
        <v>10</v>
      </c>
      <c r="H181" s="22">
        <v>25</v>
      </c>
      <c r="I181" s="22">
        <v>1</v>
      </c>
      <c r="J181" s="26">
        <v>0</v>
      </c>
      <c r="K181" s="26">
        <v>180</v>
      </c>
      <c r="L181" s="22"/>
      <c r="M181" s="22"/>
      <c r="N181" s="22"/>
      <c r="O181" s="23" t="s">
        <v>751</v>
      </c>
      <c r="P181" s="22">
        <f t="shared" si="2"/>
        <v>21020179</v>
      </c>
      <c r="Q181" s="22">
        <v>5</v>
      </c>
    </row>
    <row r="182" spans="1:17" x14ac:dyDescent="0.15">
      <c r="A182" s="22">
        <v>21020179</v>
      </c>
      <c r="B182" s="22" t="s">
        <v>567</v>
      </c>
      <c r="C182" s="22" t="s">
        <v>20</v>
      </c>
      <c r="D182" s="22" t="s">
        <v>458</v>
      </c>
      <c r="E182" s="22">
        <v>4</v>
      </c>
      <c r="F182" s="22">
        <v>14</v>
      </c>
      <c r="G182" s="22">
        <v>10</v>
      </c>
      <c r="H182" s="22">
        <v>25</v>
      </c>
      <c r="I182" s="22">
        <v>1</v>
      </c>
      <c r="J182" s="26">
        <v>0</v>
      </c>
      <c r="K182" s="26">
        <v>160</v>
      </c>
      <c r="L182" s="22"/>
      <c r="M182" s="22"/>
      <c r="N182" s="22"/>
      <c r="O182" s="23" t="s">
        <v>751</v>
      </c>
      <c r="P182" s="22">
        <f t="shared" si="2"/>
        <v>21020180</v>
      </c>
      <c r="Q182" s="22">
        <v>5</v>
      </c>
    </row>
    <row r="183" spans="1:17" x14ac:dyDescent="0.15">
      <c r="A183" s="22">
        <v>21020180</v>
      </c>
      <c r="B183" s="22" t="s">
        <v>567</v>
      </c>
      <c r="C183" s="22" t="s">
        <v>21</v>
      </c>
      <c r="D183" s="22" t="s">
        <v>458</v>
      </c>
      <c r="E183" s="22">
        <v>4</v>
      </c>
      <c r="F183" s="22">
        <v>15</v>
      </c>
      <c r="G183" s="22">
        <v>10</v>
      </c>
      <c r="H183" s="22">
        <v>25</v>
      </c>
      <c r="I183" s="22">
        <v>1</v>
      </c>
      <c r="J183" s="26">
        <v>0</v>
      </c>
      <c r="K183" s="26">
        <v>140</v>
      </c>
      <c r="L183" s="22"/>
      <c r="M183" s="22"/>
      <c r="N183" s="22"/>
      <c r="O183" s="23" t="s">
        <v>751</v>
      </c>
      <c r="P183" s="22">
        <f t="shared" si="2"/>
        <v>21020181</v>
      </c>
      <c r="Q183" s="22">
        <v>5</v>
      </c>
    </row>
    <row r="184" spans="1:17" x14ac:dyDescent="0.15">
      <c r="A184" s="22">
        <v>21020181</v>
      </c>
      <c r="B184" s="22" t="s">
        <v>567</v>
      </c>
      <c r="C184" s="22" t="s">
        <v>23</v>
      </c>
      <c r="D184" s="22" t="s">
        <v>458</v>
      </c>
      <c r="E184" s="22">
        <v>4</v>
      </c>
      <c r="F184" s="22">
        <v>16</v>
      </c>
      <c r="G184" s="22">
        <v>10</v>
      </c>
      <c r="H184" s="22">
        <v>25</v>
      </c>
      <c r="I184" s="22">
        <v>1</v>
      </c>
      <c r="J184" s="26">
        <v>0</v>
      </c>
      <c r="K184" s="26">
        <v>120</v>
      </c>
      <c r="L184" s="22"/>
      <c r="M184" s="22"/>
      <c r="N184" s="22"/>
      <c r="O184" s="23" t="s">
        <v>751</v>
      </c>
      <c r="P184" s="22">
        <f t="shared" si="2"/>
        <v>21020182</v>
      </c>
      <c r="Q184" s="22">
        <v>5</v>
      </c>
    </row>
    <row r="185" spans="1:17" x14ac:dyDescent="0.15">
      <c r="A185" s="22">
        <v>21020182</v>
      </c>
      <c r="B185" s="22" t="s">
        <v>567</v>
      </c>
      <c r="C185" s="22" t="s">
        <v>24</v>
      </c>
      <c r="D185" s="22" t="s">
        <v>458</v>
      </c>
      <c r="E185" s="22">
        <v>4</v>
      </c>
      <c r="F185" s="22">
        <v>17</v>
      </c>
      <c r="G185" s="22">
        <v>10</v>
      </c>
      <c r="H185" s="22">
        <v>25</v>
      </c>
      <c r="I185" s="22">
        <v>1</v>
      </c>
      <c r="J185" s="26">
        <v>0</v>
      </c>
      <c r="K185" s="26">
        <v>100</v>
      </c>
      <c r="L185" s="22"/>
      <c r="M185" s="22"/>
      <c r="N185" s="22"/>
      <c r="O185" s="23" t="s">
        <v>751</v>
      </c>
      <c r="P185" s="22">
        <f t="shared" si="2"/>
        <v>21020183</v>
      </c>
      <c r="Q185" s="22">
        <v>5</v>
      </c>
    </row>
    <row r="186" spans="1:17" x14ac:dyDescent="0.15">
      <c r="A186" s="22">
        <v>21020183</v>
      </c>
      <c r="B186" s="22" t="s">
        <v>567</v>
      </c>
      <c r="C186" s="22" t="s">
        <v>25</v>
      </c>
      <c r="D186" s="22" t="s">
        <v>458</v>
      </c>
      <c r="E186" s="22">
        <v>4</v>
      </c>
      <c r="F186" s="22">
        <v>18</v>
      </c>
      <c r="G186" s="22">
        <v>10</v>
      </c>
      <c r="H186" s="22">
        <v>25</v>
      </c>
      <c r="I186" s="22">
        <v>1</v>
      </c>
      <c r="J186" s="26">
        <v>0</v>
      </c>
      <c r="K186" s="26">
        <v>90</v>
      </c>
      <c r="L186" s="22"/>
      <c r="M186" s="22"/>
      <c r="N186" s="22"/>
      <c r="O186" s="23" t="s">
        <v>751</v>
      </c>
      <c r="P186" s="22">
        <f t="shared" si="2"/>
        <v>21020184</v>
      </c>
      <c r="Q186" s="22">
        <v>5</v>
      </c>
    </row>
    <row r="187" spans="1:17" x14ac:dyDescent="0.15">
      <c r="A187" s="22">
        <v>21020184</v>
      </c>
      <c r="B187" s="22" t="s">
        <v>567</v>
      </c>
      <c r="C187" s="22" t="s">
        <v>26</v>
      </c>
      <c r="D187" s="22" t="s">
        <v>458</v>
      </c>
      <c r="E187" s="22">
        <v>4</v>
      </c>
      <c r="F187" s="22">
        <v>19</v>
      </c>
      <c r="G187" s="22">
        <v>10</v>
      </c>
      <c r="H187" s="22">
        <v>25</v>
      </c>
      <c r="I187" s="22">
        <v>1</v>
      </c>
      <c r="J187" s="26">
        <v>0</v>
      </c>
      <c r="K187" s="26">
        <v>80</v>
      </c>
      <c r="L187" s="22"/>
      <c r="M187" s="22"/>
      <c r="N187" s="22"/>
      <c r="O187" s="23" t="s">
        <v>751</v>
      </c>
      <c r="P187" s="22">
        <f t="shared" si="2"/>
        <v>21020185</v>
      </c>
      <c r="Q187" s="22">
        <v>5</v>
      </c>
    </row>
    <row r="188" spans="1:17" x14ac:dyDescent="0.15">
      <c r="A188" s="22">
        <v>21020185</v>
      </c>
      <c r="B188" s="22" t="s">
        <v>567</v>
      </c>
      <c r="C188" s="22" t="s">
        <v>27</v>
      </c>
      <c r="D188" s="22" t="s">
        <v>458</v>
      </c>
      <c r="E188" s="22">
        <v>4</v>
      </c>
      <c r="F188" s="22">
        <v>20</v>
      </c>
      <c r="G188" s="22">
        <v>10</v>
      </c>
      <c r="H188" s="22">
        <v>25</v>
      </c>
      <c r="I188" s="22">
        <v>1</v>
      </c>
      <c r="J188" s="26">
        <v>0</v>
      </c>
      <c r="K188" s="26">
        <v>70</v>
      </c>
      <c r="L188" s="22"/>
      <c r="M188" s="22"/>
      <c r="N188" s="22"/>
      <c r="O188" s="23" t="s">
        <v>751</v>
      </c>
      <c r="P188" s="22">
        <f t="shared" si="2"/>
        <v>21020186</v>
      </c>
      <c r="Q188" s="22">
        <v>5</v>
      </c>
    </row>
    <row r="189" spans="1:17" x14ac:dyDescent="0.15">
      <c r="A189" s="22">
        <v>21020186</v>
      </c>
      <c r="B189" s="22" t="s">
        <v>567</v>
      </c>
      <c r="C189" s="22" t="s">
        <v>29</v>
      </c>
      <c r="D189" s="22" t="s">
        <v>458</v>
      </c>
      <c r="E189" s="22">
        <v>4</v>
      </c>
      <c r="F189" s="22">
        <v>21</v>
      </c>
      <c r="G189" s="22">
        <v>10</v>
      </c>
      <c r="H189" s="22">
        <v>25</v>
      </c>
      <c r="I189" s="22">
        <v>1</v>
      </c>
      <c r="J189" s="26">
        <v>0</v>
      </c>
      <c r="K189" s="26">
        <v>60</v>
      </c>
      <c r="L189" s="22"/>
      <c r="M189" s="22"/>
      <c r="N189" s="22"/>
      <c r="O189" s="23" t="s">
        <v>751</v>
      </c>
      <c r="P189" s="22">
        <f t="shared" si="2"/>
        <v>21020187</v>
      </c>
      <c r="Q189" s="22">
        <v>5</v>
      </c>
    </row>
    <row r="190" spans="1:17" x14ac:dyDescent="0.15">
      <c r="A190" s="22">
        <v>21020187</v>
      </c>
      <c r="B190" s="22" t="s">
        <v>567</v>
      </c>
      <c r="C190" s="22" t="s">
        <v>30</v>
      </c>
      <c r="D190" s="22" t="s">
        <v>458</v>
      </c>
      <c r="E190" s="22">
        <v>4</v>
      </c>
      <c r="F190" s="22">
        <v>22</v>
      </c>
      <c r="G190" s="22">
        <v>10</v>
      </c>
      <c r="H190" s="22">
        <v>25</v>
      </c>
      <c r="I190" s="22">
        <v>1</v>
      </c>
      <c r="J190" s="26">
        <v>0</v>
      </c>
      <c r="K190" s="26">
        <v>50</v>
      </c>
      <c r="L190" s="22"/>
      <c r="M190" s="22"/>
      <c r="N190" s="22"/>
      <c r="O190" s="23" t="s">
        <v>751</v>
      </c>
      <c r="P190" s="22">
        <f t="shared" si="2"/>
        <v>21020188</v>
      </c>
      <c r="Q190" s="22">
        <v>5</v>
      </c>
    </row>
    <row r="191" spans="1:17" x14ac:dyDescent="0.15">
      <c r="A191" s="22">
        <v>21020188</v>
      </c>
      <c r="B191" s="22" t="s">
        <v>567</v>
      </c>
      <c r="C191" s="22" t="s">
        <v>31</v>
      </c>
      <c r="D191" s="22" t="s">
        <v>458</v>
      </c>
      <c r="E191" s="22">
        <v>4</v>
      </c>
      <c r="F191" s="22">
        <v>23</v>
      </c>
      <c r="G191" s="22">
        <v>10</v>
      </c>
      <c r="H191" s="22">
        <v>25</v>
      </c>
      <c r="I191" s="22">
        <v>1</v>
      </c>
      <c r="J191" s="26">
        <v>0</v>
      </c>
      <c r="K191" s="26">
        <v>45</v>
      </c>
      <c r="L191" s="22"/>
      <c r="M191" s="22"/>
      <c r="N191" s="22"/>
      <c r="O191" s="23" t="s">
        <v>751</v>
      </c>
      <c r="P191" s="22">
        <f t="shared" si="2"/>
        <v>21020189</v>
      </c>
      <c r="Q191" s="22">
        <v>5</v>
      </c>
    </row>
    <row r="192" spans="1:17" x14ac:dyDescent="0.15">
      <c r="A192" s="22">
        <v>21020189</v>
      </c>
      <c r="B192" s="22" t="s">
        <v>567</v>
      </c>
      <c r="C192" s="22" t="s">
        <v>32</v>
      </c>
      <c r="D192" s="22" t="s">
        <v>458</v>
      </c>
      <c r="E192" s="22">
        <v>4</v>
      </c>
      <c r="F192" s="22">
        <v>24</v>
      </c>
      <c r="G192" s="22">
        <v>10</v>
      </c>
      <c r="H192" s="22">
        <v>25</v>
      </c>
      <c r="I192" s="22">
        <v>1</v>
      </c>
      <c r="J192" s="26">
        <v>0</v>
      </c>
      <c r="K192" s="26">
        <v>40</v>
      </c>
      <c r="L192" s="22"/>
      <c r="M192" s="22"/>
      <c r="N192" s="22"/>
      <c r="O192" s="23" t="s">
        <v>751</v>
      </c>
      <c r="P192" s="22">
        <f t="shared" si="2"/>
        <v>21020190</v>
      </c>
      <c r="Q192" s="22">
        <v>5</v>
      </c>
    </row>
    <row r="193" spans="1:17" x14ac:dyDescent="0.15">
      <c r="A193" s="22">
        <v>21020190</v>
      </c>
      <c r="B193" s="22" t="s">
        <v>567</v>
      </c>
      <c r="C193" s="22" t="s">
        <v>33</v>
      </c>
      <c r="D193" s="22" t="s">
        <v>458</v>
      </c>
      <c r="E193" s="22">
        <v>4</v>
      </c>
      <c r="F193" s="22">
        <v>25</v>
      </c>
      <c r="G193" s="22">
        <v>10</v>
      </c>
      <c r="H193" s="22">
        <v>25</v>
      </c>
      <c r="I193" s="22">
        <v>1</v>
      </c>
      <c r="J193" s="26">
        <v>0</v>
      </c>
      <c r="K193" s="26">
        <v>35</v>
      </c>
      <c r="L193" s="22"/>
      <c r="M193" s="22"/>
      <c r="N193" s="22"/>
      <c r="O193" s="23" t="s">
        <v>751</v>
      </c>
      <c r="P193" s="22">
        <f t="shared" si="2"/>
        <v>21020191</v>
      </c>
      <c r="Q193" s="22">
        <v>5</v>
      </c>
    </row>
    <row r="194" spans="1:17" x14ac:dyDescent="0.15">
      <c r="A194" s="22">
        <v>21020191</v>
      </c>
      <c r="B194" s="22" t="s">
        <v>567</v>
      </c>
      <c r="C194" s="22" t="s">
        <v>35</v>
      </c>
      <c r="D194" s="22" t="s">
        <v>458</v>
      </c>
      <c r="E194" s="22">
        <v>4</v>
      </c>
      <c r="F194" s="22">
        <v>26</v>
      </c>
      <c r="G194" s="22">
        <v>10</v>
      </c>
      <c r="H194" s="22">
        <v>25</v>
      </c>
      <c r="I194" s="22">
        <v>1</v>
      </c>
      <c r="J194" s="26">
        <v>0</v>
      </c>
      <c r="K194" s="26">
        <v>30</v>
      </c>
      <c r="L194" s="22"/>
      <c r="M194" s="22"/>
      <c r="N194" s="22"/>
      <c r="O194" s="23" t="s">
        <v>751</v>
      </c>
      <c r="P194" s="22">
        <f t="shared" si="2"/>
        <v>21020192</v>
      </c>
      <c r="Q194" s="22">
        <v>5</v>
      </c>
    </row>
    <row r="195" spans="1:17" x14ac:dyDescent="0.15">
      <c r="A195" s="22">
        <v>21020192</v>
      </c>
      <c r="B195" s="22" t="s">
        <v>567</v>
      </c>
      <c r="C195" s="22" t="s">
        <v>36</v>
      </c>
      <c r="D195" s="22" t="s">
        <v>458</v>
      </c>
      <c r="E195" s="22">
        <v>4</v>
      </c>
      <c r="F195" s="22">
        <v>27</v>
      </c>
      <c r="G195" s="22">
        <v>10</v>
      </c>
      <c r="H195" s="22">
        <v>25</v>
      </c>
      <c r="I195" s="22">
        <v>1</v>
      </c>
      <c r="J195" s="26">
        <v>0</v>
      </c>
      <c r="K195" s="26">
        <v>25</v>
      </c>
      <c r="L195" s="22"/>
      <c r="M195" s="22"/>
      <c r="N195" s="22"/>
      <c r="O195" s="23" t="s">
        <v>751</v>
      </c>
      <c r="P195" s="22">
        <f t="shared" si="2"/>
        <v>21020193</v>
      </c>
      <c r="Q195" s="22">
        <v>5</v>
      </c>
    </row>
    <row r="196" spans="1:17" x14ac:dyDescent="0.15">
      <c r="A196" s="22">
        <v>21020193</v>
      </c>
      <c r="B196" s="22" t="s">
        <v>567</v>
      </c>
      <c r="C196" s="22" t="s">
        <v>37</v>
      </c>
      <c r="D196" s="22" t="s">
        <v>458</v>
      </c>
      <c r="E196" s="22">
        <v>4</v>
      </c>
      <c r="F196" s="22">
        <v>28</v>
      </c>
      <c r="G196" s="22">
        <v>10</v>
      </c>
      <c r="H196" s="22">
        <v>25</v>
      </c>
      <c r="I196" s="22">
        <v>1</v>
      </c>
      <c r="J196" s="26">
        <v>0</v>
      </c>
      <c r="K196" s="26">
        <v>20</v>
      </c>
      <c r="L196" s="22"/>
      <c r="M196" s="22"/>
      <c r="N196" s="22"/>
      <c r="O196" s="23" t="s">
        <v>751</v>
      </c>
      <c r="P196" s="22">
        <f t="shared" ref="P196:P259" si="3">IF(E196=E197,A197,0)</f>
        <v>21020194</v>
      </c>
      <c r="Q196" s="22">
        <v>5</v>
      </c>
    </row>
    <row r="197" spans="1:17" x14ac:dyDescent="0.15">
      <c r="A197" s="22">
        <v>21020194</v>
      </c>
      <c r="B197" s="22" t="s">
        <v>567</v>
      </c>
      <c r="C197" s="22" t="s">
        <v>38</v>
      </c>
      <c r="D197" s="22" t="s">
        <v>458</v>
      </c>
      <c r="E197" s="22">
        <v>4</v>
      </c>
      <c r="F197" s="22">
        <v>29</v>
      </c>
      <c r="G197" s="22">
        <v>10</v>
      </c>
      <c r="H197" s="22">
        <v>25</v>
      </c>
      <c r="I197" s="22">
        <v>1</v>
      </c>
      <c r="J197" s="26">
        <v>0</v>
      </c>
      <c r="K197" s="26">
        <v>15</v>
      </c>
      <c r="L197" s="22"/>
      <c r="M197" s="22"/>
      <c r="N197" s="22"/>
      <c r="O197" s="23" t="s">
        <v>751</v>
      </c>
      <c r="P197" s="22">
        <f t="shared" si="3"/>
        <v>21020195</v>
      </c>
      <c r="Q197" s="22">
        <v>5</v>
      </c>
    </row>
    <row r="198" spans="1:17" x14ac:dyDescent="0.15">
      <c r="A198" s="22">
        <v>21020195</v>
      </c>
      <c r="B198" s="22" t="s">
        <v>567</v>
      </c>
      <c r="C198" s="22" t="s">
        <v>39</v>
      </c>
      <c r="D198" s="22" t="s">
        <v>458</v>
      </c>
      <c r="E198" s="22">
        <v>4</v>
      </c>
      <c r="F198" s="22">
        <v>30</v>
      </c>
      <c r="G198" s="22">
        <v>10</v>
      </c>
      <c r="H198" s="22">
        <v>25</v>
      </c>
      <c r="I198" s="22">
        <v>1</v>
      </c>
      <c r="J198" s="26">
        <v>0</v>
      </c>
      <c r="K198" s="26">
        <v>10</v>
      </c>
      <c r="L198" s="22"/>
      <c r="M198" s="22"/>
      <c r="N198" s="22"/>
      <c r="O198" s="23" t="s">
        <v>751</v>
      </c>
      <c r="P198" s="22">
        <f t="shared" si="3"/>
        <v>21020196</v>
      </c>
      <c r="Q198" s="22">
        <v>5</v>
      </c>
    </row>
    <row r="199" spans="1:17" x14ac:dyDescent="0.15">
      <c r="A199" s="22">
        <v>21020196</v>
      </c>
      <c r="B199" s="22" t="s">
        <v>567</v>
      </c>
      <c r="C199" s="22" t="s">
        <v>40</v>
      </c>
      <c r="D199" s="22" t="s">
        <v>458</v>
      </c>
      <c r="E199" s="22">
        <v>4</v>
      </c>
      <c r="F199" s="22">
        <v>31</v>
      </c>
      <c r="G199" s="22">
        <v>10</v>
      </c>
      <c r="H199" s="22">
        <v>25</v>
      </c>
      <c r="I199" s="22">
        <v>1</v>
      </c>
      <c r="J199" s="26">
        <v>0</v>
      </c>
      <c r="K199" s="26">
        <v>8</v>
      </c>
      <c r="L199" s="22"/>
      <c r="M199" s="22"/>
      <c r="N199" s="22"/>
      <c r="O199" s="23" t="s">
        <v>751</v>
      </c>
      <c r="P199" s="22">
        <f t="shared" si="3"/>
        <v>21020197</v>
      </c>
      <c r="Q199" s="22">
        <v>5</v>
      </c>
    </row>
    <row r="200" spans="1:17" x14ac:dyDescent="0.15">
      <c r="A200" s="22">
        <v>21020197</v>
      </c>
      <c r="B200" s="22" t="s">
        <v>567</v>
      </c>
      <c r="C200" s="22" t="s">
        <v>41</v>
      </c>
      <c r="D200" s="22" t="s">
        <v>458</v>
      </c>
      <c r="E200" s="22">
        <v>4</v>
      </c>
      <c r="F200" s="22">
        <v>32</v>
      </c>
      <c r="G200" s="22">
        <v>10</v>
      </c>
      <c r="H200" s="22">
        <v>25</v>
      </c>
      <c r="I200" s="22">
        <v>1</v>
      </c>
      <c r="J200" s="26">
        <v>0</v>
      </c>
      <c r="K200" s="26">
        <v>6</v>
      </c>
      <c r="L200" s="22"/>
      <c r="M200" s="22"/>
      <c r="N200" s="22"/>
      <c r="O200" s="23" t="s">
        <v>751</v>
      </c>
      <c r="P200" s="22">
        <f t="shared" si="3"/>
        <v>21020198</v>
      </c>
      <c r="Q200" s="22">
        <v>5</v>
      </c>
    </row>
    <row r="201" spans="1:17" x14ac:dyDescent="0.15">
      <c r="A201" s="22">
        <v>21020198</v>
      </c>
      <c r="B201" s="22" t="s">
        <v>567</v>
      </c>
      <c r="C201" s="22" t="s">
        <v>42</v>
      </c>
      <c r="D201" s="22" t="s">
        <v>458</v>
      </c>
      <c r="E201" s="22">
        <v>4</v>
      </c>
      <c r="F201" s="22">
        <v>33</v>
      </c>
      <c r="G201" s="22">
        <v>10</v>
      </c>
      <c r="H201" s="22">
        <v>25</v>
      </c>
      <c r="I201" s="22">
        <v>1</v>
      </c>
      <c r="J201" s="26">
        <v>0</v>
      </c>
      <c r="K201" s="26">
        <v>4</v>
      </c>
      <c r="L201" s="22"/>
      <c r="M201" s="22"/>
      <c r="N201" s="22"/>
      <c r="O201" s="23" t="s">
        <v>751</v>
      </c>
      <c r="P201" s="22">
        <f t="shared" si="3"/>
        <v>21020199</v>
      </c>
      <c r="Q201" s="22">
        <v>5</v>
      </c>
    </row>
    <row r="202" spans="1:17" x14ac:dyDescent="0.15">
      <c r="A202" s="22">
        <v>21020199</v>
      </c>
      <c r="B202" s="22" t="s">
        <v>567</v>
      </c>
      <c r="C202" s="22" t="s">
        <v>43</v>
      </c>
      <c r="D202" s="22" t="s">
        <v>458</v>
      </c>
      <c r="E202" s="22">
        <v>4</v>
      </c>
      <c r="F202" s="22">
        <v>34</v>
      </c>
      <c r="G202" s="22">
        <v>10</v>
      </c>
      <c r="H202" s="22">
        <v>25</v>
      </c>
      <c r="I202" s="22">
        <v>1</v>
      </c>
      <c r="J202" s="26">
        <v>0</v>
      </c>
      <c r="K202" s="26">
        <v>3</v>
      </c>
      <c r="L202" s="22"/>
      <c r="M202" s="22"/>
      <c r="N202" s="22"/>
      <c r="O202" s="23" t="s">
        <v>751</v>
      </c>
      <c r="P202" s="22">
        <f t="shared" si="3"/>
        <v>21020200</v>
      </c>
      <c r="Q202" s="22">
        <v>5</v>
      </c>
    </row>
    <row r="203" spans="1:17" x14ac:dyDescent="0.15">
      <c r="A203" s="22">
        <v>21020200</v>
      </c>
      <c r="B203" s="22" t="s">
        <v>567</v>
      </c>
      <c r="C203" s="22" t="s">
        <v>44</v>
      </c>
      <c r="D203" s="22" t="s">
        <v>458</v>
      </c>
      <c r="E203" s="22">
        <v>4</v>
      </c>
      <c r="F203" s="22">
        <v>35</v>
      </c>
      <c r="G203" s="22">
        <v>10</v>
      </c>
      <c r="H203" s="22">
        <v>25</v>
      </c>
      <c r="I203" s="22">
        <v>1</v>
      </c>
      <c r="J203" s="26">
        <v>0</v>
      </c>
      <c r="K203" s="26">
        <v>2</v>
      </c>
      <c r="L203" s="22"/>
      <c r="M203" s="22"/>
      <c r="N203" s="22"/>
      <c r="O203" s="23" t="s">
        <v>751</v>
      </c>
      <c r="P203" s="22">
        <f t="shared" si="3"/>
        <v>21020201</v>
      </c>
      <c r="Q203" s="22">
        <v>5</v>
      </c>
    </row>
    <row r="204" spans="1:17" x14ac:dyDescent="0.15">
      <c r="A204" s="22">
        <v>21020201</v>
      </c>
      <c r="B204" s="22" t="s">
        <v>567</v>
      </c>
      <c r="C204" s="22" t="s">
        <v>45</v>
      </c>
      <c r="D204" s="22" t="s">
        <v>458</v>
      </c>
      <c r="E204" s="22">
        <v>4</v>
      </c>
      <c r="F204" s="22">
        <v>36</v>
      </c>
      <c r="G204" s="22">
        <v>10</v>
      </c>
      <c r="H204" s="22">
        <v>25</v>
      </c>
      <c r="I204" s="22">
        <v>1</v>
      </c>
      <c r="J204" s="26">
        <v>0</v>
      </c>
      <c r="K204" s="26">
        <v>1</v>
      </c>
      <c r="L204" s="22"/>
      <c r="M204" s="22"/>
      <c r="N204" s="22"/>
      <c r="O204" s="23" t="s">
        <v>751</v>
      </c>
      <c r="P204" s="22">
        <f t="shared" si="3"/>
        <v>0</v>
      </c>
      <c r="Q204" s="22">
        <v>5</v>
      </c>
    </row>
    <row r="205" spans="1:17" x14ac:dyDescent="0.15">
      <c r="A205" s="22">
        <v>21020202</v>
      </c>
      <c r="B205" s="22" t="s">
        <v>432</v>
      </c>
      <c r="C205" s="22" t="s">
        <v>431</v>
      </c>
      <c r="D205" s="22" t="s">
        <v>461</v>
      </c>
      <c r="E205" s="22">
        <v>5</v>
      </c>
      <c r="F205" s="22">
        <v>1</v>
      </c>
      <c r="G205" s="27">
        <v>120</v>
      </c>
      <c r="H205" s="22">
        <v>11</v>
      </c>
      <c r="I205" s="22">
        <v>1</v>
      </c>
      <c r="J205" s="22">
        <v>3</v>
      </c>
      <c r="K205" s="22">
        <v>1</v>
      </c>
      <c r="L205" s="22"/>
      <c r="M205" s="22"/>
      <c r="N205" s="22"/>
      <c r="O205" s="23" t="s">
        <v>751</v>
      </c>
      <c r="P205" s="22">
        <f t="shared" si="3"/>
        <v>21020203</v>
      </c>
      <c r="Q205" s="22">
        <v>4</v>
      </c>
    </row>
    <row r="206" spans="1:17" x14ac:dyDescent="0.15">
      <c r="A206" s="22">
        <v>21020203</v>
      </c>
      <c r="B206" s="22" t="s">
        <v>432</v>
      </c>
      <c r="C206" s="22" t="s">
        <v>433</v>
      </c>
      <c r="D206" s="22" t="s">
        <v>461</v>
      </c>
      <c r="E206" s="22">
        <v>5</v>
      </c>
      <c r="F206" s="22">
        <v>2</v>
      </c>
      <c r="G206" s="27">
        <v>120</v>
      </c>
      <c r="H206" s="22">
        <v>11</v>
      </c>
      <c r="I206" s="22">
        <v>1</v>
      </c>
      <c r="J206" s="22">
        <v>6</v>
      </c>
      <c r="K206" s="22">
        <v>1</v>
      </c>
      <c r="L206" s="22"/>
      <c r="M206" s="22"/>
      <c r="N206" s="22"/>
      <c r="O206" s="23" t="s">
        <v>751</v>
      </c>
      <c r="P206" s="22">
        <f t="shared" si="3"/>
        <v>21020204</v>
      </c>
      <c r="Q206" s="22">
        <v>4</v>
      </c>
    </row>
    <row r="207" spans="1:17" x14ac:dyDescent="0.15">
      <c r="A207" s="22">
        <v>21020204</v>
      </c>
      <c r="B207" s="22" t="s">
        <v>432</v>
      </c>
      <c r="C207" s="22" t="s">
        <v>434</v>
      </c>
      <c r="D207" s="22" t="s">
        <v>460</v>
      </c>
      <c r="E207" s="22">
        <v>5</v>
      </c>
      <c r="F207" s="22">
        <v>3</v>
      </c>
      <c r="G207" s="27">
        <v>120</v>
      </c>
      <c r="H207" s="22">
        <v>11</v>
      </c>
      <c r="I207" s="22">
        <v>1</v>
      </c>
      <c r="J207" s="22">
        <v>9</v>
      </c>
      <c r="K207" s="22">
        <v>1</v>
      </c>
      <c r="L207" s="22"/>
      <c r="M207" s="22"/>
      <c r="N207" s="22"/>
      <c r="O207" s="23" t="s">
        <v>751</v>
      </c>
      <c r="P207" s="22">
        <f t="shared" si="3"/>
        <v>21020205</v>
      </c>
      <c r="Q207" s="22">
        <v>4</v>
      </c>
    </row>
    <row r="208" spans="1:17" x14ac:dyDescent="0.15">
      <c r="A208" s="22">
        <v>21020205</v>
      </c>
      <c r="B208" s="22" t="s">
        <v>432</v>
      </c>
      <c r="C208" s="22" t="s">
        <v>435</v>
      </c>
      <c r="D208" s="22" t="s">
        <v>460</v>
      </c>
      <c r="E208" s="22">
        <v>5</v>
      </c>
      <c r="F208" s="22">
        <v>4</v>
      </c>
      <c r="G208" s="27">
        <v>120</v>
      </c>
      <c r="H208" s="22">
        <v>11</v>
      </c>
      <c r="I208" s="22">
        <v>1</v>
      </c>
      <c r="J208" s="22">
        <v>12</v>
      </c>
      <c r="K208" s="22">
        <v>1</v>
      </c>
      <c r="L208" s="22"/>
      <c r="M208" s="22"/>
      <c r="N208" s="22"/>
      <c r="O208" s="23" t="s">
        <v>751</v>
      </c>
      <c r="P208" s="22">
        <f t="shared" si="3"/>
        <v>21020206</v>
      </c>
      <c r="Q208" s="22">
        <v>4</v>
      </c>
    </row>
    <row r="209" spans="1:17" x14ac:dyDescent="0.15">
      <c r="A209" s="22">
        <v>21020206</v>
      </c>
      <c r="B209" s="22" t="s">
        <v>432</v>
      </c>
      <c r="C209" s="22" t="s">
        <v>436</v>
      </c>
      <c r="D209" s="22" t="s">
        <v>460</v>
      </c>
      <c r="E209" s="22">
        <v>5</v>
      </c>
      <c r="F209" s="22">
        <v>5</v>
      </c>
      <c r="G209" s="27">
        <v>120</v>
      </c>
      <c r="H209" s="22">
        <v>11</v>
      </c>
      <c r="I209" s="22">
        <v>1</v>
      </c>
      <c r="J209" s="22">
        <v>15</v>
      </c>
      <c r="K209" s="22">
        <v>1</v>
      </c>
      <c r="L209" s="22"/>
      <c r="M209" s="22"/>
      <c r="N209" s="22"/>
      <c r="O209" s="23" t="s">
        <v>751</v>
      </c>
      <c r="P209" s="22">
        <f t="shared" si="3"/>
        <v>0</v>
      </c>
      <c r="Q209" s="22">
        <v>4</v>
      </c>
    </row>
    <row r="210" spans="1:17" x14ac:dyDescent="0.15">
      <c r="A210" s="22">
        <v>21020207</v>
      </c>
      <c r="B210" s="20" t="s">
        <v>581</v>
      </c>
      <c r="C210" s="20" t="s">
        <v>582</v>
      </c>
      <c r="D210" s="22" t="s">
        <v>507</v>
      </c>
      <c r="E210" s="20">
        <v>10</v>
      </c>
      <c r="F210" s="20">
        <v>1</v>
      </c>
      <c r="G210" s="22">
        <v>1</v>
      </c>
      <c r="H210" s="20">
        <v>21</v>
      </c>
      <c r="I210" s="22">
        <v>1</v>
      </c>
      <c r="J210" s="20">
        <v>0</v>
      </c>
      <c r="K210" s="20">
        <v>1</v>
      </c>
      <c r="L210" s="20"/>
      <c r="M210" s="20"/>
      <c r="N210" s="20"/>
      <c r="O210" s="23" t="s">
        <v>573</v>
      </c>
      <c r="P210" s="22">
        <f t="shared" si="3"/>
        <v>0</v>
      </c>
      <c r="Q210" s="20">
        <v>19</v>
      </c>
    </row>
    <row r="211" spans="1:17" x14ac:dyDescent="0.15">
      <c r="A211" s="22">
        <v>21020208</v>
      </c>
      <c r="B211" s="20" t="s">
        <v>568</v>
      </c>
      <c r="C211" s="20" t="s">
        <v>466</v>
      </c>
      <c r="D211" s="20" t="s">
        <v>456</v>
      </c>
      <c r="E211" s="20">
        <v>11</v>
      </c>
      <c r="F211" s="20">
        <v>1</v>
      </c>
      <c r="G211" s="22">
        <v>1</v>
      </c>
      <c r="H211" s="20">
        <v>3</v>
      </c>
      <c r="I211" s="20">
        <v>1</v>
      </c>
      <c r="J211" s="20">
        <v>5</v>
      </c>
      <c r="K211" s="20">
        <v>1</v>
      </c>
      <c r="L211" s="20"/>
      <c r="M211" s="20"/>
      <c r="N211" s="20"/>
      <c r="O211" s="23" t="s">
        <v>751</v>
      </c>
      <c r="P211" s="22">
        <f t="shared" si="3"/>
        <v>21020209</v>
      </c>
      <c r="Q211" s="20">
        <v>3</v>
      </c>
    </row>
    <row r="212" spans="1:17" x14ac:dyDescent="0.15">
      <c r="A212" s="22">
        <v>21020209</v>
      </c>
      <c r="B212" s="20" t="s">
        <v>568</v>
      </c>
      <c r="C212" s="20" t="s">
        <v>467</v>
      </c>
      <c r="D212" s="20" t="s">
        <v>455</v>
      </c>
      <c r="E212" s="20">
        <v>11</v>
      </c>
      <c r="F212" s="20">
        <v>2</v>
      </c>
      <c r="G212" s="22">
        <v>1</v>
      </c>
      <c r="H212" s="20">
        <v>3</v>
      </c>
      <c r="I212" s="20">
        <v>1</v>
      </c>
      <c r="J212" s="20">
        <v>10</v>
      </c>
      <c r="K212" s="20">
        <v>1</v>
      </c>
      <c r="L212" s="20"/>
      <c r="M212" s="20"/>
      <c r="N212" s="20"/>
      <c r="O212" s="23" t="s">
        <v>752</v>
      </c>
      <c r="P212" s="22">
        <f t="shared" si="3"/>
        <v>21020210</v>
      </c>
      <c r="Q212" s="20">
        <v>3</v>
      </c>
    </row>
    <row r="213" spans="1:17" x14ac:dyDescent="0.15">
      <c r="A213" s="22">
        <v>21020210</v>
      </c>
      <c r="B213" s="20" t="s">
        <v>568</v>
      </c>
      <c r="C213" s="20" t="s">
        <v>468</v>
      </c>
      <c r="D213" s="20" t="s">
        <v>455</v>
      </c>
      <c r="E213" s="20">
        <v>11</v>
      </c>
      <c r="F213" s="20">
        <v>3</v>
      </c>
      <c r="G213" s="22">
        <v>1</v>
      </c>
      <c r="H213" s="20">
        <v>3</v>
      </c>
      <c r="I213" s="20">
        <v>1</v>
      </c>
      <c r="J213" s="20">
        <v>15</v>
      </c>
      <c r="K213" s="20">
        <v>1</v>
      </c>
      <c r="L213" s="20"/>
      <c r="M213" s="20"/>
      <c r="N213" s="20"/>
      <c r="O213" s="23" t="s">
        <v>753</v>
      </c>
      <c r="P213" s="22">
        <f t="shared" si="3"/>
        <v>21020211</v>
      </c>
      <c r="Q213" s="20">
        <v>3</v>
      </c>
    </row>
    <row r="214" spans="1:17" x14ac:dyDescent="0.15">
      <c r="A214" s="22">
        <v>21020211</v>
      </c>
      <c r="B214" s="20" t="s">
        <v>568</v>
      </c>
      <c r="C214" s="20" t="s">
        <v>469</v>
      </c>
      <c r="D214" s="20" t="s">
        <v>455</v>
      </c>
      <c r="E214" s="20">
        <v>11</v>
      </c>
      <c r="F214" s="20">
        <v>4</v>
      </c>
      <c r="G214" s="22">
        <v>1</v>
      </c>
      <c r="H214" s="20">
        <v>3</v>
      </c>
      <c r="I214" s="20">
        <v>1</v>
      </c>
      <c r="J214" s="20">
        <v>20</v>
      </c>
      <c r="K214" s="20">
        <v>1</v>
      </c>
      <c r="L214" s="20"/>
      <c r="M214" s="20"/>
      <c r="N214" s="20"/>
      <c r="O214" s="23" t="s">
        <v>754</v>
      </c>
      <c r="P214" s="22">
        <f t="shared" si="3"/>
        <v>21020212</v>
      </c>
      <c r="Q214" s="20">
        <v>3</v>
      </c>
    </row>
    <row r="215" spans="1:17" x14ac:dyDescent="0.15">
      <c r="A215" s="22">
        <v>21020212</v>
      </c>
      <c r="B215" s="20" t="s">
        <v>568</v>
      </c>
      <c r="C215" s="20" t="s">
        <v>470</v>
      </c>
      <c r="D215" s="20" t="s">
        <v>455</v>
      </c>
      <c r="E215" s="20">
        <v>11</v>
      </c>
      <c r="F215" s="20">
        <v>5</v>
      </c>
      <c r="G215" s="22">
        <v>1</v>
      </c>
      <c r="H215" s="20">
        <v>3</v>
      </c>
      <c r="I215" s="20">
        <v>1</v>
      </c>
      <c r="J215" s="20">
        <v>25</v>
      </c>
      <c r="K215" s="20">
        <v>1</v>
      </c>
      <c r="L215" s="20"/>
      <c r="M215" s="20"/>
      <c r="N215" s="20"/>
      <c r="O215" s="23" t="s">
        <v>755</v>
      </c>
      <c r="P215" s="22">
        <f t="shared" si="3"/>
        <v>21020213</v>
      </c>
      <c r="Q215" s="20">
        <v>3</v>
      </c>
    </row>
    <row r="216" spans="1:17" x14ac:dyDescent="0.15">
      <c r="A216" s="22">
        <v>21020213</v>
      </c>
      <c r="B216" s="20" t="s">
        <v>568</v>
      </c>
      <c r="C216" s="20" t="s">
        <v>471</v>
      </c>
      <c r="D216" s="20" t="s">
        <v>455</v>
      </c>
      <c r="E216" s="20">
        <v>11</v>
      </c>
      <c r="F216" s="20">
        <v>6</v>
      </c>
      <c r="G216" s="22">
        <v>1</v>
      </c>
      <c r="H216" s="20">
        <v>3</v>
      </c>
      <c r="I216" s="20">
        <v>1</v>
      </c>
      <c r="J216" s="20">
        <v>30</v>
      </c>
      <c r="K216" s="20">
        <v>1</v>
      </c>
      <c r="L216" s="20"/>
      <c r="M216" s="20"/>
      <c r="N216" s="20"/>
      <c r="O216" s="23" t="s">
        <v>756</v>
      </c>
      <c r="P216" s="22">
        <f t="shared" si="3"/>
        <v>21020214</v>
      </c>
      <c r="Q216" s="20">
        <v>3</v>
      </c>
    </row>
    <row r="217" spans="1:17" x14ac:dyDescent="0.15">
      <c r="A217" s="22">
        <v>21020214</v>
      </c>
      <c r="B217" s="20" t="s">
        <v>568</v>
      </c>
      <c r="C217" s="20" t="s">
        <v>472</v>
      </c>
      <c r="D217" s="20" t="s">
        <v>455</v>
      </c>
      <c r="E217" s="20">
        <v>11</v>
      </c>
      <c r="F217" s="20">
        <v>7</v>
      </c>
      <c r="G217" s="22">
        <v>1</v>
      </c>
      <c r="H217" s="20">
        <v>3</v>
      </c>
      <c r="I217" s="20">
        <v>1</v>
      </c>
      <c r="J217" s="20">
        <v>35</v>
      </c>
      <c r="K217" s="20">
        <v>1</v>
      </c>
      <c r="L217" s="20"/>
      <c r="M217" s="20"/>
      <c r="N217" s="20"/>
      <c r="O217" s="23" t="s">
        <v>757</v>
      </c>
      <c r="P217" s="22">
        <f t="shared" si="3"/>
        <v>21020215</v>
      </c>
      <c r="Q217" s="20">
        <v>3</v>
      </c>
    </row>
    <row r="218" spans="1:17" x14ac:dyDescent="0.15">
      <c r="A218" s="22">
        <v>21020215</v>
      </c>
      <c r="B218" s="20" t="s">
        <v>568</v>
      </c>
      <c r="C218" s="20" t="s">
        <v>473</v>
      </c>
      <c r="D218" s="20" t="s">
        <v>455</v>
      </c>
      <c r="E218" s="20">
        <v>11</v>
      </c>
      <c r="F218" s="20">
        <v>8</v>
      </c>
      <c r="G218" s="22">
        <v>1</v>
      </c>
      <c r="H218" s="20">
        <v>3</v>
      </c>
      <c r="I218" s="20">
        <v>1</v>
      </c>
      <c r="J218" s="20">
        <v>40</v>
      </c>
      <c r="K218" s="20">
        <v>1</v>
      </c>
      <c r="L218" s="20"/>
      <c r="M218" s="20"/>
      <c r="N218" s="20"/>
      <c r="O218" s="23" t="s">
        <v>758</v>
      </c>
      <c r="P218" s="22">
        <f t="shared" si="3"/>
        <v>21020216</v>
      </c>
      <c r="Q218" s="20">
        <v>3</v>
      </c>
    </row>
    <row r="219" spans="1:17" x14ac:dyDescent="0.15">
      <c r="A219" s="22">
        <v>21020216</v>
      </c>
      <c r="B219" s="20" t="s">
        <v>568</v>
      </c>
      <c r="C219" s="20" t="s">
        <v>474</v>
      </c>
      <c r="D219" s="20" t="s">
        <v>455</v>
      </c>
      <c r="E219" s="20">
        <v>11</v>
      </c>
      <c r="F219" s="20">
        <v>9</v>
      </c>
      <c r="G219" s="22">
        <v>1</v>
      </c>
      <c r="H219" s="20">
        <v>3</v>
      </c>
      <c r="I219" s="20">
        <v>1</v>
      </c>
      <c r="J219" s="20">
        <v>45</v>
      </c>
      <c r="K219" s="20">
        <v>1</v>
      </c>
      <c r="L219" s="20"/>
      <c r="M219" s="20"/>
      <c r="N219" s="20"/>
      <c r="O219" s="23" t="s">
        <v>759</v>
      </c>
      <c r="P219" s="22">
        <f t="shared" si="3"/>
        <v>21020217</v>
      </c>
      <c r="Q219" s="20">
        <v>3</v>
      </c>
    </row>
    <row r="220" spans="1:17" x14ac:dyDescent="0.15">
      <c r="A220" s="22">
        <v>21020217</v>
      </c>
      <c r="B220" s="20" t="s">
        <v>568</v>
      </c>
      <c r="C220" s="20" t="s">
        <v>475</v>
      </c>
      <c r="D220" s="20" t="s">
        <v>455</v>
      </c>
      <c r="E220" s="20">
        <v>11</v>
      </c>
      <c r="F220" s="20">
        <v>10</v>
      </c>
      <c r="G220" s="22">
        <v>1</v>
      </c>
      <c r="H220" s="20">
        <v>3</v>
      </c>
      <c r="I220" s="20">
        <v>1</v>
      </c>
      <c r="J220" s="20">
        <v>50</v>
      </c>
      <c r="K220" s="20">
        <v>1</v>
      </c>
      <c r="L220" s="20"/>
      <c r="M220" s="20"/>
      <c r="N220" s="20"/>
      <c r="O220" s="23" t="s">
        <v>760</v>
      </c>
      <c r="P220" s="22">
        <f t="shared" si="3"/>
        <v>21020218</v>
      </c>
      <c r="Q220" s="20">
        <v>3</v>
      </c>
    </row>
    <row r="221" spans="1:17" x14ac:dyDescent="0.15">
      <c r="A221" s="22">
        <v>21020218</v>
      </c>
      <c r="B221" s="20" t="s">
        <v>568</v>
      </c>
      <c r="C221" s="20" t="s">
        <v>476</v>
      </c>
      <c r="D221" s="20" t="s">
        <v>455</v>
      </c>
      <c r="E221" s="20">
        <v>11</v>
      </c>
      <c r="F221" s="20">
        <v>11</v>
      </c>
      <c r="G221" s="22">
        <v>1</v>
      </c>
      <c r="H221" s="20">
        <v>3</v>
      </c>
      <c r="I221" s="20">
        <v>1</v>
      </c>
      <c r="J221" s="20">
        <v>55</v>
      </c>
      <c r="K221" s="20">
        <v>1</v>
      </c>
      <c r="L221" s="20"/>
      <c r="M221" s="20"/>
      <c r="N221" s="20"/>
      <c r="O221" s="23" t="s">
        <v>761</v>
      </c>
      <c r="P221" s="22">
        <f t="shared" si="3"/>
        <v>21020219</v>
      </c>
      <c r="Q221" s="20">
        <v>3</v>
      </c>
    </row>
    <row r="222" spans="1:17" x14ac:dyDescent="0.15">
      <c r="A222" s="22">
        <v>21020219</v>
      </c>
      <c r="B222" s="20" t="s">
        <v>568</v>
      </c>
      <c r="C222" s="20" t="s">
        <v>477</v>
      </c>
      <c r="D222" s="20" t="s">
        <v>455</v>
      </c>
      <c r="E222" s="20">
        <v>11</v>
      </c>
      <c r="F222" s="20">
        <v>12</v>
      </c>
      <c r="G222" s="22">
        <v>1</v>
      </c>
      <c r="H222" s="20">
        <v>3</v>
      </c>
      <c r="I222" s="20">
        <v>1</v>
      </c>
      <c r="J222" s="20">
        <v>60</v>
      </c>
      <c r="K222" s="20">
        <v>1</v>
      </c>
      <c r="L222" s="20"/>
      <c r="M222" s="20"/>
      <c r="N222" s="20"/>
      <c r="O222" s="23" t="s">
        <v>762</v>
      </c>
      <c r="P222" s="22">
        <f t="shared" si="3"/>
        <v>21020220</v>
      </c>
      <c r="Q222" s="20">
        <v>3</v>
      </c>
    </row>
    <row r="223" spans="1:17" x14ac:dyDescent="0.15">
      <c r="A223" s="22">
        <v>21020220</v>
      </c>
      <c r="B223" s="20" t="s">
        <v>568</v>
      </c>
      <c r="C223" s="20" t="s">
        <v>478</v>
      </c>
      <c r="D223" s="20" t="s">
        <v>455</v>
      </c>
      <c r="E223" s="20">
        <v>11</v>
      </c>
      <c r="F223" s="20">
        <v>13</v>
      </c>
      <c r="G223" s="22">
        <v>1</v>
      </c>
      <c r="H223" s="20">
        <v>3</v>
      </c>
      <c r="I223" s="20">
        <v>1</v>
      </c>
      <c r="J223" s="20">
        <v>65</v>
      </c>
      <c r="K223" s="20">
        <v>1</v>
      </c>
      <c r="L223" s="20"/>
      <c r="M223" s="20"/>
      <c r="N223" s="20"/>
      <c r="O223" s="23" t="s">
        <v>763</v>
      </c>
      <c r="P223" s="22">
        <f t="shared" si="3"/>
        <v>21020221</v>
      </c>
      <c r="Q223" s="20">
        <v>3</v>
      </c>
    </row>
    <row r="224" spans="1:17" x14ac:dyDescent="0.15">
      <c r="A224" s="22">
        <v>21020221</v>
      </c>
      <c r="B224" s="20" t="s">
        <v>568</v>
      </c>
      <c r="C224" s="20" t="s">
        <v>479</v>
      </c>
      <c r="D224" s="20" t="s">
        <v>455</v>
      </c>
      <c r="E224" s="20">
        <v>11</v>
      </c>
      <c r="F224" s="20">
        <v>14</v>
      </c>
      <c r="G224" s="22">
        <v>1</v>
      </c>
      <c r="H224" s="20">
        <v>3</v>
      </c>
      <c r="I224" s="20">
        <v>1</v>
      </c>
      <c r="J224" s="20">
        <v>70</v>
      </c>
      <c r="K224" s="20">
        <v>1</v>
      </c>
      <c r="L224" s="20"/>
      <c r="M224" s="20"/>
      <c r="N224" s="20"/>
      <c r="O224" s="23" t="s">
        <v>764</v>
      </c>
      <c r="P224" s="22">
        <f t="shared" si="3"/>
        <v>21020222</v>
      </c>
      <c r="Q224" s="20">
        <v>3</v>
      </c>
    </row>
    <row r="225" spans="1:17" x14ac:dyDescent="0.15">
      <c r="A225" s="22">
        <v>21020222</v>
      </c>
      <c r="B225" s="20" t="s">
        <v>568</v>
      </c>
      <c r="C225" s="20" t="s">
        <v>480</v>
      </c>
      <c r="D225" s="20" t="s">
        <v>455</v>
      </c>
      <c r="E225" s="20">
        <v>11</v>
      </c>
      <c r="F225" s="20">
        <v>15</v>
      </c>
      <c r="G225" s="22">
        <v>1</v>
      </c>
      <c r="H225" s="20">
        <v>3</v>
      </c>
      <c r="I225" s="20">
        <v>1</v>
      </c>
      <c r="J225" s="20">
        <v>75</v>
      </c>
      <c r="K225" s="20">
        <v>1</v>
      </c>
      <c r="L225" s="20"/>
      <c r="M225" s="20"/>
      <c r="N225" s="20"/>
      <c r="O225" s="23" t="s">
        <v>765</v>
      </c>
      <c r="P225" s="22">
        <f t="shared" si="3"/>
        <v>21020223</v>
      </c>
      <c r="Q225" s="20">
        <v>3</v>
      </c>
    </row>
    <row r="226" spans="1:17" x14ac:dyDescent="0.15">
      <c r="A226" s="22">
        <v>21020223</v>
      </c>
      <c r="B226" s="20" t="s">
        <v>568</v>
      </c>
      <c r="C226" s="20" t="s">
        <v>481</v>
      </c>
      <c r="D226" s="20" t="s">
        <v>455</v>
      </c>
      <c r="E226" s="20">
        <v>11</v>
      </c>
      <c r="F226" s="20">
        <v>16</v>
      </c>
      <c r="G226" s="22">
        <v>1</v>
      </c>
      <c r="H226" s="20">
        <v>3</v>
      </c>
      <c r="I226" s="20">
        <v>1</v>
      </c>
      <c r="J226" s="20">
        <v>80</v>
      </c>
      <c r="K226" s="20">
        <v>1</v>
      </c>
      <c r="L226" s="20"/>
      <c r="M226" s="20"/>
      <c r="N226" s="20"/>
      <c r="O226" s="23" t="s">
        <v>766</v>
      </c>
      <c r="P226" s="22">
        <f t="shared" si="3"/>
        <v>21020224</v>
      </c>
      <c r="Q226" s="20">
        <v>3</v>
      </c>
    </row>
    <row r="227" spans="1:17" x14ac:dyDescent="0.15">
      <c r="A227" s="22">
        <v>21020224</v>
      </c>
      <c r="B227" s="20" t="s">
        <v>568</v>
      </c>
      <c r="C227" s="20" t="s">
        <v>482</v>
      </c>
      <c r="D227" s="20" t="s">
        <v>455</v>
      </c>
      <c r="E227" s="20">
        <v>11</v>
      </c>
      <c r="F227" s="20">
        <v>17</v>
      </c>
      <c r="G227" s="22">
        <v>1</v>
      </c>
      <c r="H227" s="20">
        <v>3</v>
      </c>
      <c r="I227" s="20">
        <v>1</v>
      </c>
      <c r="J227" s="20">
        <v>85</v>
      </c>
      <c r="K227" s="20">
        <v>1</v>
      </c>
      <c r="L227" s="20"/>
      <c r="M227" s="20"/>
      <c r="N227" s="20"/>
      <c r="O227" s="23" t="s">
        <v>767</v>
      </c>
      <c r="P227" s="22">
        <f t="shared" si="3"/>
        <v>21020225</v>
      </c>
      <c r="Q227" s="20">
        <v>3</v>
      </c>
    </row>
    <row r="228" spans="1:17" x14ac:dyDescent="0.15">
      <c r="A228" s="22">
        <v>21020225</v>
      </c>
      <c r="B228" s="20" t="s">
        <v>568</v>
      </c>
      <c r="C228" s="20" t="s">
        <v>483</v>
      </c>
      <c r="D228" s="20" t="s">
        <v>455</v>
      </c>
      <c r="E228" s="20">
        <v>11</v>
      </c>
      <c r="F228" s="20">
        <v>18</v>
      </c>
      <c r="G228" s="22">
        <v>1</v>
      </c>
      <c r="H228" s="20">
        <v>3</v>
      </c>
      <c r="I228" s="20">
        <v>1</v>
      </c>
      <c r="J228" s="20">
        <v>90</v>
      </c>
      <c r="K228" s="20">
        <v>1</v>
      </c>
      <c r="L228" s="20"/>
      <c r="M228" s="20"/>
      <c r="N228" s="20"/>
      <c r="O228" s="23" t="s">
        <v>768</v>
      </c>
      <c r="P228" s="22">
        <f t="shared" si="3"/>
        <v>21020226</v>
      </c>
      <c r="Q228" s="20">
        <v>3</v>
      </c>
    </row>
    <row r="229" spans="1:17" x14ac:dyDescent="0.15">
      <c r="A229" s="22">
        <v>21020226</v>
      </c>
      <c r="B229" s="20" t="s">
        <v>568</v>
      </c>
      <c r="C229" s="20" t="s">
        <v>484</v>
      </c>
      <c r="D229" s="20" t="s">
        <v>455</v>
      </c>
      <c r="E229" s="20">
        <v>11</v>
      </c>
      <c r="F229" s="20">
        <v>19</v>
      </c>
      <c r="G229" s="22">
        <v>1</v>
      </c>
      <c r="H229" s="20">
        <v>3</v>
      </c>
      <c r="I229" s="20">
        <v>1</v>
      </c>
      <c r="J229" s="20">
        <v>95</v>
      </c>
      <c r="K229" s="20">
        <v>1</v>
      </c>
      <c r="L229" s="20"/>
      <c r="M229" s="20"/>
      <c r="N229" s="20"/>
      <c r="O229" s="23" t="s">
        <v>769</v>
      </c>
      <c r="P229" s="22">
        <f t="shared" si="3"/>
        <v>21020227</v>
      </c>
      <c r="Q229" s="20">
        <v>3</v>
      </c>
    </row>
    <row r="230" spans="1:17" x14ac:dyDescent="0.15">
      <c r="A230" s="22">
        <v>21020227</v>
      </c>
      <c r="B230" s="20" t="s">
        <v>568</v>
      </c>
      <c r="C230" s="20" t="s">
        <v>485</v>
      </c>
      <c r="D230" s="20" t="s">
        <v>455</v>
      </c>
      <c r="E230" s="20">
        <v>11</v>
      </c>
      <c r="F230" s="20">
        <v>20</v>
      </c>
      <c r="G230" s="22">
        <v>1</v>
      </c>
      <c r="H230" s="20">
        <v>3</v>
      </c>
      <c r="I230" s="20">
        <v>1</v>
      </c>
      <c r="J230" s="20">
        <v>100</v>
      </c>
      <c r="K230" s="20">
        <v>1</v>
      </c>
      <c r="L230" s="20"/>
      <c r="M230" s="20"/>
      <c r="N230" s="20"/>
      <c r="O230" s="23" t="s">
        <v>770</v>
      </c>
      <c r="P230" s="22">
        <f t="shared" si="3"/>
        <v>21020228</v>
      </c>
      <c r="Q230" s="20">
        <v>3</v>
      </c>
    </row>
    <row r="231" spans="1:17" x14ac:dyDescent="0.15">
      <c r="A231" s="22">
        <v>21020228</v>
      </c>
      <c r="B231" s="20" t="s">
        <v>568</v>
      </c>
      <c r="C231" s="20" t="s">
        <v>486</v>
      </c>
      <c r="D231" s="20" t="s">
        <v>455</v>
      </c>
      <c r="E231" s="20">
        <v>11</v>
      </c>
      <c r="F231" s="20">
        <v>21</v>
      </c>
      <c r="G231" s="22">
        <v>1</v>
      </c>
      <c r="H231" s="20">
        <v>3</v>
      </c>
      <c r="I231" s="20">
        <v>1</v>
      </c>
      <c r="J231" s="20">
        <v>105</v>
      </c>
      <c r="K231" s="20">
        <v>1</v>
      </c>
      <c r="L231" s="20"/>
      <c r="M231" s="20"/>
      <c r="N231" s="20"/>
      <c r="O231" s="23" t="s">
        <v>771</v>
      </c>
      <c r="P231" s="22">
        <f t="shared" si="3"/>
        <v>21020229</v>
      </c>
      <c r="Q231" s="20">
        <v>3</v>
      </c>
    </row>
    <row r="232" spans="1:17" x14ac:dyDescent="0.15">
      <c r="A232" s="22">
        <v>21020229</v>
      </c>
      <c r="B232" s="20" t="s">
        <v>568</v>
      </c>
      <c r="C232" s="20" t="s">
        <v>487</v>
      </c>
      <c r="D232" s="20" t="s">
        <v>455</v>
      </c>
      <c r="E232" s="20">
        <v>11</v>
      </c>
      <c r="F232" s="20">
        <v>22</v>
      </c>
      <c r="G232" s="22">
        <v>1</v>
      </c>
      <c r="H232" s="20">
        <v>3</v>
      </c>
      <c r="I232" s="20">
        <v>1</v>
      </c>
      <c r="J232" s="20">
        <v>110</v>
      </c>
      <c r="K232" s="20">
        <v>1</v>
      </c>
      <c r="L232" s="20"/>
      <c r="M232" s="20"/>
      <c r="N232" s="20"/>
      <c r="O232" s="23" t="s">
        <v>772</v>
      </c>
      <c r="P232" s="22">
        <f t="shared" si="3"/>
        <v>21020230</v>
      </c>
      <c r="Q232" s="20">
        <v>3</v>
      </c>
    </row>
    <row r="233" spans="1:17" x14ac:dyDescent="0.15">
      <c r="A233" s="22">
        <v>21020230</v>
      </c>
      <c r="B233" s="20" t="s">
        <v>568</v>
      </c>
      <c r="C233" s="20" t="s">
        <v>488</v>
      </c>
      <c r="D233" s="20" t="s">
        <v>455</v>
      </c>
      <c r="E233" s="20">
        <v>11</v>
      </c>
      <c r="F233" s="20">
        <v>23</v>
      </c>
      <c r="G233" s="22">
        <v>1</v>
      </c>
      <c r="H233" s="20">
        <v>3</v>
      </c>
      <c r="I233" s="20">
        <v>1</v>
      </c>
      <c r="J233" s="20">
        <v>115</v>
      </c>
      <c r="K233" s="20">
        <v>1</v>
      </c>
      <c r="L233" s="20"/>
      <c r="M233" s="20"/>
      <c r="N233" s="20"/>
      <c r="O233" s="23" t="s">
        <v>773</v>
      </c>
      <c r="P233" s="22">
        <f t="shared" si="3"/>
        <v>21020231</v>
      </c>
      <c r="Q233" s="20">
        <v>3</v>
      </c>
    </row>
    <row r="234" spans="1:17" x14ac:dyDescent="0.15">
      <c r="A234" s="22">
        <v>21020231</v>
      </c>
      <c r="B234" s="20" t="s">
        <v>568</v>
      </c>
      <c r="C234" s="20" t="s">
        <v>489</v>
      </c>
      <c r="D234" s="20" t="s">
        <v>455</v>
      </c>
      <c r="E234" s="20">
        <v>11</v>
      </c>
      <c r="F234" s="20">
        <v>24</v>
      </c>
      <c r="G234" s="22">
        <v>1</v>
      </c>
      <c r="H234" s="20">
        <v>3</v>
      </c>
      <c r="I234" s="20">
        <v>1</v>
      </c>
      <c r="J234" s="20">
        <v>120</v>
      </c>
      <c r="K234" s="20">
        <v>1</v>
      </c>
      <c r="L234" s="20"/>
      <c r="M234" s="20"/>
      <c r="N234" s="20"/>
      <c r="O234" s="23" t="s">
        <v>774</v>
      </c>
      <c r="P234" s="22">
        <f t="shared" si="3"/>
        <v>0</v>
      </c>
      <c r="Q234" s="20">
        <v>3</v>
      </c>
    </row>
    <row r="235" spans="1:17" x14ac:dyDescent="0.15">
      <c r="A235" s="22">
        <v>21020232</v>
      </c>
      <c r="B235" s="20" t="s">
        <v>569</v>
      </c>
      <c r="C235" s="20" t="s">
        <v>511</v>
      </c>
      <c r="D235" s="20" t="s">
        <v>509</v>
      </c>
      <c r="E235" s="20">
        <v>12</v>
      </c>
      <c r="F235" s="20">
        <v>1</v>
      </c>
      <c r="G235" s="27">
        <v>120</v>
      </c>
      <c r="H235" s="20">
        <v>5</v>
      </c>
      <c r="I235" s="20">
        <v>1</v>
      </c>
      <c r="J235" s="20">
        <v>2</v>
      </c>
      <c r="K235" s="20">
        <v>1</v>
      </c>
      <c r="L235" s="20"/>
      <c r="M235" s="20"/>
      <c r="N235" s="28" t="s">
        <v>838</v>
      </c>
      <c r="O235" s="23" t="s">
        <v>861</v>
      </c>
      <c r="P235" s="22">
        <f t="shared" si="3"/>
        <v>21020233</v>
      </c>
      <c r="Q235" s="20">
        <v>13</v>
      </c>
    </row>
    <row r="236" spans="1:17" x14ac:dyDescent="0.15">
      <c r="A236" s="22">
        <v>21020233</v>
      </c>
      <c r="B236" s="20" t="s">
        <v>569</v>
      </c>
      <c r="C236" s="20" t="s">
        <v>512</v>
      </c>
      <c r="D236" s="20" t="s">
        <v>510</v>
      </c>
      <c r="E236" s="20">
        <v>12</v>
      </c>
      <c r="F236" s="20">
        <v>2</v>
      </c>
      <c r="G236" s="27">
        <v>120</v>
      </c>
      <c r="H236" s="20">
        <v>5</v>
      </c>
      <c r="I236" s="20">
        <v>1</v>
      </c>
      <c r="J236" s="20">
        <v>3</v>
      </c>
      <c r="K236" s="20">
        <v>1</v>
      </c>
      <c r="L236" s="20"/>
      <c r="M236" s="20"/>
      <c r="N236" s="28" t="s">
        <v>839</v>
      </c>
      <c r="O236" s="23" t="s">
        <v>869</v>
      </c>
      <c r="P236" s="22">
        <f t="shared" si="3"/>
        <v>21020234</v>
      </c>
      <c r="Q236" s="20">
        <v>13</v>
      </c>
    </row>
    <row r="237" spans="1:17" x14ac:dyDescent="0.15">
      <c r="A237" s="22">
        <v>21020234</v>
      </c>
      <c r="B237" s="20" t="s">
        <v>569</v>
      </c>
      <c r="C237" s="20" t="s">
        <v>513</v>
      </c>
      <c r="D237" s="20" t="s">
        <v>508</v>
      </c>
      <c r="E237" s="20">
        <v>12</v>
      </c>
      <c r="F237" s="20">
        <v>3</v>
      </c>
      <c r="G237" s="27">
        <v>120</v>
      </c>
      <c r="H237" s="20">
        <v>5</v>
      </c>
      <c r="I237" s="20">
        <v>1</v>
      </c>
      <c r="J237" s="20">
        <v>4</v>
      </c>
      <c r="K237" s="20">
        <v>1</v>
      </c>
      <c r="L237" s="20"/>
      <c r="M237" s="20"/>
      <c r="N237" s="28" t="s">
        <v>840</v>
      </c>
      <c r="O237" s="23" t="s">
        <v>862</v>
      </c>
      <c r="P237" s="22">
        <f t="shared" si="3"/>
        <v>21020235</v>
      </c>
      <c r="Q237" s="20">
        <v>13</v>
      </c>
    </row>
    <row r="238" spans="1:17" x14ac:dyDescent="0.15">
      <c r="A238" s="22">
        <v>21020235</v>
      </c>
      <c r="B238" s="20" t="s">
        <v>569</v>
      </c>
      <c r="C238" s="20" t="s">
        <v>514</v>
      </c>
      <c r="D238" s="20" t="s">
        <v>508</v>
      </c>
      <c r="E238" s="20">
        <v>12</v>
      </c>
      <c r="F238" s="20">
        <v>4</v>
      </c>
      <c r="G238" s="27">
        <v>120</v>
      </c>
      <c r="H238" s="20">
        <v>5</v>
      </c>
      <c r="I238" s="20">
        <v>1</v>
      </c>
      <c r="J238" s="20">
        <v>5</v>
      </c>
      <c r="K238" s="20">
        <v>1</v>
      </c>
      <c r="L238" s="20"/>
      <c r="M238" s="20"/>
      <c r="N238" s="28" t="s">
        <v>841</v>
      </c>
      <c r="O238" s="23" t="s">
        <v>863</v>
      </c>
      <c r="P238" s="22">
        <f t="shared" si="3"/>
        <v>21020236</v>
      </c>
      <c r="Q238" s="20">
        <v>13</v>
      </c>
    </row>
    <row r="239" spans="1:17" x14ac:dyDescent="0.15">
      <c r="A239" s="22">
        <v>21020236</v>
      </c>
      <c r="B239" s="20" t="s">
        <v>569</v>
      </c>
      <c r="C239" s="20" t="s">
        <v>515</v>
      </c>
      <c r="D239" s="20" t="s">
        <v>508</v>
      </c>
      <c r="E239" s="20">
        <v>12</v>
      </c>
      <c r="F239" s="20">
        <v>5</v>
      </c>
      <c r="G239" s="27">
        <v>120</v>
      </c>
      <c r="H239" s="20">
        <v>5</v>
      </c>
      <c r="I239" s="20">
        <v>1</v>
      </c>
      <c r="J239" s="20">
        <v>6</v>
      </c>
      <c r="K239" s="20">
        <v>1</v>
      </c>
      <c r="L239" s="20"/>
      <c r="M239" s="20"/>
      <c r="N239" s="28" t="s">
        <v>842</v>
      </c>
      <c r="O239" s="23" t="s">
        <v>864</v>
      </c>
      <c r="P239" s="22">
        <f t="shared" si="3"/>
        <v>21020237</v>
      </c>
      <c r="Q239" s="20">
        <v>13</v>
      </c>
    </row>
    <row r="240" spans="1:17" x14ac:dyDescent="0.15">
      <c r="A240" s="22">
        <v>21020237</v>
      </c>
      <c r="B240" s="20" t="s">
        <v>569</v>
      </c>
      <c r="C240" s="20" t="s">
        <v>516</v>
      </c>
      <c r="D240" s="20" t="s">
        <v>508</v>
      </c>
      <c r="E240" s="20">
        <v>12</v>
      </c>
      <c r="F240" s="20">
        <v>6</v>
      </c>
      <c r="G240" s="27">
        <v>120</v>
      </c>
      <c r="H240" s="20">
        <v>5</v>
      </c>
      <c r="I240" s="20">
        <v>1</v>
      </c>
      <c r="J240" s="20">
        <v>7</v>
      </c>
      <c r="K240" s="20">
        <v>1</v>
      </c>
      <c r="L240" s="20"/>
      <c r="M240" s="20"/>
      <c r="N240" s="28" t="s">
        <v>843</v>
      </c>
      <c r="O240" s="23" t="s">
        <v>870</v>
      </c>
      <c r="P240" s="22">
        <f t="shared" si="3"/>
        <v>21020238</v>
      </c>
      <c r="Q240" s="20">
        <v>13</v>
      </c>
    </row>
    <row r="241" spans="1:17" x14ac:dyDescent="0.15">
      <c r="A241" s="22">
        <v>21020238</v>
      </c>
      <c r="B241" s="20" t="s">
        <v>569</v>
      </c>
      <c r="C241" s="20" t="s">
        <v>517</v>
      </c>
      <c r="D241" s="20" t="s">
        <v>508</v>
      </c>
      <c r="E241" s="20">
        <v>12</v>
      </c>
      <c r="F241" s="20">
        <v>7</v>
      </c>
      <c r="G241" s="27">
        <v>120</v>
      </c>
      <c r="H241" s="20">
        <v>5</v>
      </c>
      <c r="I241" s="20">
        <v>1</v>
      </c>
      <c r="J241" s="20">
        <v>8</v>
      </c>
      <c r="K241" s="20">
        <v>1</v>
      </c>
      <c r="L241" s="20"/>
      <c r="M241" s="20"/>
      <c r="N241" s="28" t="s">
        <v>844</v>
      </c>
      <c r="O241" s="23" t="s">
        <v>865</v>
      </c>
      <c r="P241" s="22">
        <f t="shared" si="3"/>
        <v>21020239</v>
      </c>
      <c r="Q241" s="20">
        <v>13</v>
      </c>
    </row>
    <row r="242" spans="1:17" x14ac:dyDescent="0.15">
      <c r="A242" s="22">
        <v>21020239</v>
      </c>
      <c r="B242" s="20" t="s">
        <v>569</v>
      </c>
      <c r="C242" s="20" t="s">
        <v>518</v>
      </c>
      <c r="D242" s="20" t="s">
        <v>508</v>
      </c>
      <c r="E242" s="20">
        <v>12</v>
      </c>
      <c r="F242" s="20">
        <v>8</v>
      </c>
      <c r="G242" s="27">
        <v>120</v>
      </c>
      <c r="H242" s="20">
        <v>5</v>
      </c>
      <c r="I242" s="20">
        <v>1</v>
      </c>
      <c r="J242" s="20">
        <v>9</v>
      </c>
      <c r="K242" s="20">
        <v>1</v>
      </c>
      <c r="L242" s="20"/>
      <c r="M242" s="20"/>
      <c r="N242" s="28" t="s">
        <v>845</v>
      </c>
      <c r="O242" s="23" t="s">
        <v>866</v>
      </c>
      <c r="P242" s="22">
        <f t="shared" si="3"/>
        <v>21020240</v>
      </c>
      <c r="Q242" s="20">
        <v>13</v>
      </c>
    </row>
    <row r="243" spans="1:17" x14ac:dyDescent="0.15">
      <c r="A243" s="22">
        <v>21020240</v>
      </c>
      <c r="B243" s="20" t="s">
        <v>569</v>
      </c>
      <c r="C243" s="20" t="s">
        <v>519</v>
      </c>
      <c r="D243" s="20" t="s">
        <v>508</v>
      </c>
      <c r="E243" s="20">
        <v>12</v>
      </c>
      <c r="F243" s="20">
        <v>9</v>
      </c>
      <c r="G243" s="27">
        <v>120</v>
      </c>
      <c r="H243" s="20">
        <v>5</v>
      </c>
      <c r="I243" s="20">
        <v>1</v>
      </c>
      <c r="J243" s="20">
        <v>10</v>
      </c>
      <c r="K243" s="20">
        <v>1</v>
      </c>
      <c r="L243" s="20"/>
      <c r="M243" s="20"/>
      <c r="N243" s="28" t="s">
        <v>846</v>
      </c>
      <c r="O243" s="23" t="s">
        <v>867</v>
      </c>
      <c r="P243" s="22">
        <f t="shared" si="3"/>
        <v>21020241</v>
      </c>
      <c r="Q243" s="20">
        <v>13</v>
      </c>
    </row>
    <row r="244" spans="1:17" x14ac:dyDescent="0.15">
      <c r="A244" s="22">
        <v>21020241</v>
      </c>
      <c r="B244" s="20" t="s">
        <v>569</v>
      </c>
      <c r="C244" s="20" t="s">
        <v>520</v>
      </c>
      <c r="D244" s="20" t="s">
        <v>508</v>
      </c>
      <c r="E244" s="20">
        <v>12</v>
      </c>
      <c r="F244" s="20">
        <v>10</v>
      </c>
      <c r="G244" s="27">
        <v>120</v>
      </c>
      <c r="H244" s="20">
        <v>5</v>
      </c>
      <c r="I244" s="20">
        <v>1</v>
      </c>
      <c r="J244" s="20">
        <v>11</v>
      </c>
      <c r="K244" s="20">
        <v>1</v>
      </c>
      <c r="L244" s="20"/>
      <c r="M244" s="20"/>
      <c r="N244" s="28" t="s">
        <v>847</v>
      </c>
      <c r="O244" s="23" t="s">
        <v>868</v>
      </c>
      <c r="P244" s="22">
        <f t="shared" si="3"/>
        <v>21020242</v>
      </c>
      <c r="Q244" s="20">
        <v>13</v>
      </c>
    </row>
    <row r="245" spans="1:17" x14ac:dyDescent="0.15">
      <c r="A245" s="22">
        <v>21020242</v>
      </c>
      <c r="B245" s="20" t="s">
        <v>569</v>
      </c>
      <c r="C245" s="20" t="s">
        <v>521</v>
      </c>
      <c r="D245" s="20" t="s">
        <v>508</v>
      </c>
      <c r="E245" s="20">
        <v>12</v>
      </c>
      <c r="F245" s="20">
        <v>11</v>
      </c>
      <c r="G245" s="27">
        <v>120</v>
      </c>
      <c r="H245" s="20">
        <v>5</v>
      </c>
      <c r="I245" s="20">
        <v>1</v>
      </c>
      <c r="J245" s="20">
        <v>12</v>
      </c>
      <c r="K245" s="20">
        <v>1</v>
      </c>
      <c r="L245" s="20"/>
      <c r="M245" s="20"/>
      <c r="N245" s="28" t="s">
        <v>848</v>
      </c>
      <c r="O245" s="23" t="s">
        <v>871</v>
      </c>
      <c r="P245" s="22">
        <f t="shared" si="3"/>
        <v>21020243</v>
      </c>
      <c r="Q245" s="20">
        <v>13</v>
      </c>
    </row>
    <row r="246" spans="1:17" x14ac:dyDescent="0.15">
      <c r="A246" s="22">
        <v>21020243</v>
      </c>
      <c r="B246" s="20" t="s">
        <v>569</v>
      </c>
      <c r="C246" s="20" t="s">
        <v>522</v>
      </c>
      <c r="D246" s="20" t="s">
        <v>508</v>
      </c>
      <c r="E246" s="20">
        <v>12</v>
      </c>
      <c r="F246" s="20">
        <v>12</v>
      </c>
      <c r="G246" s="27">
        <v>120</v>
      </c>
      <c r="H246" s="20">
        <v>5</v>
      </c>
      <c r="I246" s="20">
        <v>1</v>
      </c>
      <c r="J246" s="20">
        <v>13</v>
      </c>
      <c r="K246" s="20">
        <v>1</v>
      </c>
      <c r="L246" s="20"/>
      <c r="M246" s="20"/>
      <c r="N246" s="28" t="s">
        <v>849</v>
      </c>
      <c r="O246" s="23" t="s">
        <v>872</v>
      </c>
      <c r="P246" s="22">
        <f t="shared" si="3"/>
        <v>21020244</v>
      </c>
      <c r="Q246" s="20">
        <v>13</v>
      </c>
    </row>
    <row r="247" spans="1:17" x14ac:dyDescent="0.15">
      <c r="A247" s="22">
        <v>21020244</v>
      </c>
      <c r="B247" s="20" t="s">
        <v>569</v>
      </c>
      <c r="C247" s="20" t="s">
        <v>523</v>
      </c>
      <c r="D247" s="20" t="s">
        <v>508</v>
      </c>
      <c r="E247" s="20">
        <v>12</v>
      </c>
      <c r="F247" s="20">
        <v>13</v>
      </c>
      <c r="G247" s="27">
        <v>120</v>
      </c>
      <c r="H247" s="20">
        <v>5</v>
      </c>
      <c r="I247" s="20">
        <v>1</v>
      </c>
      <c r="J247" s="20">
        <v>14</v>
      </c>
      <c r="K247" s="20">
        <v>1</v>
      </c>
      <c r="L247" s="20"/>
      <c r="M247" s="20"/>
      <c r="N247" s="28" t="s">
        <v>850</v>
      </c>
      <c r="O247" s="23" t="s">
        <v>873</v>
      </c>
      <c r="P247" s="22">
        <f t="shared" si="3"/>
        <v>21020245</v>
      </c>
      <c r="Q247" s="20">
        <v>13</v>
      </c>
    </row>
    <row r="248" spans="1:17" x14ac:dyDescent="0.15">
      <c r="A248" s="22">
        <v>21020245</v>
      </c>
      <c r="B248" s="20" t="s">
        <v>569</v>
      </c>
      <c r="C248" s="20" t="s">
        <v>490</v>
      </c>
      <c r="D248" s="20" t="s">
        <v>508</v>
      </c>
      <c r="E248" s="20">
        <v>12</v>
      </c>
      <c r="F248" s="20">
        <v>14</v>
      </c>
      <c r="G248" s="27">
        <v>120</v>
      </c>
      <c r="H248" s="20">
        <v>5</v>
      </c>
      <c r="I248" s="20">
        <v>1</v>
      </c>
      <c r="J248" s="20">
        <v>15</v>
      </c>
      <c r="K248" s="20">
        <v>1</v>
      </c>
      <c r="L248" s="20"/>
      <c r="M248" s="20"/>
      <c r="N248" s="28" t="s">
        <v>851</v>
      </c>
      <c r="O248" s="23" t="s">
        <v>874</v>
      </c>
      <c r="P248" s="22">
        <f t="shared" si="3"/>
        <v>21020246</v>
      </c>
      <c r="Q248" s="20">
        <v>13</v>
      </c>
    </row>
    <row r="249" spans="1:17" x14ac:dyDescent="0.15">
      <c r="A249" s="22">
        <v>21020246</v>
      </c>
      <c r="B249" s="20" t="s">
        <v>569</v>
      </c>
      <c r="C249" s="20" t="s">
        <v>524</v>
      </c>
      <c r="D249" s="20" t="s">
        <v>508</v>
      </c>
      <c r="E249" s="20">
        <v>12</v>
      </c>
      <c r="F249" s="20">
        <v>15</v>
      </c>
      <c r="G249" s="27">
        <v>120</v>
      </c>
      <c r="H249" s="20">
        <v>5</v>
      </c>
      <c r="I249" s="20">
        <v>1</v>
      </c>
      <c r="J249" s="20">
        <v>16</v>
      </c>
      <c r="K249" s="20">
        <v>1</v>
      </c>
      <c r="L249" s="20"/>
      <c r="M249" s="20"/>
      <c r="N249" s="28" t="s">
        <v>852</v>
      </c>
      <c r="O249" s="23" t="s">
        <v>875</v>
      </c>
      <c r="P249" s="22">
        <f t="shared" si="3"/>
        <v>21020247</v>
      </c>
      <c r="Q249" s="20">
        <v>13</v>
      </c>
    </row>
    <row r="250" spans="1:17" x14ac:dyDescent="0.15">
      <c r="A250" s="22">
        <v>21020247</v>
      </c>
      <c r="B250" s="20" t="s">
        <v>569</v>
      </c>
      <c r="C250" s="20" t="s">
        <v>525</v>
      </c>
      <c r="D250" s="20" t="s">
        <v>508</v>
      </c>
      <c r="E250" s="20">
        <v>12</v>
      </c>
      <c r="F250" s="20">
        <v>16</v>
      </c>
      <c r="G250" s="27">
        <v>120</v>
      </c>
      <c r="H250" s="20">
        <v>5</v>
      </c>
      <c r="I250" s="20">
        <v>1</v>
      </c>
      <c r="J250" s="20">
        <v>17</v>
      </c>
      <c r="K250" s="20">
        <v>1</v>
      </c>
      <c r="L250" s="20"/>
      <c r="M250" s="20"/>
      <c r="N250" s="28" t="s">
        <v>853</v>
      </c>
      <c r="O250" s="23" t="s">
        <v>876</v>
      </c>
      <c r="P250" s="22">
        <f t="shared" si="3"/>
        <v>21020248</v>
      </c>
      <c r="Q250" s="20">
        <v>13</v>
      </c>
    </row>
    <row r="251" spans="1:17" x14ac:dyDescent="0.15">
      <c r="A251" s="22">
        <v>21020248</v>
      </c>
      <c r="B251" s="20" t="s">
        <v>569</v>
      </c>
      <c r="C251" s="20" t="s">
        <v>526</v>
      </c>
      <c r="D251" s="20" t="s">
        <v>508</v>
      </c>
      <c r="E251" s="20">
        <v>12</v>
      </c>
      <c r="F251" s="20">
        <v>17</v>
      </c>
      <c r="G251" s="27">
        <v>120</v>
      </c>
      <c r="H251" s="20">
        <v>5</v>
      </c>
      <c r="I251" s="20">
        <v>1</v>
      </c>
      <c r="J251" s="20">
        <v>18</v>
      </c>
      <c r="K251" s="20">
        <v>1</v>
      </c>
      <c r="L251" s="20"/>
      <c r="M251" s="20"/>
      <c r="N251" s="28" t="s">
        <v>854</v>
      </c>
      <c r="O251" s="23" t="s">
        <v>877</v>
      </c>
      <c r="P251" s="22">
        <f t="shared" si="3"/>
        <v>21020249</v>
      </c>
      <c r="Q251" s="20">
        <v>13</v>
      </c>
    </row>
    <row r="252" spans="1:17" x14ac:dyDescent="0.15">
      <c r="A252" s="22">
        <v>21020249</v>
      </c>
      <c r="B252" s="20" t="s">
        <v>569</v>
      </c>
      <c r="C252" s="20" t="s">
        <v>527</v>
      </c>
      <c r="D252" s="20" t="s">
        <v>508</v>
      </c>
      <c r="E252" s="20">
        <v>12</v>
      </c>
      <c r="F252" s="20">
        <v>18</v>
      </c>
      <c r="G252" s="27">
        <v>120</v>
      </c>
      <c r="H252" s="20">
        <v>5</v>
      </c>
      <c r="I252" s="20">
        <v>1</v>
      </c>
      <c r="J252" s="20">
        <v>19</v>
      </c>
      <c r="K252" s="20">
        <v>1</v>
      </c>
      <c r="L252" s="20"/>
      <c r="M252" s="20"/>
      <c r="N252" s="28" t="s">
        <v>855</v>
      </c>
      <c r="O252" s="23" t="s">
        <v>878</v>
      </c>
      <c r="P252" s="22">
        <f t="shared" si="3"/>
        <v>21020250</v>
      </c>
      <c r="Q252" s="20">
        <v>13</v>
      </c>
    </row>
    <row r="253" spans="1:17" x14ac:dyDescent="0.15">
      <c r="A253" s="22">
        <v>21020250</v>
      </c>
      <c r="B253" s="20" t="s">
        <v>569</v>
      </c>
      <c r="C253" s="20" t="s">
        <v>491</v>
      </c>
      <c r="D253" s="20" t="s">
        <v>508</v>
      </c>
      <c r="E253" s="20">
        <v>12</v>
      </c>
      <c r="F253" s="20">
        <v>19</v>
      </c>
      <c r="G253" s="27">
        <v>120</v>
      </c>
      <c r="H253" s="20">
        <v>5</v>
      </c>
      <c r="I253" s="20">
        <v>1</v>
      </c>
      <c r="J253" s="20">
        <v>20</v>
      </c>
      <c r="K253" s="20">
        <v>1</v>
      </c>
      <c r="L253" s="20"/>
      <c r="M253" s="20"/>
      <c r="N253" s="28" t="s">
        <v>856</v>
      </c>
      <c r="O253" s="23" t="s">
        <v>879</v>
      </c>
      <c r="P253" s="22">
        <f t="shared" si="3"/>
        <v>21020251</v>
      </c>
      <c r="Q253" s="20">
        <v>13</v>
      </c>
    </row>
    <row r="254" spans="1:17" x14ac:dyDescent="0.15">
      <c r="A254" s="22">
        <v>21020251</v>
      </c>
      <c r="B254" s="20" t="s">
        <v>569</v>
      </c>
      <c r="C254" s="20" t="s">
        <v>528</v>
      </c>
      <c r="D254" s="20" t="s">
        <v>508</v>
      </c>
      <c r="E254" s="20">
        <v>12</v>
      </c>
      <c r="F254" s="20">
        <v>20</v>
      </c>
      <c r="G254" s="27">
        <v>120</v>
      </c>
      <c r="H254" s="20">
        <v>5</v>
      </c>
      <c r="I254" s="20">
        <v>1</v>
      </c>
      <c r="J254" s="20">
        <v>21</v>
      </c>
      <c r="K254" s="20">
        <v>1</v>
      </c>
      <c r="L254" s="20"/>
      <c r="M254" s="20"/>
      <c r="N254" s="28" t="s">
        <v>857</v>
      </c>
      <c r="O254" s="23" t="s">
        <v>880</v>
      </c>
      <c r="P254" s="22">
        <f t="shared" si="3"/>
        <v>21020252</v>
      </c>
      <c r="Q254" s="20">
        <v>13</v>
      </c>
    </row>
    <row r="255" spans="1:17" x14ac:dyDescent="0.15">
      <c r="A255" s="22">
        <v>21020252</v>
      </c>
      <c r="B255" s="20" t="s">
        <v>569</v>
      </c>
      <c r="C255" s="20" t="s">
        <v>529</v>
      </c>
      <c r="D255" s="20" t="s">
        <v>508</v>
      </c>
      <c r="E255" s="20">
        <v>12</v>
      </c>
      <c r="F255" s="20">
        <v>21</v>
      </c>
      <c r="G255" s="27">
        <v>120</v>
      </c>
      <c r="H255" s="20">
        <v>5</v>
      </c>
      <c r="I255" s="20">
        <v>1</v>
      </c>
      <c r="J255" s="20">
        <v>22</v>
      </c>
      <c r="K255" s="20">
        <v>1</v>
      </c>
      <c r="L255" s="20"/>
      <c r="M255" s="20"/>
      <c r="N255" s="28" t="s">
        <v>858</v>
      </c>
      <c r="O255" s="23" t="s">
        <v>881</v>
      </c>
      <c r="P255" s="22">
        <f t="shared" si="3"/>
        <v>21020253</v>
      </c>
      <c r="Q255" s="20">
        <v>13</v>
      </c>
    </row>
    <row r="256" spans="1:17" x14ac:dyDescent="0.15">
      <c r="A256" s="22">
        <v>21020253</v>
      </c>
      <c r="B256" s="20" t="s">
        <v>569</v>
      </c>
      <c r="C256" s="20" t="s">
        <v>530</v>
      </c>
      <c r="D256" s="20" t="s">
        <v>508</v>
      </c>
      <c r="E256" s="20">
        <v>12</v>
      </c>
      <c r="F256" s="20">
        <v>22</v>
      </c>
      <c r="G256" s="27">
        <v>120</v>
      </c>
      <c r="H256" s="20">
        <v>5</v>
      </c>
      <c r="I256" s="20">
        <v>1</v>
      </c>
      <c r="J256" s="20">
        <v>23</v>
      </c>
      <c r="K256" s="20">
        <v>1</v>
      </c>
      <c r="L256" s="20"/>
      <c r="M256" s="20"/>
      <c r="N256" s="28" t="s">
        <v>859</v>
      </c>
      <c r="O256" s="23" t="s">
        <v>882</v>
      </c>
      <c r="P256" s="22">
        <f t="shared" si="3"/>
        <v>21020254</v>
      </c>
      <c r="Q256" s="20">
        <v>13</v>
      </c>
    </row>
    <row r="257" spans="1:17" x14ac:dyDescent="0.15">
      <c r="A257" s="22">
        <v>21020254</v>
      </c>
      <c r="B257" s="20" t="s">
        <v>569</v>
      </c>
      <c r="C257" s="20" t="s">
        <v>531</v>
      </c>
      <c r="D257" s="20" t="s">
        <v>508</v>
      </c>
      <c r="E257" s="20">
        <v>12</v>
      </c>
      <c r="F257" s="20">
        <v>23</v>
      </c>
      <c r="G257" s="27">
        <v>120</v>
      </c>
      <c r="H257" s="20">
        <v>5</v>
      </c>
      <c r="I257" s="20">
        <v>1</v>
      </c>
      <c r="J257" s="20">
        <v>24</v>
      </c>
      <c r="K257" s="20">
        <v>1</v>
      </c>
      <c r="L257" s="20"/>
      <c r="M257" s="20"/>
      <c r="N257" s="28" t="s">
        <v>860</v>
      </c>
      <c r="O257" s="23" t="s">
        <v>883</v>
      </c>
      <c r="P257" s="22">
        <f t="shared" si="3"/>
        <v>0</v>
      </c>
      <c r="Q257" s="20">
        <v>13</v>
      </c>
    </row>
    <row r="258" spans="1:17" x14ac:dyDescent="0.15">
      <c r="A258" s="22">
        <v>21020255</v>
      </c>
      <c r="B258" s="20" t="s">
        <v>570</v>
      </c>
      <c r="C258" s="20" t="s">
        <v>532</v>
      </c>
      <c r="D258" s="20" t="s">
        <v>463</v>
      </c>
      <c r="E258" s="20">
        <v>13</v>
      </c>
      <c r="F258" s="20">
        <v>1</v>
      </c>
      <c r="G258" s="27">
        <v>120</v>
      </c>
      <c r="H258" s="20">
        <v>4</v>
      </c>
      <c r="I258" s="20">
        <v>1</v>
      </c>
      <c r="J258" s="20">
        <v>5</v>
      </c>
      <c r="K258" s="20">
        <v>1</v>
      </c>
      <c r="L258" s="20"/>
      <c r="M258" s="20"/>
      <c r="N258" s="20"/>
      <c r="O258" s="23" t="s">
        <v>751</v>
      </c>
      <c r="P258" s="22">
        <f t="shared" si="3"/>
        <v>21020256</v>
      </c>
      <c r="Q258" s="20">
        <v>12</v>
      </c>
    </row>
    <row r="259" spans="1:17" x14ac:dyDescent="0.15">
      <c r="A259" s="22">
        <v>21020256</v>
      </c>
      <c r="B259" s="20" t="s">
        <v>570</v>
      </c>
      <c r="C259" s="20" t="s">
        <v>533</v>
      </c>
      <c r="D259" s="20" t="s">
        <v>462</v>
      </c>
      <c r="E259" s="20">
        <v>13</v>
      </c>
      <c r="F259" s="20">
        <v>2</v>
      </c>
      <c r="G259" s="27">
        <v>120</v>
      </c>
      <c r="H259" s="20">
        <v>4</v>
      </c>
      <c r="I259" s="20">
        <v>1</v>
      </c>
      <c r="J259" s="20">
        <v>10</v>
      </c>
      <c r="K259" s="20">
        <v>1</v>
      </c>
      <c r="L259" s="20"/>
      <c r="M259" s="20"/>
      <c r="N259" s="20"/>
      <c r="O259" s="23" t="s">
        <v>751</v>
      </c>
      <c r="P259" s="22">
        <f t="shared" si="3"/>
        <v>21020257</v>
      </c>
      <c r="Q259" s="20">
        <v>12</v>
      </c>
    </row>
    <row r="260" spans="1:17" x14ac:dyDescent="0.15">
      <c r="A260" s="22">
        <v>21020257</v>
      </c>
      <c r="B260" s="20" t="s">
        <v>570</v>
      </c>
      <c r="C260" s="20" t="s">
        <v>492</v>
      </c>
      <c r="D260" s="20" t="s">
        <v>462</v>
      </c>
      <c r="E260" s="20">
        <v>13</v>
      </c>
      <c r="F260" s="20">
        <v>3</v>
      </c>
      <c r="G260" s="27">
        <v>120</v>
      </c>
      <c r="H260" s="20">
        <v>4</v>
      </c>
      <c r="I260" s="20">
        <v>1</v>
      </c>
      <c r="J260" s="20">
        <v>15</v>
      </c>
      <c r="K260" s="20">
        <v>1</v>
      </c>
      <c r="L260" s="20"/>
      <c r="M260" s="20"/>
      <c r="N260" s="20"/>
      <c r="O260" s="23" t="s">
        <v>751</v>
      </c>
      <c r="P260" s="22">
        <f t="shared" ref="P260:P321" si="4">IF(E260=E261,A261,0)</f>
        <v>21020258</v>
      </c>
      <c r="Q260" s="20">
        <v>12</v>
      </c>
    </row>
    <row r="261" spans="1:17" x14ac:dyDescent="0.15">
      <c r="A261" s="22">
        <v>21020258</v>
      </c>
      <c r="B261" s="20" t="s">
        <v>570</v>
      </c>
      <c r="C261" s="20" t="s">
        <v>493</v>
      </c>
      <c r="D261" s="20" t="s">
        <v>462</v>
      </c>
      <c r="E261" s="20">
        <v>13</v>
      </c>
      <c r="F261" s="20">
        <v>4</v>
      </c>
      <c r="G261" s="27">
        <v>120</v>
      </c>
      <c r="H261" s="20">
        <v>4</v>
      </c>
      <c r="I261" s="20">
        <v>1</v>
      </c>
      <c r="J261" s="20">
        <v>20</v>
      </c>
      <c r="K261" s="20">
        <v>1</v>
      </c>
      <c r="L261" s="20"/>
      <c r="M261" s="20"/>
      <c r="N261" s="20"/>
      <c r="O261" s="23" t="s">
        <v>751</v>
      </c>
      <c r="P261" s="22">
        <f t="shared" si="4"/>
        <v>21020259</v>
      </c>
      <c r="Q261" s="20">
        <v>12</v>
      </c>
    </row>
    <row r="262" spans="1:17" x14ac:dyDescent="0.15">
      <c r="A262" s="22">
        <v>21020259</v>
      </c>
      <c r="B262" s="20" t="s">
        <v>570</v>
      </c>
      <c r="C262" s="20" t="s">
        <v>534</v>
      </c>
      <c r="D262" s="20" t="s">
        <v>462</v>
      </c>
      <c r="E262" s="20">
        <v>13</v>
      </c>
      <c r="F262" s="20">
        <v>5</v>
      </c>
      <c r="G262" s="27">
        <v>120</v>
      </c>
      <c r="H262" s="20">
        <v>4</v>
      </c>
      <c r="I262" s="20">
        <v>1</v>
      </c>
      <c r="J262" s="20">
        <v>25</v>
      </c>
      <c r="K262" s="20">
        <v>1</v>
      </c>
      <c r="L262" s="20"/>
      <c r="M262" s="20"/>
      <c r="N262" s="20"/>
      <c r="O262" s="23" t="s">
        <v>751</v>
      </c>
      <c r="P262" s="22">
        <f t="shared" si="4"/>
        <v>21020260</v>
      </c>
      <c r="Q262" s="20">
        <v>12</v>
      </c>
    </row>
    <row r="263" spans="1:17" x14ac:dyDescent="0.15">
      <c r="A263" s="22">
        <v>21020260</v>
      </c>
      <c r="B263" s="20" t="s">
        <v>570</v>
      </c>
      <c r="C263" s="20" t="s">
        <v>535</v>
      </c>
      <c r="D263" s="20" t="s">
        <v>462</v>
      </c>
      <c r="E263" s="20">
        <v>13</v>
      </c>
      <c r="F263" s="20">
        <v>6</v>
      </c>
      <c r="G263" s="27">
        <v>120</v>
      </c>
      <c r="H263" s="20">
        <v>4</v>
      </c>
      <c r="I263" s="20">
        <v>1</v>
      </c>
      <c r="J263" s="20">
        <v>30</v>
      </c>
      <c r="K263" s="20">
        <v>1</v>
      </c>
      <c r="L263" s="20"/>
      <c r="M263" s="20"/>
      <c r="N263" s="20"/>
      <c r="O263" s="23" t="s">
        <v>751</v>
      </c>
      <c r="P263" s="22">
        <f t="shared" si="4"/>
        <v>21020261</v>
      </c>
      <c r="Q263" s="20">
        <v>12</v>
      </c>
    </row>
    <row r="264" spans="1:17" x14ac:dyDescent="0.15">
      <c r="A264" s="22">
        <v>21020261</v>
      </c>
      <c r="B264" s="20" t="s">
        <v>570</v>
      </c>
      <c r="C264" s="20" t="s">
        <v>536</v>
      </c>
      <c r="D264" s="20" t="s">
        <v>462</v>
      </c>
      <c r="E264" s="20">
        <v>13</v>
      </c>
      <c r="F264" s="20">
        <v>7</v>
      </c>
      <c r="G264" s="27">
        <v>120</v>
      </c>
      <c r="H264" s="20">
        <v>4</v>
      </c>
      <c r="I264" s="20">
        <v>1</v>
      </c>
      <c r="J264" s="20">
        <v>35</v>
      </c>
      <c r="K264" s="20">
        <v>1</v>
      </c>
      <c r="L264" s="20"/>
      <c r="M264" s="20"/>
      <c r="N264" s="20"/>
      <c r="O264" s="23" t="s">
        <v>751</v>
      </c>
      <c r="P264" s="22">
        <f t="shared" si="4"/>
        <v>21020262</v>
      </c>
      <c r="Q264" s="20">
        <v>12</v>
      </c>
    </row>
    <row r="265" spans="1:17" x14ac:dyDescent="0.15">
      <c r="A265" s="22">
        <v>21020262</v>
      </c>
      <c r="B265" s="20" t="s">
        <v>570</v>
      </c>
      <c r="C265" s="20" t="s">
        <v>537</v>
      </c>
      <c r="D265" s="20" t="s">
        <v>462</v>
      </c>
      <c r="E265" s="20">
        <v>13</v>
      </c>
      <c r="F265" s="20">
        <v>8</v>
      </c>
      <c r="G265" s="27">
        <v>120</v>
      </c>
      <c r="H265" s="20">
        <v>4</v>
      </c>
      <c r="I265" s="20">
        <v>1</v>
      </c>
      <c r="J265" s="20">
        <v>40</v>
      </c>
      <c r="K265" s="20">
        <v>1</v>
      </c>
      <c r="L265" s="20"/>
      <c r="M265" s="20"/>
      <c r="N265" s="20"/>
      <c r="O265" s="23" t="s">
        <v>751</v>
      </c>
      <c r="P265" s="22">
        <f t="shared" si="4"/>
        <v>21020263</v>
      </c>
      <c r="Q265" s="20">
        <v>12</v>
      </c>
    </row>
    <row r="266" spans="1:17" x14ac:dyDescent="0.15">
      <c r="A266" s="22">
        <v>21020263</v>
      </c>
      <c r="B266" s="20" t="s">
        <v>570</v>
      </c>
      <c r="C266" s="20" t="s">
        <v>538</v>
      </c>
      <c r="D266" s="20" t="s">
        <v>462</v>
      </c>
      <c r="E266" s="20">
        <v>13</v>
      </c>
      <c r="F266" s="20">
        <v>9</v>
      </c>
      <c r="G266" s="27">
        <v>120</v>
      </c>
      <c r="H266" s="20">
        <v>4</v>
      </c>
      <c r="I266" s="20">
        <v>1</v>
      </c>
      <c r="J266" s="20">
        <v>45</v>
      </c>
      <c r="K266" s="20">
        <v>1</v>
      </c>
      <c r="L266" s="20"/>
      <c r="M266" s="20"/>
      <c r="N266" s="20"/>
      <c r="O266" s="23" t="s">
        <v>751</v>
      </c>
      <c r="P266" s="22">
        <f t="shared" si="4"/>
        <v>21020264</v>
      </c>
      <c r="Q266" s="20">
        <v>12</v>
      </c>
    </row>
    <row r="267" spans="1:17" x14ac:dyDescent="0.15">
      <c r="A267" s="22">
        <v>21020264</v>
      </c>
      <c r="B267" s="20" t="s">
        <v>570</v>
      </c>
      <c r="C267" s="20" t="s">
        <v>539</v>
      </c>
      <c r="D267" s="20" t="s">
        <v>462</v>
      </c>
      <c r="E267" s="20">
        <v>13</v>
      </c>
      <c r="F267" s="20">
        <v>10</v>
      </c>
      <c r="G267" s="27">
        <v>120</v>
      </c>
      <c r="H267" s="20">
        <v>4</v>
      </c>
      <c r="I267" s="20">
        <v>1</v>
      </c>
      <c r="J267" s="20">
        <v>50</v>
      </c>
      <c r="K267" s="20">
        <v>1</v>
      </c>
      <c r="L267" s="20"/>
      <c r="M267" s="20"/>
      <c r="N267" s="20"/>
      <c r="O267" s="23" t="s">
        <v>751</v>
      </c>
      <c r="P267" s="22">
        <f t="shared" si="4"/>
        <v>21020265</v>
      </c>
      <c r="Q267" s="20">
        <v>12</v>
      </c>
    </row>
    <row r="268" spans="1:17" x14ac:dyDescent="0.15">
      <c r="A268" s="22">
        <v>21020265</v>
      </c>
      <c r="B268" s="20" t="s">
        <v>570</v>
      </c>
      <c r="C268" s="20" t="s">
        <v>540</v>
      </c>
      <c r="D268" s="20" t="s">
        <v>462</v>
      </c>
      <c r="E268" s="20">
        <v>13</v>
      </c>
      <c r="F268" s="20">
        <v>11</v>
      </c>
      <c r="G268" s="27">
        <v>120</v>
      </c>
      <c r="H268" s="20">
        <v>4</v>
      </c>
      <c r="I268" s="20">
        <v>1</v>
      </c>
      <c r="J268" s="20">
        <v>55</v>
      </c>
      <c r="K268" s="20">
        <v>1</v>
      </c>
      <c r="L268" s="20"/>
      <c r="M268" s="20"/>
      <c r="N268" s="20"/>
      <c r="O268" s="23" t="s">
        <v>751</v>
      </c>
      <c r="P268" s="22">
        <f t="shared" si="4"/>
        <v>21020266</v>
      </c>
      <c r="Q268" s="20">
        <v>12</v>
      </c>
    </row>
    <row r="269" spans="1:17" x14ac:dyDescent="0.15">
      <c r="A269" s="22">
        <v>21020266</v>
      </c>
      <c r="B269" s="20" t="s">
        <v>570</v>
      </c>
      <c r="C269" s="20" t="s">
        <v>541</v>
      </c>
      <c r="D269" s="20" t="s">
        <v>462</v>
      </c>
      <c r="E269" s="20">
        <v>13</v>
      </c>
      <c r="F269" s="20">
        <v>12</v>
      </c>
      <c r="G269" s="27">
        <v>120</v>
      </c>
      <c r="H269" s="20">
        <v>4</v>
      </c>
      <c r="I269" s="20">
        <v>1</v>
      </c>
      <c r="J269" s="20">
        <v>60</v>
      </c>
      <c r="K269" s="20">
        <v>1</v>
      </c>
      <c r="L269" s="20"/>
      <c r="M269" s="20"/>
      <c r="N269" s="20"/>
      <c r="O269" s="23" t="s">
        <v>751</v>
      </c>
      <c r="P269" s="22">
        <f t="shared" si="4"/>
        <v>21020267</v>
      </c>
      <c r="Q269" s="20">
        <v>12</v>
      </c>
    </row>
    <row r="270" spans="1:17" x14ac:dyDescent="0.15">
      <c r="A270" s="22">
        <v>21020267</v>
      </c>
      <c r="B270" s="20" t="s">
        <v>570</v>
      </c>
      <c r="C270" s="20" t="s">
        <v>542</v>
      </c>
      <c r="D270" s="20" t="s">
        <v>462</v>
      </c>
      <c r="E270" s="20">
        <v>13</v>
      </c>
      <c r="F270" s="20">
        <v>13</v>
      </c>
      <c r="G270" s="27">
        <v>120</v>
      </c>
      <c r="H270" s="20">
        <v>4</v>
      </c>
      <c r="I270" s="20">
        <v>1</v>
      </c>
      <c r="J270" s="20">
        <v>65</v>
      </c>
      <c r="K270" s="20">
        <v>1</v>
      </c>
      <c r="L270" s="20"/>
      <c r="M270" s="20"/>
      <c r="N270" s="20"/>
      <c r="O270" s="23" t="s">
        <v>751</v>
      </c>
      <c r="P270" s="22">
        <f t="shared" si="4"/>
        <v>21020268</v>
      </c>
      <c r="Q270" s="20">
        <v>12</v>
      </c>
    </row>
    <row r="271" spans="1:17" x14ac:dyDescent="0.15">
      <c r="A271" s="22">
        <v>21020268</v>
      </c>
      <c r="B271" s="20" t="s">
        <v>570</v>
      </c>
      <c r="C271" s="20" t="s">
        <v>543</v>
      </c>
      <c r="D271" s="20" t="s">
        <v>462</v>
      </c>
      <c r="E271" s="20">
        <v>13</v>
      </c>
      <c r="F271" s="20">
        <v>14</v>
      </c>
      <c r="G271" s="27">
        <v>120</v>
      </c>
      <c r="H271" s="20">
        <v>4</v>
      </c>
      <c r="I271" s="20">
        <v>1</v>
      </c>
      <c r="J271" s="20">
        <v>70</v>
      </c>
      <c r="K271" s="20">
        <v>1</v>
      </c>
      <c r="L271" s="20"/>
      <c r="M271" s="20"/>
      <c r="N271" s="20"/>
      <c r="O271" s="23" t="s">
        <v>751</v>
      </c>
      <c r="P271" s="22">
        <f t="shared" si="4"/>
        <v>21020269</v>
      </c>
      <c r="Q271" s="20">
        <v>12</v>
      </c>
    </row>
    <row r="272" spans="1:17" x14ac:dyDescent="0.15">
      <c r="A272" s="22">
        <v>21020269</v>
      </c>
      <c r="B272" s="20" t="s">
        <v>570</v>
      </c>
      <c r="C272" s="20" t="s">
        <v>544</v>
      </c>
      <c r="D272" s="20" t="s">
        <v>462</v>
      </c>
      <c r="E272" s="20">
        <v>13</v>
      </c>
      <c r="F272" s="20">
        <v>15</v>
      </c>
      <c r="G272" s="27">
        <v>120</v>
      </c>
      <c r="H272" s="20">
        <v>4</v>
      </c>
      <c r="I272" s="20">
        <v>1</v>
      </c>
      <c r="J272" s="20">
        <v>75</v>
      </c>
      <c r="K272" s="20">
        <v>1</v>
      </c>
      <c r="L272" s="20"/>
      <c r="M272" s="20"/>
      <c r="N272" s="20"/>
      <c r="O272" s="23" t="s">
        <v>751</v>
      </c>
      <c r="P272" s="22">
        <f t="shared" si="4"/>
        <v>21020270</v>
      </c>
      <c r="Q272" s="20">
        <v>12</v>
      </c>
    </row>
    <row r="273" spans="1:17" x14ac:dyDescent="0.15">
      <c r="A273" s="22">
        <v>21020270</v>
      </c>
      <c r="B273" s="20" t="s">
        <v>570</v>
      </c>
      <c r="C273" s="20" t="s">
        <v>545</v>
      </c>
      <c r="D273" s="20" t="s">
        <v>462</v>
      </c>
      <c r="E273" s="20">
        <v>13</v>
      </c>
      <c r="F273" s="20">
        <v>16</v>
      </c>
      <c r="G273" s="27">
        <v>120</v>
      </c>
      <c r="H273" s="20">
        <v>4</v>
      </c>
      <c r="I273" s="20">
        <v>1</v>
      </c>
      <c r="J273" s="20">
        <v>80</v>
      </c>
      <c r="K273" s="20">
        <v>1</v>
      </c>
      <c r="L273" s="20"/>
      <c r="M273" s="20"/>
      <c r="N273" s="20"/>
      <c r="O273" s="23" t="s">
        <v>751</v>
      </c>
      <c r="P273" s="22">
        <f t="shared" si="4"/>
        <v>21020271</v>
      </c>
      <c r="Q273" s="20">
        <v>12</v>
      </c>
    </row>
    <row r="274" spans="1:17" x14ac:dyDescent="0.15">
      <c r="A274" s="22">
        <v>21020271</v>
      </c>
      <c r="B274" s="20" t="s">
        <v>570</v>
      </c>
      <c r="C274" s="20" t="s">
        <v>546</v>
      </c>
      <c r="D274" s="20" t="s">
        <v>462</v>
      </c>
      <c r="E274" s="20">
        <v>13</v>
      </c>
      <c r="F274" s="20">
        <v>17</v>
      </c>
      <c r="G274" s="27">
        <v>120</v>
      </c>
      <c r="H274" s="20">
        <v>4</v>
      </c>
      <c r="I274" s="20">
        <v>1</v>
      </c>
      <c r="J274" s="20">
        <v>85</v>
      </c>
      <c r="K274" s="20">
        <v>1</v>
      </c>
      <c r="L274" s="20"/>
      <c r="M274" s="20"/>
      <c r="N274" s="20"/>
      <c r="O274" s="23" t="s">
        <v>751</v>
      </c>
      <c r="P274" s="22">
        <f t="shared" si="4"/>
        <v>21020272</v>
      </c>
      <c r="Q274" s="20">
        <v>12</v>
      </c>
    </row>
    <row r="275" spans="1:17" x14ac:dyDescent="0.15">
      <c r="A275" s="22">
        <v>21020272</v>
      </c>
      <c r="B275" s="20" t="s">
        <v>570</v>
      </c>
      <c r="C275" s="20" t="s">
        <v>547</v>
      </c>
      <c r="D275" s="20" t="s">
        <v>462</v>
      </c>
      <c r="E275" s="20">
        <v>13</v>
      </c>
      <c r="F275" s="20">
        <v>18</v>
      </c>
      <c r="G275" s="27">
        <v>120</v>
      </c>
      <c r="H275" s="20">
        <v>4</v>
      </c>
      <c r="I275" s="20">
        <v>1</v>
      </c>
      <c r="J275" s="20">
        <v>90</v>
      </c>
      <c r="K275" s="20">
        <v>1</v>
      </c>
      <c r="L275" s="20"/>
      <c r="M275" s="20"/>
      <c r="N275" s="20"/>
      <c r="O275" s="23" t="s">
        <v>751</v>
      </c>
      <c r="P275" s="22">
        <f t="shared" si="4"/>
        <v>21020273</v>
      </c>
      <c r="Q275" s="20">
        <v>12</v>
      </c>
    </row>
    <row r="276" spans="1:17" x14ac:dyDescent="0.15">
      <c r="A276" s="22">
        <v>21020273</v>
      </c>
      <c r="B276" s="20" t="s">
        <v>570</v>
      </c>
      <c r="C276" s="20" t="s">
        <v>548</v>
      </c>
      <c r="D276" s="20" t="s">
        <v>462</v>
      </c>
      <c r="E276" s="20">
        <v>13</v>
      </c>
      <c r="F276" s="20">
        <v>19</v>
      </c>
      <c r="G276" s="27">
        <v>120</v>
      </c>
      <c r="H276" s="20">
        <v>4</v>
      </c>
      <c r="I276" s="20">
        <v>1</v>
      </c>
      <c r="J276" s="20">
        <v>95</v>
      </c>
      <c r="K276" s="20">
        <v>1</v>
      </c>
      <c r="L276" s="20"/>
      <c r="M276" s="20"/>
      <c r="N276" s="20"/>
      <c r="O276" s="23" t="s">
        <v>751</v>
      </c>
      <c r="P276" s="22">
        <f t="shared" si="4"/>
        <v>21020274</v>
      </c>
      <c r="Q276" s="20">
        <v>12</v>
      </c>
    </row>
    <row r="277" spans="1:17" x14ac:dyDescent="0.15">
      <c r="A277" s="22">
        <v>21020274</v>
      </c>
      <c r="B277" s="20" t="s">
        <v>570</v>
      </c>
      <c r="C277" s="20" t="s">
        <v>549</v>
      </c>
      <c r="D277" s="20" t="s">
        <v>462</v>
      </c>
      <c r="E277" s="20">
        <v>13</v>
      </c>
      <c r="F277" s="20">
        <v>20</v>
      </c>
      <c r="G277" s="27">
        <v>120</v>
      </c>
      <c r="H277" s="20">
        <v>4</v>
      </c>
      <c r="I277" s="20">
        <v>1</v>
      </c>
      <c r="J277" s="20">
        <v>100</v>
      </c>
      <c r="K277" s="20">
        <v>1</v>
      </c>
      <c r="L277" s="20"/>
      <c r="M277" s="20"/>
      <c r="N277" s="20"/>
      <c r="O277" s="23" t="s">
        <v>751</v>
      </c>
      <c r="P277" s="22">
        <f t="shared" si="4"/>
        <v>21020275</v>
      </c>
      <c r="Q277" s="20">
        <v>12</v>
      </c>
    </row>
    <row r="278" spans="1:17" x14ac:dyDescent="0.15">
      <c r="A278" s="22">
        <v>21020275</v>
      </c>
      <c r="B278" s="20" t="s">
        <v>570</v>
      </c>
      <c r="C278" s="20" t="s">
        <v>550</v>
      </c>
      <c r="D278" s="20" t="s">
        <v>462</v>
      </c>
      <c r="E278" s="20">
        <v>13</v>
      </c>
      <c r="F278" s="20">
        <v>21</v>
      </c>
      <c r="G278" s="27">
        <v>120</v>
      </c>
      <c r="H278" s="20">
        <v>4</v>
      </c>
      <c r="I278" s="20">
        <v>1</v>
      </c>
      <c r="J278" s="20">
        <v>105</v>
      </c>
      <c r="K278" s="20">
        <v>1</v>
      </c>
      <c r="L278" s="20"/>
      <c r="M278" s="20"/>
      <c r="N278" s="20"/>
      <c r="O278" s="23" t="s">
        <v>751</v>
      </c>
      <c r="P278" s="22">
        <f t="shared" si="4"/>
        <v>21020276</v>
      </c>
      <c r="Q278" s="20">
        <v>12</v>
      </c>
    </row>
    <row r="279" spans="1:17" x14ac:dyDescent="0.15">
      <c r="A279" s="22">
        <v>21020276</v>
      </c>
      <c r="B279" s="20" t="s">
        <v>570</v>
      </c>
      <c r="C279" s="20" t="s">
        <v>551</v>
      </c>
      <c r="D279" s="20" t="s">
        <v>462</v>
      </c>
      <c r="E279" s="20">
        <v>13</v>
      </c>
      <c r="F279" s="20">
        <v>22</v>
      </c>
      <c r="G279" s="27">
        <v>120</v>
      </c>
      <c r="H279" s="20">
        <v>4</v>
      </c>
      <c r="I279" s="20">
        <v>1</v>
      </c>
      <c r="J279" s="20">
        <v>110</v>
      </c>
      <c r="K279" s="20">
        <v>1</v>
      </c>
      <c r="L279" s="20"/>
      <c r="M279" s="20"/>
      <c r="N279" s="20"/>
      <c r="O279" s="23" t="s">
        <v>751</v>
      </c>
      <c r="P279" s="22">
        <f t="shared" si="4"/>
        <v>21020277</v>
      </c>
      <c r="Q279" s="20">
        <v>12</v>
      </c>
    </row>
    <row r="280" spans="1:17" x14ac:dyDescent="0.15">
      <c r="A280" s="22">
        <v>21020277</v>
      </c>
      <c r="B280" s="20" t="s">
        <v>570</v>
      </c>
      <c r="C280" s="20" t="s">
        <v>552</v>
      </c>
      <c r="D280" s="20" t="s">
        <v>462</v>
      </c>
      <c r="E280" s="20">
        <v>13</v>
      </c>
      <c r="F280" s="20">
        <v>23</v>
      </c>
      <c r="G280" s="27">
        <v>120</v>
      </c>
      <c r="H280" s="20">
        <v>4</v>
      </c>
      <c r="I280" s="20">
        <v>1</v>
      </c>
      <c r="J280" s="20">
        <v>115</v>
      </c>
      <c r="K280" s="20">
        <v>1</v>
      </c>
      <c r="L280" s="20"/>
      <c r="M280" s="20"/>
      <c r="N280" s="20"/>
      <c r="O280" s="23" t="s">
        <v>751</v>
      </c>
      <c r="P280" s="22">
        <f t="shared" si="4"/>
        <v>21020278</v>
      </c>
      <c r="Q280" s="20">
        <v>12</v>
      </c>
    </row>
    <row r="281" spans="1:17" x14ac:dyDescent="0.15">
      <c r="A281" s="22">
        <v>21020278</v>
      </c>
      <c r="B281" s="20" t="s">
        <v>570</v>
      </c>
      <c r="C281" s="20" t="s">
        <v>553</v>
      </c>
      <c r="D281" s="20" t="s">
        <v>462</v>
      </c>
      <c r="E281" s="20">
        <v>13</v>
      </c>
      <c r="F281" s="20">
        <v>24</v>
      </c>
      <c r="G281" s="27">
        <v>120</v>
      </c>
      <c r="H281" s="20">
        <v>4</v>
      </c>
      <c r="I281" s="20">
        <v>1</v>
      </c>
      <c r="J281" s="20">
        <v>120</v>
      </c>
      <c r="K281" s="20">
        <v>1</v>
      </c>
      <c r="L281" s="20"/>
      <c r="M281" s="20"/>
      <c r="N281" s="20"/>
      <c r="O281" s="23" t="s">
        <v>751</v>
      </c>
      <c r="P281" s="22">
        <f t="shared" si="4"/>
        <v>0</v>
      </c>
      <c r="Q281" s="20">
        <v>12</v>
      </c>
    </row>
    <row r="282" spans="1:17" x14ac:dyDescent="0.15">
      <c r="A282" s="22">
        <v>21020279</v>
      </c>
      <c r="B282" s="20" t="s">
        <v>571</v>
      </c>
      <c r="C282" s="20" t="s">
        <v>437</v>
      </c>
      <c r="D282" s="20" t="s">
        <v>465</v>
      </c>
      <c r="E282" s="20">
        <v>14</v>
      </c>
      <c r="F282" s="20">
        <v>1</v>
      </c>
      <c r="G282" s="27">
        <v>120</v>
      </c>
      <c r="H282" s="20">
        <v>6</v>
      </c>
      <c r="I282" s="20">
        <v>1</v>
      </c>
      <c r="J282" s="20">
        <v>2</v>
      </c>
      <c r="K282" s="20">
        <v>1</v>
      </c>
      <c r="L282" s="20"/>
      <c r="M282" s="20"/>
      <c r="N282" s="20"/>
      <c r="O282" s="23" t="s">
        <v>751</v>
      </c>
      <c r="P282" s="22">
        <f t="shared" si="4"/>
        <v>21020280</v>
      </c>
      <c r="Q282" s="20">
        <v>10</v>
      </c>
    </row>
    <row r="283" spans="1:17" x14ac:dyDescent="0.15">
      <c r="A283" s="22">
        <v>21020280</v>
      </c>
      <c r="B283" s="20" t="s">
        <v>571</v>
      </c>
      <c r="C283" s="20" t="s">
        <v>438</v>
      </c>
      <c r="D283" s="20" t="s">
        <v>464</v>
      </c>
      <c r="E283" s="20">
        <v>14</v>
      </c>
      <c r="F283" s="20">
        <v>2</v>
      </c>
      <c r="G283" s="27">
        <v>120</v>
      </c>
      <c r="H283" s="20">
        <v>6</v>
      </c>
      <c r="I283" s="20">
        <v>1</v>
      </c>
      <c r="J283" s="20">
        <v>3</v>
      </c>
      <c r="K283" s="20">
        <v>1</v>
      </c>
      <c r="L283" s="20"/>
      <c r="M283" s="20"/>
      <c r="N283" s="20"/>
      <c r="O283" s="23" t="s">
        <v>751</v>
      </c>
      <c r="P283" s="22">
        <f t="shared" si="4"/>
        <v>21020281</v>
      </c>
      <c r="Q283" s="20">
        <v>10</v>
      </c>
    </row>
    <row r="284" spans="1:17" x14ac:dyDescent="0.15">
      <c r="A284" s="22">
        <v>21020281</v>
      </c>
      <c r="B284" s="20" t="s">
        <v>571</v>
      </c>
      <c r="C284" s="20" t="s">
        <v>439</v>
      </c>
      <c r="D284" s="20" t="s">
        <v>464</v>
      </c>
      <c r="E284" s="20">
        <v>14</v>
      </c>
      <c r="F284" s="20">
        <v>3</v>
      </c>
      <c r="G284" s="27">
        <v>120</v>
      </c>
      <c r="H284" s="20">
        <v>6</v>
      </c>
      <c r="I284" s="20">
        <v>1</v>
      </c>
      <c r="J284" s="20">
        <v>4</v>
      </c>
      <c r="K284" s="20">
        <v>1</v>
      </c>
      <c r="L284" s="20"/>
      <c r="M284" s="20"/>
      <c r="N284" s="20"/>
      <c r="O284" s="23" t="s">
        <v>751</v>
      </c>
      <c r="P284" s="22">
        <f t="shared" si="4"/>
        <v>21020282</v>
      </c>
      <c r="Q284" s="20">
        <v>10</v>
      </c>
    </row>
    <row r="285" spans="1:17" x14ac:dyDescent="0.15">
      <c r="A285" s="22">
        <v>21020282</v>
      </c>
      <c r="B285" s="20" t="s">
        <v>571</v>
      </c>
      <c r="C285" s="20" t="s">
        <v>440</v>
      </c>
      <c r="D285" s="20" t="s">
        <v>464</v>
      </c>
      <c r="E285" s="20">
        <v>14</v>
      </c>
      <c r="F285" s="20">
        <v>4</v>
      </c>
      <c r="G285" s="27">
        <v>120</v>
      </c>
      <c r="H285" s="20">
        <v>6</v>
      </c>
      <c r="I285" s="20">
        <v>1</v>
      </c>
      <c r="J285" s="20">
        <v>5</v>
      </c>
      <c r="K285" s="20">
        <v>1</v>
      </c>
      <c r="L285" s="20"/>
      <c r="M285" s="20"/>
      <c r="N285" s="20"/>
      <c r="O285" s="23" t="s">
        <v>751</v>
      </c>
      <c r="P285" s="22">
        <f t="shared" si="4"/>
        <v>21020283</v>
      </c>
      <c r="Q285" s="20">
        <v>10</v>
      </c>
    </row>
    <row r="286" spans="1:17" x14ac:dyDescent="0.15">
      <c r="A286" s="22">
        <v>21020283</v>
      </c>
      <c r="B286" s="20" t="s">
        <v>571</v>
      </c>
      <c r="C286" s="20" t="s">
        <v>441</v>
      </c>
      <c r="D286" s="20" t="s">
        <v>464</v>
      </c>
      <c r="E286" s="20">
        <v>14</v>
      </c>
      <c r="F286" s="20">
        <v>5</v>
      </c>
      <c r="G286" s="27">
        <v>120</v>
      </c>
      <c r="H286" s="20">
        <v>6</v>
      </c>
      <c r="I286" s="20">
        <v>1</v>
      </c>
      <c r="J286" s="20">
        <v>6</v>
      </c>
      <c r="K286" s="20">
        <v>1</v>
      </c>
      <c r="L286" s="20"/>
      <c r="M286" s="20"/>
      <c r="N286" s="20"/>
      <c r="O286" s="23" t="s">
        <v>751</v>
      </c>
      <c r="P286" s="22">
        <f t="shared" si="4"/>
        <v>21020284</v>
      </c>
      <c r="Q286" s="20">
        <v>10</v>
      </c>
    </row>
    <row r="287" spans="1:17" x14ac:dyDescent="0.15">
      <c r="A287" s="22">
        <v>21020284</v>
      </c>
      <c r="B287" s="20" t="s">
        <v>571</v>
      </c>
      <c r="C287" s="20" t="s">
        <v>442</v>
      </c>
      <c r="D287" s="20" t="s">
        <v>464</v>
      </c>
      <c r="E287" s="20">
        <v>14</v>
      </c>
      <c r="F287" s="20">
        <v>6</v>
      </c>
      <c r="G287" s="27">
        <v>120</v>
      </c>
      <c r="H287" s="20">
        <v>6</v>
      </c>
      <c r="I287" s="20">
        <v>1</v>
      </c>
      <c r="J287" s="20">
        <v>7</v>
      </c>
      <c r="K287" s="20">
        <v>1</v>
      </c>
      <c r="L287" s="20"/>
      <c r="M287" s="20"/>
      <c r="N287" s="20"/>
      <c r="O287" s="23" t="s">
        <v>751</v>
      </c>
      <c r="P287" s="22">
        <f t="shared" si="4"/>
        <v>21020285</v>
      </c>
      <c r="Q287" s="20">
        <v>10</v>
      </c>
    </row>
    <row r="288" spans="1:17" x14ac:dyDescent="0.15">
      <c r="A288" s="22">
        <v>21020285</v>
      </c>
      <c r="B288" s="20" t="s">
        <v>571</v>
      </c>
      <c r="C288" s="20" t="s">
        <v>443</v>
      </c>
      <c r="D288" s="20" t="s">
        <v>464</v>
      </c>
      <c r="E288" s="20">
        <v>14</v>
      </c>
      <c r="F288" s="20">
        <v>7</v>
      </c>
      <c r="G288" s="27">
        <v>120</v>
      </c>
      <c r="H288" s="20">
        <v>6</v>
      </c>
      <c r="I288" s="20">
        <v>1</v>
      </c>
      <c r="J288" s="20">
        <v>8</v>
      </c>
      <c r="K288" s="20">
        <v>1</v>
      </c>
      <c r="L288" s="20"/>
      <c r="M288" s="20"/>
      <c r="N288" s="20"/>
      <c r="O288" s="23" t="s">
        <v>751</v>
      </c>
      <c r="P288" s="22">
        <f t="shared" si="4"/>
        <v>21020286</v>
      </c>
      <c r="Q288" s="20">
        <v>10</v>
      </c>
    </row>
    <row r="289" spans="1:17" x14ac:dyDescent="0.15">
      <c r="A289" s="22">
        <v>21020286</v>
      </c>
      <c r="B289" s="20" t="s">
        <v>571</v>
      </c>
      <c r="C289" s="20" t="s">
        <v>444</v>
      </c>
      <c r="D289" s="20" t="s">
        <v>464</v>
      </c>
      <c r="E289" s="20">
        <v>14</v>
      </c>
      <c r="F289" s="20">
        <v>8</v>
      </c>
      <c r="G289" s="27">
        <v>120</v>
      </c>
      <c r="H289" s="20">
        <v>6</v>
      </c>
      <c r="I289" s="20">
        <v>1</v>
      </c>
      <c r="J289" s="20">
        <v>9</v>
      </c>
      <c r="K289" s="20">
        <v>1</v>
      </c>
      <c r="L289" s="20"/>
      <c r="M289" s="20"/>
      <c r="N289" s="20"/>
      <c r="O289" s="23" t="s">
        <v>751</v>
      </c>
      <c r="P289" s="22">
        <f t="shared" si="4"/>
        <v>21020287</v>
      </c>
      <c r="Q289" s="20">
        <v>10</v>
      </c>
    </row>
    <row r="290" spans="1:17" x14ac:dyDescent="0.15">
      <c r="A290" s="22">
        <v>21020287</v>
      </c>
      <c r="B290" s="20" t="s">
        <v>571</v>
      </c>
      <c r="C290" s="20" t="s">
        <v>445</v>
      </c>
      <c r="D290" s="20" t="s">
        <v>464</v>
      </c>
      <c r="E290" s="20">
        <v>14</v>
      </c>
      <c r="F290" s="20">
        <v>9</v>
      </c>
      <c r="G290" s="27">
        <v>120</v>
      </c>
      <c r="H290" s="20">
        <v>6</v>
      </c>
      <c r="I290" s="20">
        <v>1</v>
      </c>
      <c r="J290" s="20">
        <v>10</v>
      </c>
      <c r="K290" s="20">
        <v>1</v>
      </c>
      <c r="L290" s="20"/>
      <c r="M290" s="20"/>
      <c r="N290" s="20"/>
      <c r="O290" s="23" t="s">
        <v>751</v>
      </c>
      <c r="P290" s="22">
        <f t="shared" si="4"/>
        <v>21020288</v>
      </c>
      <c r="Q290" s="20">
        <v>10</v>
      </c>
    </row>
    <row r="291" spans="1:17" x14ac:dyDescent="0.15">
      <c r="A291" s="22">
        <v>21020288</v>
      </c>
      <c r="B291" s="20" t="s">
        <v>571</v>
      </c>
      <c r="C291" s="20" t="s">
        <v>446</v>
      </c>
      <c r="D291" s="20" t="s">
        <v>464</v>
      </c>
      <c r="E291" s="20">
        <v>14</v>
      </c>
      <c r="F291" s="20">
        <v>10</v>
      </c>
      <c r="G291" s="27">
        <v>120</v>
      </c>
      <c r="H291" s="20">
        <v>6</v>
      </c>
      <c r="I291" s="20">
        <v>1</v>
      </c>
      <c r="J291" s="20">
        <v>11</v>
      </c>
      <c r="K291" s="20">
        <v>1</v>
      </c>
      <c r="L291" s="20"/>
      <c r="M291" s="20"/>
      <c r="N291" s="20"/>
      <c r="O291" s="23" t="s">
        <v>751</v>
      </c>
      <c r="P291" s="22">
        <f t="shared" si="4"/>
        <v>21020289</v>
      </c>
      <c r="Q291" s="20">
        <v>10</v>
      </c>
    </row>
    <row r="292" spans="1:17" x14ac:dyDescent="0.15">
      <c r="A292" s="22">
        <v>21020289</v>
      </c>
      <c r="B292" s="20" t="s">
        <v>571</v>
      </c>
      <c r="C292" s="20" t="s">
        <v>447</v>
      </c>
      <c r="D292" s="20" t="s">
        <v>464</v>
      </c>
      <c r="E292" s="20">
        <v>14</v>
      </c>
      <c r="F292" s="20">
        <v>11</v>
      </c>
      <c r="G292" s="27">
        <v>120</v>
      </c>
      <c r="H292" s="20">
        <v>6</v>
      </c>
      <c r="I292" s="20">
        <v>1</v>
      </c>
      <c r="J292" s="20">
        <v>12</v>
      </c>
      <c r="K292" s="20">
        <v>1</v>
      </c>
      <c r="L292" s="20"/>
      <c r="M292" s="20"/>
      <c r="N292" s="20"/>
      <c r="O292" s="23" t="s">
        <v>751</v>
      </c>
      <c r="P292" s="22">
        <f t="shared" si="4"/>
        <v>21020290</v>
      </c>
      <c r="Q292" s="20">
        <v>10</v>
      </c>
    </row>
    <row r="293" spans="1:17" x14ac:dyDescent="0.15">
      <c r="A293" s="22">
        <v>21020290</v>
      </c>
      <c r="B293" s="20" t="s">
        <v>571</v>
      </c>
      <c r="C293" s="20" t="s">
        <v>494</v>
      </c>
      <c r="D293" s="20" t="s">
        <v>464</v>
      </c>
      <c r="E293" s="20">
        <v>14</v>
      </c>
      <c r="F293" s="20">
        <v>12</v>
      </c>
      <c r="G293" s="27">
        <v>120</v>
      </c>
      <c r="H293" s="20">
        <v>6</v>
      </c>
      <c r="I293" s="20">
        <v>1</v>
      </c>
      <c r="J293" s="20">
        <v>13</v>
      </c>
      <c r="K293" s="20">
        <v>1</v>
      </c>
      <c r="L293" s="20"/>
      <c r="M293" s="20"/>
      <c r="N293" s="20"/>
      <c r="O293" s="23" t="s">
        <v>751</v>
      </c>
      <c r="P293" s="22">
        <f t="shared" si="4"/>
        <v>21020291</v>
      </c>
      <c r="Q293" s="20">
        <v>10</v>
      </c>
    </row>
    <row r="294" spans="1:17" x14ac:dyDescent="0.15">
      <c r="A294" s="22">
        <v>21020291</v>
      </c>
      <c r="B294" s="20" t="s">
        <v>571</v>
      </c>
      <c r="C294" s="20" t="s">
        <v>495</v>
      </c>
      <c r="D294" s="20" t="s">
        <v>464</v>
      </c>
      <c r="E294" s="20">
        <v>14</v>
      </c>
      <c r="F294" s="20">
        <v>13</v>
      </c>
      <c r="G294" s="27">
        <v>120</v>
      </c>
      <c r="H294" s="20">
        <v>6</v>
      </c>
      <c r="I294" s="20">
        <v>1</v>
      </c>
      <c r="J294" s="20">
        <v>14</v>
      </c>
      <c r="K294" s="20">
        <v>1</v>
      </c>
      <c r="L294" s="20"/>
      <c r="M294" s="20"/>
      <c r="N294" s="20"/>
      <c r="O294" s="23" t="s">
        <v>751</v>
      </c>
      <c r="P294" s="22">
        <f t="shared" si="4"/>
        <v>21020292</v>
      </c>
      <c r="Q294" s="20">
        <v>10</v>
      </c>
    </row>
    <row r="295" spans="1:17" x14ac:dyDescent="0.15">
      <c r="A295" s="22">
        <v>21020292</v>
      </c>
      <c r="B295" s="20" t="s">
        <v>571</v>
      </c>
      <c r="C295" s="20" t="s">
        <v>496</v>
      </c>
      <c r="D295" s="20" t="s">
        <v>464</v>
      </c>
      <c r="E295" s="20">
        <v>14</v>
      </c>
      <c r="F295" s="20">
        <v>14</v>
      </c>
      <c r="G295" s="27">
        <v>120</v>
      </c>
      <c r="H295" s="20">
        <v>6</v>
      </c>
      <c r="I295" s="20">
        <v>1</v>
      </c>
      <c r="J295" s="20">
        <v>15</v>
      </c>
      <c r="K295" s="20">
        <v>1</v>
      </c>
      <c r="L295" s="20"/>
      <c r="M295" s="20"/>
      <c r="N295" s="20"/>
      <c r="O295" s="23" t="s">
        <v>751</v>
      </c>
      <c r="P295" s="22">
        <f t="shared" si="4"/>
        <v>21020293</v>
      </c>
      <c r="Q295" s="20">
        <v>10</v>
      </c>
    </row>
    <row r="296" spans="1:17" x14ac:dyDescent="0.15">
      <c r="A296" s="22">
        <v>21020293</v>
      </c>
      <c r="B296" s="20" t="s">
        <v>571</v>
      </c>
      <c r="C296" s="20" t="s">
        <v>497</v>
      </c>
      <c r="D296" s="20" t="s">
        <v>464</v>
      </c>
      <c r="E296" s="20">
        <v>14</v>
      </c>
      <c r="F296" s="20">
        <v>15</v>
      </c>
      <c r="G296" s="27">
        <v>120</v>
      </c>
      <c r="H296" s="20">
        <v>6</v>
      </c>
      <c r="I296" s="20">
        <v>1</v>
      </c>
      <c r="J296" s="20">
        <v>16</v>
      </c>
      <c r="K296" s="20">
        <v>1</v>
      </c>
      <c r="L296" s="20"/>
      <c r="M296" s="20"/>
      <c r="N296" s="20"/>
      <c r="O296" s="23" t="s">
        <v>751</v>
      </c>
      <c r="P296" s="22">
        <f t="shared" si="4"/>
        <v>21020294</v>
      </c>
      <c r="Q296" s="20">
        <v>10</v>
      </c>
    </row>
    <row r="297" spans="1:17" x14ac:dyDescent="0.15">
      <c r="A297" s="22">
        <v>21020294</v>
      </c>
      <c r="B297" s="20" t="s">
        <v>571</v>
      </c>
      <c r="C297" s="20" t="s">
        <v>498</v>
      </c>
      <c r="D297" s="20" t="s">
        <v>464</v>
      </c>
      <c r="E297" s="20">
        <v>14</v>
      </c>
      <c r="F297" s="20">
        <v>16</v>
      </c>
      <c r="G297" s="27">
        <v>120</v>
      </c>
      <c r="H297" s="20">
        <v>6</v>
      </c>
      <c r="I297" s="20">
        <v>1</v>
      </c>
      <c r="J297" s="20">
        <v>17</v>
      </c>
      <c r="K297" s="20">
        <v>1</v>
      </c>
      <c r="L297" s="20"/>
      <c r="M297" s="20"/>
      <c r="N297" s="20"/>
      <c r="O297" s="23" t="s">
        <v>751</v>
      </c>
      <c r="P297" s="22">
        <f t="shared" si="4"/>
        <v>21020295</v>
      </c>
      <c r="Q297" s="20">
        <v>10</v>
      </c>
    </row>
    <row r="298" spans="1:17" x14ac:dyDescent="0.15">
      <c r="A298" s="22">
        <v>21020295</v>
      </c>
      <c r="B298" s="20" t="s">
        <v>571</v>
      </c>
      <c r="C298" s="20" t="s">
        <v>499</v>
      </c>
      <c r="D298" s="20" t="s">
        <v>464</v>
      </c>
      <c r="E298" s="20">
        <v>14</v>
      </c>
      <c r="F298" s="20">
        <v>17</v>
      </c>
      <c r="G298" s="27">
        <v>120</v>
      </c>
      <c r="H298" s="20">
        <v>6</v>
      </c>
      <c r="I298" s="20">
        <v>1</v>
      </c>
      <c r="J298" s="20">
        <v>18</v>
      </c>
      <c r="K298" s="20">
        <v>1</v>
      </c>
      <c r="L298" s="20"/>
      <c r="M298" s="20"/>
      <c r="N298" s="20"/>
      <c r="O298" s="23" t="s">
        <v>751</v>
      </c>
      <c r="P298" s="22">
        <f t="shared" si="4"/>
        <v>21020296</v>
      </c>
      <c r="Q298" s="20">
        <v>10</v>
      </c>
    </row>
    <row r="299" spans="1:17" x14ac:dyDescent="0.15">
      <c r="A299" s="22">
        <v>21020296</v>
      </c>
      <c r="B299" s="20" t="s">
        <v>571</v>
      </c>
      <c r="C299" s="20" t="s">
        <v>500</v>
      </c>
      <c r="D299" s="20" t="s">
        <v>464</v>
      </c>
      <c r="E299" s="20">
        <v>14</v>
      </c>
      <c r="F299" s="20">
        <v>18</v>
      </c>
      <c r="G299" s="27">
        <v>120</v>
      </c>
      <c r="H299" s="20">
        <v>6</v>
      </c>
      <c r="I299" s="20">
        <v>1</v>
      </c>
      <c r="J299" s="20">
        <v>19</v>
      </c>
      <c r="K299" s="20">
        <v>1</v>
      </c>
      <c r="L299" s="20"/>
      <c r="M299" s="20"/>
      <c r="N299" s="20"/>
      <c r="O299" s="23" t="s">
        <v>751</v>
      </c>
      <c r="P299" s="22">
        <f t="shared" si="4"/>
        <v>21020297</v>
      </c>
      <c r="Q299" s="20">
        <v>10</v>
      </c>
    </row>
    <row r="300" spans="1:17" x14ac:dyDescent="0.15">
      <c r="A300" s="22">
        <v>21020297</v>
      </c>
      <c r="B300" s="20" t="s">
        <v>571</v>
      </c>
      <c r="C300" s="20" t="s">
        <v>501</v>
      </c>
      <c r="D300" s="20" t="s">
        <v>464</v>
      </c>
      <c r="E300" s="20">
        <v>14</v>
      </c>
      <c r="F300" s="20">
        <v>19</v>
      </c>
      <c r="G300" s="27">
        <v>120</v>
      </c>
      <c r="H300" s="20">
        <v>6</v>
      </c>
      <c r="I300" s="20">
        <v>1</v>
      </c>
      <c r="J300" s="20">
        <v>20</v>
      </c>
      <c r="K300" s="20">
        <v>1</v>
      </c>
      <c r="L300" s="20"/>
      <c r="M300" s="20"/>
      <c r="N300" s="20"/>
      <c r="O300" s="23" t="s">
        <v>751</v>
      </c>
      <c r="P300" s="22">
        <f t="shared" si="4"/>
        <v>21020298</v>
      </c>
      <c r="Q300" s="20">
        <v>10</v>
      </c>
    </row>
    <row r="301" spans="1:17" x14ac:dyDescent="0.15">
      <c r="A301" s="22">
        <v>21020298</v>
      </c>
      <c r="B301" s="20" t="s">
        <v>571</v>
      </c>
      <c r="C301" s="20" t="s">
        <v>502</v>
      </c>
      <c r="D301" s="20" t="s">
        <v>464</v>
      </c>
      <c r="E301" s="20">
        <v>14</v>
      </c>
      <c r="F301" s="20">
        <v>20</v>
      </c>
      <c r="G301" s="27">
        <v>120</v>
      </c>
      <c r="H301" s="20">
        <v>6</v>
      </c>
      <c r="I301" s="20">
        <v>1</v>
      </c>
      <c r="J301" s="20">
        <v>21</v>
      </c>
      <c r="K301" s="20">
        <v>1</v>
      </c>
      <c r="L301" s="20"/>
      <c r="M301" s="20"/>
      <c r="N301" s="20"/>
      <c r="O301" s="23" t="s">
        <v>751</v>
      </c>
      <c r="P301" s="22">
        <f t="shared" si="4"/>
        <v>21020299</v>
      </c>
      <c r="Q301" s="20">
        <v>10</v>
      </c>
    </row>
    <row r="302" spans="1:17" x14ac:dyDescent="0.15">
      <c r="A302" s="22">
        <v>21020299</v>
      </c>
      <c r="B302" s="20" t="s">
        <v>571</v>
      </c>
      <c r="C302" s="20" t="s">
        <v>503</v>
      </c>
      <c r="D302" s="20" t="s">
        <v>464</v>
      </c>
      <c r="E302" s="20">
        <v>14</v>
      </c>
      <c r="F302" s="20">
        <v>21</v>
      </c>
      <c r="G302" s="27">
        <v>120</v>
      </c>
      <c r="H302" s="20">
        <v>6</v>
      </c>
      <c r="I302" s="20">
        <v>1</v>
      </c>
      <c r="J302" s="20">
        <v>22</v>
      </c>
      <c r="K302" s="20">
        <v>1</v>
      </c>
      <c r="L302" s="20"/>
      <c r="M302" s="20"/>
      <c r="N302" s="20"/>
      <c r="O302" s="23" t="s">
        <v>751</v>
      </c>
      <c r="P302" s="22">
        <f t="shared" si="4"/>
        <v>21020300</v>
      </c>
      <c r="Q302" s="20">
        <v>10</v>
      </c>
    </row>
    <row r="303" spans="1:17" x14ac:dyDescent="0.15">
      <c r="A303" s="22">
        <v>21020300</v>
      </c>
      <c r="B303" s="20" t="s">
        <v>571</v>
      </c>
      <c r="C303" s="20" t="s">
        <v>504</v>
      </c>
      <c r="D303" s="20" t="s">
        <v>464</v>
      </c>
      <c r="E303" s="20">
        <v>14</v>
      </c>
      <c r="F303" s="20">
        <v>22</v>
      </c>
      <c r="G303" s="27">
        <v>120</v>
      </c>
      <c r="H303" s="20">
        <v>6</v>
      </c>
      <c r="I303" s="20">
        <v>1</v>
      </c>
      <c r="J303" s="20">
        <v>23</v>
      </c>
      <c r="K303" s="20">
        <v>1</v>
      </c>
      <c r="L303" s="20"/>
      <c r="M303" s="20"/>
      <c r="N303" s="20"/>
      <c r="O303" s="23" t="s">
        <v>751</v>
      </c>
      <c r="P303" s="22">
        <f t="shared" si="4"/>
        <v>21020301</v>
      </c>
      <c r="Q303" s="20">
        <v>10</v>
      </c>
    </row>
    <row r="304" spans="1:17" x14ac:dyDescent="0.15">
      <c r="A304" s="22">
        <v>21020301</v>
      </c>
      <c r="B304" s="20" t="s">
        <v>571</v>
      </c>
      <c r="C304" s="20" t="s">
        <v>505</v>
      </c>
      <c r="D304" s="20" t="s">
        <v>464</v>
      </c>
      <c r="E304" s="20">
        <v>14</v>
      </c>
      <c r="F304" s="20">
        <v>23</v>
      </c>
      <c r="G304" s="27">
        <v>120</v>
      </c>
      <c r="H304" s="20">
        <v>6</v>
      </c>
      <c r="I304" s="20">
        <v>1</v>
      </c>
      <c r="J304" s="20">
        <v>24</v>
      </c>
      <c r="K304" s="20">
        <v>1</v>
      </c>
      <c r="L304" s="20"/>
      <c r="M304" s="20"/>
      <c r="N304" s="20"/>
      <c r="O304" s="23" t="s">
        <v>751</v>
      </c>
      <c r="P304" s="22">
        <f t="shared" si="4"/>
        <v>0</v>
      </c>
      <c r="Q304" s="20">
        <v>10</v>
      </c>
    </row>
    <row r="305" spans="1:17" x14ac:dyDescent="0.15">
      <c r="A305" s="22">
        <v>21020302</v>
      </c>
      <c r="B305" s="20" t="s">
        <v>572</v>
      </c>
      <c r="C305" s="20" t="s">
        <v>554</v>
      </c>
      <c r="D305" s="20" t="s">
        <v>561</v>
      </c>
      <c r="E305" s="20">
        <v>15</v>
      </c>
      <c r="F305" s="20">
        <v>1</v>
      </c>
      <c r="G305" s="22">
        <v>25</v>
      </c>
      <c r="H305" s="20">
        <v>20</v>
      </c>
      <c r="I305" s="20">
        <v>0</v>
      </c>
      <c r="J305" s="20">
        <v>1</v>
      </c>
      <c r="K305" s="20">
        <v>1</v>
      </c>
      <c r="L305" s="20"/>
      <c r="M305" s="20"/>
      <c r="N305" s="20"/>
      <c r="O305" s="23" t="s">
        <v>576</v>
      </c>
      <c r="P305" s="22">
        <f t="shared" si="4"/>
        <v>21020303</v>
      </c>
      <c r="Q305" s="20">
        <v>20</v>
      </c>
    </row>
    <row r="306" spans="1:17" x14ac:dyDescent="0.15">
      <c r="A306" s="22">
        <v>21020303</v>
      </c>
      <c r="B306" s="20" t="s">
        <v>572</v>
      </c>
      <c r="C306" s="20" t="s">
        <v>448</v>
      </c>
      <c r="D306" s="20" t="s">
        <v>561</v>
      </c>
      <c r="E306" s="20">
        <v>15</v>
      </c>
      <c r="F306" s="20">
        <v>2</v>
      </c>
      <c r="G306" s="22">
        <v>25</v>
      </c>
      <c r="H306" s="20">
        <v>20</v>
      </c>
      <c r="I306" s="20">
        <v>0</v>
      </c>
      <c r="J306" s="20">
        <v>2</v>
      </c>
      <c r="K306" s="20">
        <v>1</v>
      </c>
      <c r="L306" s="20"/>
      <c r="M306" s="20"/>
      <c r="N306" s="20"/>
      <c r="O306" s="23" t="s">
        <v>576</v>
      </c>
      <c r="P306" s="22">
        <f t="shared" si="4"/>
        <v>21020304</v>
      </c>
      <c r="Q306" s="20">
        <v>20</v>
      </c>
    </row>
    <row r="307" spans="1:17" x14ac:dyDescent="0.15">
      <c r="A307" s="22">
        <v>21020304</v>
      </c>
      <c r="B307" s="20" t="s">
        <v>572</v>
      </c>
      <c r="C307" s="20" t="s">
        <v>555</v>
      </c>
      <c r="D307" s="20" t="s">
        <v>560</v>
      </c>
      <c r="E307" s="20">
        <v>15</v>
      </c>
      <c r="F307" s="20">
        <v>3</v>
      </c>
      <c r="G307" s="22">
        <v>25</v>
      </c>
      <c r="H307" s="20">
        <v>20</v>
      </c>
      <c r="I307" s="20">
        <v>0</v>
      </c>
      <c r="J307" s="20">
        <v>3</v>
      </c>
      <c r="K307" s="20">
        <v>1</v>
      </c>
      <c r="L307" s="20"/>
      <c r="M307" s="20"/>
      <c r="N307" s="20"/>
      <c r="O307" s="23" t="s">
        <v>575</v>
      </c>
      <c r="P307" s="22">
        <f t="shared" si="4"/>
        <v>21020305</v>
      </c>
      <c r="Q307" s="20">
        <v>20</v>
      </c>
    </row>
    <row r="308" spans="1:17" x14ac:dyDescent="0.15">
      <c r="A308" s="22">
        <v>21020305</v>
      </c>
      <c r="B308" s="20" t="s">
        <v>572</v>
      </c>
      <c r="C308" s="20" t="s">
        <v>449</v>
      </c>
      <c r="D308" s="20" t="s">
        <v>560</v>
      </c>
      <c r="E308" s="20">
        <v>15</v>
      </c>
      <c r="F308" s="20">
        <v>4</v>
      </c>
      <c r="G308" s="22">
        <v>25</v>
      </c>
      <c r="H308" s="20">
        <v>20</v>
      </c>
      <c r="I308" s="20">
        <v>0</v>
      </c>
      <c r="J308" s="20">
        <v>4</v>
      </c>
      <c r="K308" s="20">
        <v>1</v>
      </c>
      <c r="L308" s="20"/>
      <c r="M308" s="20"/>
      <c r="N308" s="20"/>
      <c r="O308" s="23" t="s">
        <v>575</v>
      </c>
      <c r="P308" s="22">
        <f t="shared" si="4"/>
        <v>21020306</v>
      </c>
      <c r="Q308" s="20">
        <v>20</v>
      </c>
    </row>
    <row r="309" spans="1:17" x14ac:dyDescent="0.15">
      <c r="A309" s="22">
        <v>21020306</v>
      </c>
      <c r="B309" s="20" t="s">
        <v>572</v>
      </c>
      <c r="C309" s="20" t="s">
        <v>556</v>
      </c>
      <c r="D309" s="20" t="s">
        <v>560</v>
      </c>
      <c r="E309" s="20">
        <v>15</v>
      </c>
      <c r="F309" s="20">
        <v>5</v>
      </c>
      <c r="G309" s="22">
        <v>25</v>
      </c>
      <c r="H309" s="20">
        <v>20</v>
      </c>
      <c r="I309" s="20">
        <v>0</v>
      </c>
      <c r="J309" s="20">
        <v>5</v>
      </c>
      <c r="K309" s="20">
        <v>1</v>
      </c>
      <c r="L309" s="20"/>
      <c r="M309" s="20"/>
      <c r="N309" s="20"/>
      <c r="O309" s="23" t="s">
        <v>575</v>
      </c>
      <c r="P309" s="22">
        <f t="shared" si="4"/>
        <v>21020307</v>
      </c>
      <c r="Q309" s="20">
        <v>20</v>
      </c>
    </row>
    <row r="310" spans="1:17" x14ac:dyDescent="0.15">
      <c r="A310" s="22">
        <v>21020307</v>
      </c>
      <c r="B310" s="20" t="s">
        <v>572</v>
      </c>
      <c r="C310" s="20" t="s">
        <v>450</v>
      </c>
      <c r="D310" s="20" t="s">
        <v>560</v>
      </c>
      <c r="E310" s="20">
        <v>15</v>
      </c>
      <c r="F310" s="20">
        <v>6</v>
      </c>
      <c r="G310" s="22">
        <v>25</v>
      </c>
      <c r="H310" s="20">
        <v>20</v>
      </c>
      <c r="I310" s="20">
        <v>0</v>
      </c>
      <c r="J310" s="20">
        <v>6</v>
      </c>
      <c r="K310" s="20">
        <v>1</v>
      </c>
      <c r="L310" s="20"/>
      <c r="M310" s="20"/>
      <c r="N310" s="20"/>
      <c r="O310" s="23" t="s">
        <v>574</v>
      </c>
      <c r="P310" s="22">
        <f t="shared" si="4"/>
        <v>21020308</v>
      </c>
      <c r="Q310" s="20">
        <v>20</v>
      </c>
    </row>
    <row r="311" spans="1:17" x14ac:dyDescent="0.15">
      <c r="A311" s="22">
        <v>21020308</v>
      </c>
      <c r="B311" s="20" t="s">
        <v>572</v>
      </c>
      <c r="C311" s="20" t="s">
        <v>557</v>
      </c>
      <c r="D311" s="20" t="s">
        <v>560</v>
      </c>
      <c r="E311" s="20">
        <v>15</v>
      </c>
      <c r="F311" s="20">
        <v>7</v>
      </c>
      <c r="G311" s="22">
        <v>25</v>
      </c>
      <c r="H311" s="20">
        <v>20</v>
      </c>
      <c r="I311" s="20">
        <v>0</v>
      </c>
      <c r="J311" s="20">
        <v>7</v>
      </c>
      <c r="K311" s="20">
        <v>1</v>
      </c>
      <c r="L311" s="20"/>
      <c r="M311" s="20"/>
      <c r="N311" s="20"/>
      <c r="O311" s="23" t="s">
        <v>574</v>
      </c>
      <c r="P311" s="22">
        <f t="shared" si="4"/>
        <v>21020309</v>
      </c>
      <c r="Q311" s="20">
        <v>20</v>
      </c>
    </row>
    <row r="312" spans="1:17" x14ac:dyDescent="0.15">
      <c r="A312" s="22">
        <v>21020309</v>
      </c>
      <c r="B312" s="20" t="s">
        <v>572</v>
      </c>
      <c r="C312" s="20" t="s">
        <v>451</v>
      </c>
      <c r="D312" s="20" t="s">
        <v>560</v>
      </c>
      <c r="E312" s="20">
        <v>15</v>
      </c>
      <c r="F312" s="20">
        <v>8</v>
      </c>
      <c r="G312" s="22">
        <v>25</v>
      </c>
      <c r="H312" s="20">
        <v>20</v>
      </c>
      <c r="I312" s="20">
        <v>0</v>
      </c>
      <c r="J312" s="20">
        <v>8</v>
      </c>
      <c r="K312" s="20">
        <v>1</v>
      </c>
      <c r="L312" s="20"/>
      <c r="M312" s="20"/>
      <c r="N312" s="20"/>
      <c r="O312" s="23" t="s">
        <v>574</v>
      </c>
      <c r="P312" s="22">
        <f t="shared" si="4"/>
        <v>21020310</v>
      </c>
      <c r="Q312" s="20">
        <v>20</v>
      </c>
    </row>
    <row r="313" spans="1:17" x14ac:dyDescent="0.15">
      <c r="A313" s="22">
        <v>21020310</v>
      </c>
      <c r="B313" s="20" t="s">
        <v>572</v>
      </c>
      <c r="C313" s="20" t="s">
        <v>558</v>
      </c>
      <c r="D313" s="20" t="s">
        <v>560</v>
      </c>
      <c r="E313" s="20">
        <v>15</v>
      </c>
      <c r="F313" s="20">
        <v>9</v>
      </c>
      <c r="G313" s="22">
        <v>25</v>
      </c>
      <c r="H313" s="20">
        <v>20</v>
      </c>
      <c r="I313" s="20">
        <v>0</v>
      </c>
      <c r="J313" s="20">
        <v>9</v>
      </c>
      <c r="K313" s="20">
        <v>1</v>
      </c>
      <c r="L313" s="20"/>
      <c r="M313" s="20"/>
      <c r="N313" s="20"/>
      <c r="O313" s="23" t="s">
        <v>574</v>
      </c>
      <c r="P313" s="22">
        <f t="shared" si="4"/>
        <v>21020311</v>
      </c>
      <c r="Q313" s="20">
        <v>20</v>
      </c>
    </row>
    <row r="314" spans="1:17" x14ac:dyDescent="0.15">
      <c r="A314" s="22">
        <v>21020311</v>
      </c>
      <c r="B314" s="20" t="s">
        <v>572</v>
      </c>
      <c r="C314" s="20" t="s">
        <v>452</v>
      </c>
      <c r="D314" s="20" t="s">
        <v>560</v>
      </c>
      <c r="E314" s="20">
        <v>15</v>
      </c>
      <c r="F314" s="20">
        <v>10</v>
      </c>
      <c r="G314" s="22">
        <v>25</v>
      </c>
      <c r="H314" s="20">
        <v>20</v>
      </c>
      <c r="I314" s="20">
        <v>0</v>
      </c>
      <c r="J314" s="20">
        <v>10</v>
      </c>
      <c r="K314" s="20">
        <v>1</v>
      </c>
      <c r="L314" s="20"/>
      <c r="M314" s="20"/>
      <c r="N314" s="20"/>
      <c r="O314" s="23" t="s">
        <v>574</v>
      </c>
      <c r="P314" s="22">
        <f t="shared" si="4"/>
        <v>21020312</v>
      </c>
      <c r="Q314" s="20">
        <v>20</v>
      </c>
    </row>
    <row r="315" spans="1:17" x14ac:dyDescent="0.15">
      <c r="A315" s="22">
        <v>21020312</v>
      </c>
      <c r="B315" s="20" t="s">
        <v>572</v>
      </c>
      <c r="C315" s="20" t="s">
        <v>559</v>
      </c>
      <c r="D315" s="20" t="s">
        <v>560</v>
      </c>
      <c r="E315" s="20">
        <v>15</v>
      </c>
      <c r="F315" s="20">
        <v>11</v>
      </c>
      <c r="G315" s="22">
        <v>25</v>
      </c>
      <c r="H315" s="20">
        <v>20</v>
      </c>
      <c r="I315" s="20">
        <v>0</v>
      </c>
      <c r="J315" s="20">
        <v>11</v>
      </c>
      <c r="K315" s="20">
        <v>1</v>
      </c>
      <c r="L315" s="20"/>
      <c r="M315" s="20"/>
      <c r="N315" s="20"/>
      <c r="O315" s="23" t="s">
        <v>574</v>
      </c>
      <c r="P315" s="22">
        <f t="shared" si="4"/>
        <v>21020313</v>
      </c>
      <c r="Q315" s="20">
        <v>20</v>
      </c>
    </row>
    <row r="316" spans="1:17" x14ac:dyDescent="0.15">
      <c r="A316" s="22">
        <v>21020313</v>
      </c>
      <c r="B316" s="20" t="s">
        <v>572</v>
      </c>
      <c r="C316" s="20" t="s">
        <v>453</v>
      </c>
      <c r="D316" s="20" t="s">
        <v>560</v>
      </c>
      <c r="E316" s="20">
        <v>15</v>
      </c>
      <c r="F316" s="20">
        <v>12</v>
      </c>
      <c r="G316" s="22">
        <v>25</v>
      </c>
      <c r="H316" s="20">
        <v>20</v>
      </c>
      <c r="I316" s="20">
        <v>0</v>
      </c>
      <c r="J316" s="20">
        <v>12</v>
      </c>
      <c r="K316" s="20">
        <v>1</v>
      </c>
      <c r="L316" s="20"/>
      <c r="M316" s="20"/>
      <c r="N316" s="20"/>
      <c r="O316" s="23" t="s">
        <v>574</v>
      </c>
      <c r="P316" s="22">
        <f t="shared" si="4"/>
        <v>0</v>
      </c>
      <c r="Q316" s="20">
        <v>20</v>
      </c>
    </row>
    <row r="317" spans="1:17" x14ac:dyDescent="0.15">
      <c r="A317" s="22">
        <v>21020314</v>
      </c>
      <c r="B317" s="20" t="s">
        <v>750</v>
      </c>
      <c r="C317" s="20" t="s">
        <v>585</v>
      </c>
      <c r="D317" s="20" t="s">
        <v>563</v>
      </c>
      <c r="E317" s="20">
        <v>16</v>
      </c>
      <c r="F317" s="20">
        <v>1</v>
      </c>
      <c r="G317" s="22">
        <v>20</v>
      </c>
      <c r="H317" s="20">
        <v>19</v>
      </c>
      <c r="I317" s="20">
        <v>0</v>
      </c>
      <c r="J317" s="20">
        <v>2</v>
      </c>
      <c r="K317" s="20">
        <v>1</v>
      </c>
      <c r="L317" s="20"/>
      <c r="M317" s="20"/>
      <c r="N317" s="20"/>
      <c r="O317" s="23" t="s">
        <v>578</v>
      </c>
      <c r="P317" s="22">
        <f t="shared" si="4"/>
        <v>21020315</v>
      </c>
      <c r="Q317" s="20">
        <v>20</v>
      </c>
    </row>
    <row r="318" spans="1:17" x14ac:dyDescent="0.15">
      <c r="A318" s="22">
        <v>21020315</v>
      </c>
      <c r="B318" s="20" t="s">
        <v>750</v>
      </c>
      <c r="C318" s="20" t="s">
        <v>586</v>
      </c>
      <c r="D318" s="20" t="s">
        <v>563</v>
      </c>
      <c r="E318" s="20">
        <v>16</v>
      </c>
      <c r="F318" s="20">
        <v>2</v>
      </c>
      <c r="G318" s="22">
        <v>20</v>
      </c>
      <c r="H318" s="20">
        <v>19</v>
      </c>
      <c r="I318" s="20">
        <v>0</v>
      </c>
      <c r="J318" s="20">
        <v>3</v>
      </c>
      <c r="K318" s="20">
        <v>1</v>
      </c>
      <c r="L318" s="20"/>
      <c r="M318" s="20"/>
      <c r="N318" s="20"/>
      <c r="O318" s="23" t="s">
        <v>578</v>
      </c>
      <c r="P318" s="22">
        <f t="shared" si="4"/>
        <v>21020316</v>
      </c>
      <c r="Q318" s="20">
        <v>20</v>
      </c>
    </row>
    <row r="319" spans="1:17" x14ac:dyDescent="0.15">
      <c r="A319" s="22">
        <v>21020316</v>
      </c>
      <c r="B319" s="20" t="s">
        <v>750</v>
      </c>
      <c r="C319" s="20" t="s">
        <v>587</v>
      </c>
      <c r="D319" s="20" t="s">
        <v>562</v>
      </c>
      <c r="E319" s="20">
        <v>16</v>
      </c>
      <c r="F319" s="20">
        <v>3</v>
      </c>
      <c r="G319" s="22">
        <v>20</v>
      </c>
      <c r="H319" s="20">
        <v>19</v>
      </c>
      <c r="I319" s="20">
        <v>0</v>
      </c>
      <c r="J319" s="20">
        <v>4</v>
      </c>
      <c r="K319" s="20">
        <v>1</v>
      </c>
      <c r="L319" s="20"/>
      <c r="M319" s="20"/>
      <c r="N319" s="20"/>
      <c r="O319" s="23" t="s">
        <v>577</v>
      </c>
      <c r="P319" s="22">
        <f t="shared" si="4"/>
        <v>21020317</v>
      </c>
      <c r="Q319" s="20">
        <v>20</v>
      </c>
    </row>
    <row r="320" spans="1:17" x14ac:dyDescent="0.15">
      <c r="A320" s="22">
        <v>21020317</v>
      </c>
      <c r="B320" s="20" t="s">
        <v>750</v>
      </c>
      <c r="C320" s="20" t="s">
        <v>588</v>
      </c>
      <c r="D320" s="20" t="s">
        <v>562</v>
      </c>
      <c r="E320" s="20">
        <v>16</v>
      </c>
      <c r="F320" s="20">
        <v>4</v>
      </c>
      <c r="G320" s="22">
        <v>20</v>
      </c>
      <c r="H320" s="20">
        <v>19</v>
      </c>
      <c r="I320" s="20">
        <v>0</v>
      </c>
      <c r="J320" s="20">
        <v>5</v>
      </c>
      <c r="K320" s="20">
        <v>1</v>
      </c>
      <c r="L320" s="20"/>
      <c r="M320" s="20"/>
      <c r="N320" s="20"/>
      <c r="O320" s="23" t="s">
        <v>577</v>
      </c>
      <c r="P320" s="22">
        <f t="shared" si="4"/>
        <v>21020318</v>
      </c>
      <c r="Q320" s="20">
        <v>20</v>
      </c>
    </row>
    <row r="321" spans="1:17" x14ac:dyDescent="0.15">
      <c r="A321" s="22">
        <v>21020318</v>
      </c>
      <c r="B321" s="20" t="s">
        <v>750</v>
      </c>
      <c r="C321" s="20" t="s">
        <v>589</v>
      </c>
      <c r="D321" s="20" t="s">
        <v>562</v>
      </c>
      <c r="E321" s="20">
        <v>16</v>
      </c>
      <c r="F321" s="20">
        <v>5</v>
      </c>
      <c r="G321" s="22">
        <v>20</v>
      </c>
      <c r="H321" s="20">
        <v>19</v>
      </c>
      <c r="I321" s="20">
        <v>0</v>
      </c>
      <c r="J321" s="20">
        <v>6</v>
      </c>
      <c r="K321" s="20">
        <v>1</v>
      </c>
      <c r="L321" s="20"/>
      <c r="M321" s="20"/>
      <c r="N321" s="20"/>
      <c r="O321" s="23" t="s">
        <v>577</v>
      </c>
      <c r="P321" s="22">
        <f t="shared" si="4"/>
        <v>0</v>
      </c>
      <c r="Q321" s="20">
        <v>20</v>
      </c>
    </row>
  </sheetData>
  <phoneticPr fontId="11" type="noConversion"/>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0"/>
  <sheetViews>
    <sheetView workbookViewId="0">
      <selection activeCell="A45" sqref="A45"/>
    </sheetView>
  </sheetViews>
  <sheetFormatPr defaultColWidth="9" defaultRowHeight="13.5" x14ac:dyDescent="0.15"/>
  <cols>
    <col min="1" max="1" width="7.5" customWidth="1"/>
    <col min="2" max="2" width="10.5" customWidth="1"/>
    <col min="4" max="4" width="7.5" customWidth="1"/>
    <col min="5" max="5" width="9" customWidth="1"/>
    <col min="8" max="8" width="7.5" customWidth="1"/>
    <col min="9" max="9" width="10.5" customWidth="1"/>
    <col min="11" max="11" width="7.5" customWidth="1"/>
    <col min="12" max="12" width="10.5" customWidth="1"/>
  </cols>
  <sheetData>
    <row r="1" spans="1:12" x14ac:dyDescent="0.15">
      <c r="A1" s="2">
        <v>18010201</v>
      </c>
      <c r="B1" s="3" t="s">
        <v>46</v>
      </c>
      <c r="D1" s="4">
        <f ca="1">INDIRECT("A"&amp;ROW()*4)</f>
        <v>18010204</v>
      </c>
      <c r="E1" s="4" t="str">
        <f ca="1">INDIRECT("B"&amp;ROW()*4)</f>
        <v>团战可以输</v>
      </c>
      <c r="H1" s="2" t="s">
        <v>47</v>
      </c>
      <c r="I1" s="2" t="s">
        <v>48</v>
      </c>
      <c r="K1" s="4" t="str">
        <f ca="1">INDIRECT("H"&amp;ROW()*2)</f>
        <v>18020102</v>
      </c>
      <c r="L1" s="4" t="str">
        <f ca="1">INDIRECT("I"&amp;ROW()*2)</f>
        <v>蒙氏菜刀</v>
      </c>
    </row>
    <row r="2" spans="1:12" x14ac:dyDescent="0.15">
      <c r="A2" s="2">
        <v>18010202</v>
      </c>
      <c r="B2" s="3" t="s">
        <v>49</v>
      </c>
      <c r="D2" s="4" t="str">
        <f ca="1">INDIRECT("A"&amp;ROW()*4)</f>
        <v>18010208</v>
      </c>
      <c r="E2" s="4" t="str">
        <f t="shared" ref="E2" ca="1" si="0">INDIRECT("B"&amp;ROW()*4)</f>
        <v>BIU~BIU~</v>
      </c>
      <c r="H2" s="2" t="s">
        <v>50</v>
      </c>
      <c r="I2" s="2" t="s">
        <v>51</v>
      </c>
      <c r="K2" s="4" t="str">
        <f t="shared" ref="K2" ca="1" si="1">INDIRECT("H"&amp;ROW()*2)</f>
        <v>18020104</v>
      </c>
      <c r="L2" s="4" t="str">
        <f t="shared" ref="L2" ca="1" si="2">INDIRECT("I"&amp;ROW()*2)</f>
        <v>发抖的小喵喵</v>
      </c>
    </row>
    <row r="3" spans="1:12" x14ac:dyDescent="0.15">
      <c r="A3" s="2">
        <v>18010203</v>
      </c>
      <c r="B3" s="3" t="s">
        <v>52</v>
      </c>
      <c r="D3" s="4" t="str">
        <f t="shared" ref="D3" ca="1" si="3">INDIRECT("A"&amp;ROW()*4)</f>
        <v>18010304</v>
      </c>
      <c r="E3" s="4" t="str">
        <f t="shared" ref="E3:E26" ca="1" si="4">INDIRECT("B"&amp;ROW()*4)</f>
        <v>奶妈给你爱</v>
      </c>
      <c r="H3" s="2" t="s">
        <v>53</v>
      </c>
      <c r="I3" s="2" t="s">
        <v>54</v>
      </c>
      <c r="K3" s="4" t="str">
        <f t="shared" ref="K3:K34" ca="1" si="5">INDIRECT("H"&amp;ROW()*2)</f>
        <v>18020106</v>
      </c>
      <c r="L3" s="4" t="str">
        <f t="shared" ref="L3:L34" ca="1" si="6">INDIRECT("I"&amp;ROW()*2)</f>
        <v>宿命的旋转</v>
      </c>
    </row>
    <row r="4" spans="1:12" x14ac:dyDescent="0.15">
      <c r="A4" s="2">
        <v>18010204</v>
      </c>
      <c r="B4" s="3" t="s">
        <v>55</v>
      </c>
      <c r="D4" s="4" t="str">
        <f t="shared" ref="D4:D26" ca="1" si="7">INDIRECT("A"&amp;ROW()*4)</f>
        <v>18010308</v>
      </c>
      <c r="E4" s="4" t="str">
        <f t="shared" ca="1" si="4"/>
        <v>空间传送</v>
      </c>
      <c r="H4" s="2" t="s">
        <v>56</v>
      </c>
      <c r="I4" s="2" t="s">
        <v>57</v>
      </c>
      <c r="K4" s="4" t="str">
        <f t="shared" ca="1" si="5"/>
        <v>18020202</v>
      </c>
      <c r="L4" s="4" t="str">
        <f t="shared" ca="1" si="6"/>
        <v>十薇九坑</v>
      </c>
    </row>
    <row r="5" spans="1:12" x14ac:dyDescent="0.15">
      <c r="A5" s="2">
        <v>18010205</v>
      </c>
      <c r="B5" s="3" t="s">
        <v>58</v>
      </c>
      <c r="D5" s="4" t="str">
        <f t="shared" ca="1" si="7"/>
        <v>18010404</v>
      </c>
      <c r="E5" s="4" t="str">
        <f t="shared" ca="1" si="4"/>
        <v>瞬步</v>
      </c>
      <c r="H5" s="2" t="s">
        <v>59</v>
      </c>
      <c r="I5" s="2" t="s">
        <v>60</v>
      </c>
      <c r="K5" s="4" t="str">
        <f t="shared" ca="1" si="5"/>
        <v>18020204</v>
      </c>
      <c r="L5" s="4" t="str">
        <f t="shared" ca="1" si="6"/>
        <v>团战可以输</v>
      </c>
    </row>
    <row r="6" spans="1:12" x14ac:dyDescent="0.15">
      <c r="A6" s="2">
        <v>18010206</v>
      </c>
      <c r="B6" s="3" t="s">
        <v>61</v>
      </c>
      <c r="D6" s="4" t="str">
        <f t="shared" ca="1" si="7"/>
        <v>18010408</v>
      </c>
      <c r="E6" s="4" t="str">
        <f t="shared" ca="1" si="4"/>
        <v>灵魂榨汁机</v>
      </c>
      <c r="H6" s="2" t="s">
        <v>62</v>
      </c>
      <c r="I6" s="2" t="s">
        <v>63</v>
      </c>
      <c r="K6" s="4" t="str">
        <f t="shared" ca="1" si="5"/>
        <v>18020206</v>
      </c>
      <c r="L6" s="4" t="str">
        <f t="shared" ca="1" si="6"/>
        <v>女郎光杀炮</v>
      </c>
    </row>
    <row r="7" spans="1:12" x14ac:dyDescent="0.15">
      <c r="A7" s="2" t="s">
        <v>64</v>
      </c>
      <c r="B7" s="5" t="s">
        <v>65</v>
      </c>
      <c r="D7" s="4" t="str">
        <f t="shared" ca="1" si="7"/>
        <v>18010504</v>
      </c>
      <c r="E7" s="4" t="str">
        <f t="shared" ca="1" si="4"/>
        <v>鸡蛋碰石头</v>
      </c>
      <c r="H7" s="2" t="s">
        <v>66</v>
      </c>
      <c r="I7" s="2" t="s">
        <v>46</v>
      </c>
      <c r="K7" s="4" t="str">
        <f t="shared" ca="1" si="5"/>
        <v>18020208</v>
      </c>
      <c r="L7" s="4" t="str">
        <f t="shared" ca="1" si="6"/>
        <v>BIU~BIU~</v>
      </c>
    </row>
    <row r="8" spans="1:12" x14ac:dyDescent="0.15">
      <c r="A8" s="2" t="s">
        <v>67</v>
      </c>
      <c r="B8" s="5" t="s">
        <v>68</v>
      </c>
      <c r="D8" s="4" t="str">
        <f t="shared" ca="1" si="7"/>
        <v>18010508</v>
      </c>
      <c r="E8" s="4" t="str">
        <f t="shared" ca="1" si="4"/>
        <v>悲伤的绷带</v>
      </c>
      <c r="H8" s="2" t="s">
        <v>69</v>
      </c>
      <c r="I8" s="2" t="s">
        <v>49</v>
      </c>
      <c r="K8" s="4" t="str">
        <f t="shared" ca="1" si="5"/>
        <v>18020302</v>
      </c>
      <c r="L8" s="4" t="str">
        <f t="shared" ca="1" si="6"/>
        <v>易剑连</v>
      </c>
    </row>
    <row r="9" spans="1:12" x14ac:dyDescent="0.15">
      <c r="A9" s="2" t="s">
        <v>70</v>
      </c>
      <c r="B9" s="5" t="s">
        <v>71</v>
      </c>
      <c r="D9" s="4" t="str">
        <f t="shared" ca="1" si="7"/>
        <v>18010604</v>
      </c>
      <c r="E9" s="4" t="str">
        <f t="shared" ca="1" si="4"/>
        <v>兄弟</v>
      </c>
      <c r="H9" s="2" t="s">
        <v>72</v>
      </c>
      <c r="I9" s="2" t="s">
        <v>52</v>
      </c>
      <c r="K9" s="4" t="str">
        <f t="shared" ca="1" si="5"/>
        <v>18020304</v>
      </c>
      <c r="L9" s="4" t="str">
        <f t="shared" ca="1" si="6"/>
        <v>奶妈给你爱</v>
      </c>
    </row>
    <row r="10" spans="1:12" x14ac:dyDescent="0.15">
      <c r="A10" s="2" t="s">
        <v>73</v>
      </c>
      <c r="B10" s="5" t="s">
        <v>74</v>
      </c>
      <c r="D10" s="4" t="str">
        <f t="shared" ca="1" si="7"/>
        <v>18010608</v>
      </c>
      <c r="E10" s="4" t="str">
        <f t="shared" ca="1" si="4"/>
        <v>铁手拦江</v>
      </c>
      <c r="H10" s="2" t="s">
        <v>75</v>
      </c>
      <c r="I10" s="2" t="s">
        <v>55</v>
      </c>
      <c r="K10" s="4" t="str">
        <f t="shared" ca="1" si="5"/>
        <v>18020306</v>
      </c>
      <c r="L10" s="4" t="str">
        <f t="shared" ca="1" si="6"/>
        <v>手术菜刀</v>
      </c>
    </row>
    <row r="11" spans="1:12" x14ac:dyDescent="0.15">
      <c r="A11" s="2" t="s">
        <v>76</v>
      </c>
      <c r="B11" s="3" t="s">
        <v>77</v>
      </c>
      <c r="D11" s="4" t="str">
        <f t="shared" ca="1" si="7"/>
        <v>18010704</v>
      </c>
      <c r="E11" s="4" t="str">
        <f t="shared" ca="1" si="4"/>
        <v>迷雾</v>
      </c>
      <c r="H11" s="2" t="s">
        <v>78</v>
      </c>
      <c r="I11" s="2" t="s">
        <v>58</v>
      </c>
      <c r="K11" s="4" t="str">
        <f t="shared" ca="1" si="5"/>
        <v>18020308</v>
      </c>
      <c r="L11" s="4" t="str">
        <f t="shared" ca="1" si="6"/>
        <v>空间传送</v>
      </c>
    </row>
    <row r="12" spans="1:12" x14ac:dyDescent="0.15">
      <c r="A12" s="2" t="s">
        <v>79</v>
      </c>
      <c r="B12" s="3" t="s">
        <v>80</v>
      </c>
      <c r="D12" s="4" t="str">
        <f t="shared" ca="1" si="7"/>
        <v>18010708</v>
      </c>
      <c r="E12" s="4" t="str">
        <f t="shared" ca="1" si="4"/>
        <v>穿云箭</v>
      </c>
      <c r="H12" s="2" t="s">
        <v>81</v>
      </c>
      <c r="I12" s="2" t="s">
        <v>61</v>
      </c>
      <c r="K12" s="4" t="str">
        <f t="shared" ca="1" si="5"/>
        <v>18020402</v>
      </c>
      <c r="L12" s="4" t="str">
        <f t="shared" ca="1" si="6"/>
        <v>横冲直撞</v>
      </c>
    </row>
    <row r="13" spans="1:12" x14ac:dyDescent="0.15">
      <c r="A13" s="2" t="s">
        <v>82</v>
      </c>
      <c r="B13" s="5" t="s">
        <v>83</v>
      </c>
      <c r="D13" s="4" t="str">
        <f t="shared" ca="1" si="7"/>
        <v>18010804</v>
      </c>
      <c r="E13" s="4" t="str">
        <f t="shared" ca="1" si="4"/>
        <v>焦背熊</v>
      </c>
      <c r="H13" s="2" t="s">
        <v>84</v>
      </c>
      <c r="I13" s="2" t="s">
        <v>65</v>
      </c>
      <c r="K13" s="4" t="str">
        <f t="shared" ca="1" si="5"/>
        <v>18020404</v>
      </c>
      <c r="L13" s="4" t="str">
        <f t="shared" ca="1" si="6"/>
        <v>瞬步</v>
      </c>
    </row>
    <row r="14" spans="1:12" x14ac:dyDescent="0.15">
      <c r="A14" s="2" t="s">
        <v>85</v>
      </c>
      <c r="B14" s="5" t="s">
        <v>86</v>
      </c>
      <c r="D14" s="4" t="str">
        <f t="shared" ca="1" si="7"/>
        <v>18010808</v>
      </c>
      <c r="E14" s="4" t="str">
        <f t="shared" ca="1" si="4"/>
        <v>健忘萌医</v>
      </c>
      <c r="H14" s="2" t="s">
        <v>87</v>
      </c>
      <c r="I14" s="2" t="s">
        <v>68</v>
      </c>
      <c r="K14" s="4" t="str">
        <f t="shared" ca="1" si="5"/>
        <v>18020406</v>
      </c>
      <c r="L14" s="4" t="str">
        <f t="shared" ca="1" si="6"/>
        <v>大杀四方</v>
      </c>
    </row>
    <row r="15" spans="1:12" x14ac:dyDescent="0.15">
      <c r="A15" s="2" t="s">
        <v>88</v>
      </c>
      <c r="B15" s="5" t="s">
        <v>89</v>
      </c>
      <c r="D15" s="4" t="str">
        <f t="shared" ca="1" si="7"/>
        <v>18010904</v>
      </c>
      <c r="E15" s="4" t="str">
        <f t="shared" ca="1" si="4"/>
        <v>α与β</v>
      </c>
      <c r="H15" s="2" t="s">
        <v>90</v>
      </c>
      <c r="I15" s="2" t="s">
        <v>71</v>
      </c>
      <c r="K15" s="4" t="str">
        <f t="shared" ca="1" si="5"/>
        <v>18020408</v>
      </c>
      <c r="L15" s="4" t="str">
        <f t="shared" ca="1" si="6"/>
        <v>灵魂榨汁机</v>
      </c>
    </row>
    <row r="16" spans="1:12" x14ac:dyDescent="0.15">
      <c r="A16" s="2" t="s">
        <v>91</v>
      </c>
      <c r="B16" s="5" t="s">
        <v>92</v>
      </c>
      <c r="D16" s="4" t="str">
        <f t="shared" ca="1" si="7"/>
        <v>18010908</v>
      </c>
      <c r="E16" s="4" t="str">
        <f t="shared" ca="1" si="4"/>
        <v>队长在送命</v>
      </c>
      <c r="H16" s="2" t="s">
        <v>93</v>
      </c>
      <c r="I16" s="2" t="s">
        <v>74</v>
      </c>
      <c r="K16" s="4" t="str">
        <f t="shared" ca="1" si="5"/>
        <v>18020502</v>
      </c>
      <c r="L16" s="4" t="str">
        <f t="shared" ca="1" si="6"/>
        <v>真银箭</v>
      </c>
    </row>
    <row r="17" spans="1:12" x14ac:dyDescent="0.15">
      <c r="A17" s="2" t="s">
        <v>94</v>
      </c>
      <c r="B17" s="3" t="s">
        <v>95</v>
      </c>
      <c r="D17" s="4" t="str">
        <f t="shared" ca="1" si="7"/>
        <v>18011004</v>
      </c>
      <c r="E17" s="4" t="str">
        <f t="shared" ca="1" si="4"/>
        <v>蛮石</v>
      </c>
      <c r="H17" s="2" t="s">
        <v>96</v>
      </c>
      <c r="I17" s="2" t="s">
        <v>77</v>
      </c>
      <c r="K17" s="4" t="str">
        <f t="shared" ca="1" si="5"/>
        <v>18020504</v>
      </c>
      <c r="L17" s="4" t="str">
        <f t="shared" ca="1" si="6"/>
        <v>鸡蛋碰石头</v>
      </c>
    </row>
    <row r="18" spans="1:12" x14ac:dyDescent="0.15">
      <c r="A18" s="2" t="s">
        <v>97</v>
      </c>
      <c r="B18" s="3" t="s">
        <v>98</v>
      </c>
      <c r="D18" s="4" t="str">
        <f t="shared" ca="1" si="7"/>
        <v>18011008</v>
      </c>
      <c r="E18" s="4" t="str">
        <f t="shared" ca="1" si="4"/>
        <v>剑刃与意志</v>
      </c>
      <c r="H18" s="2" t="s">
        <v>99</v>
      </c>
      <c r="I18" s="2" t="s">
        <v>80</v>
      </c>
      <c r="K18" s="4" t="str">
        <f t="shared" ca="1" si="5"/>
        <v>18020506</v>
      </c>
      <c r="L18" s="4" t="str">
        <f t="shared" ca="1" si="6"/>
        <v>技术流</v>
      </c>
    </row>
    <row r="19" spans="1:12" x14ac:dyDescent="0.15">
      <c r="A19" s="2" t="s">
        <v>100</v>
      </c>
      <c r="B19" s="5" t="s">
        <v>101</v>
      </c>
      <c r="D19" s="4" t="str">
        <f t="shared" ca="1" si="7"/>
        <v>18011104</v>
      </c>
      <c r="E19" s="4" t="str">
        <f t="shared" ca="1" si="4"/>
        <v>跃动</v>
      </c>
      <c r="H19" s="2" t="s">
        <v>102</v>
      </c>
      <c r="I19" s="2" t="s">
        <v>83</v>
      </c>
      <c r="K19" s="4" t="str">
        <f t="shared" ca="1" si="5"/>
        <v>18020508</v>
      </c>
      <c r="L19" s="4" t="str">
        <f t="shared" ca="1" si="6"/>
        <v>悲伤的绷带</v>
      </c>
    </row>
    <row r="20" spans="1:12" x14ac:dyDescent="0.15">
      <c r="A20" s="2" t="s">
        <v>103</v>
      </c>
      <c r="B20" s="5" t="s">
        <v>104</v>
      </c>
      <c r="D20" s="4" t="str">
        <f t="shared" ca="1" si="7"/>
        <v>18011108</v>
      </c>
      <c r="E20" s="4" t="str">
        <f t="shared" ca="1" si="4"/>
        <v>草丛王者</v>
      </c>
      <c r="H20" s="2" t="s">
        <v>105</v>
      </c>
      <c r="I20" s="2" t="s">
        <v>86</v>
      </c>
      <c r="K20" s="4" t="str">
        <f t="shared" ca="1" si="5"/>
        <v>18020602</v>
      </c>
      <c r="L20" s="4" t="str">
        <f t="shared" ca="1" si="6"/>
        <v>星语聆听</v>
      </c>
    </row>
    <row r="21" spans="1:12" x14ac:dyDescent="0.15">
      <c r="A21" s="2" t="s">
        <v>106</v>
      </c>
      <c r="B21" s="5" t="s">
        <v>107</v>
      </c>
      <c r="D21" s="4" t="str">
        <f t="shared" ca="1" si="7"/>
        <v>18011204</v>
      </c>
      <c r="E21" s="4" t="str">
        <f t="shared" ca="1" si="4"/>
        <v>灌铅骰子</v>
      </c>
      <c r="H21" s="2" t="s">
        <v>108</v>
      </c>
      <c r="I21" s="2" t="s">
        <v>89</v>
      </c>
      <c r="K21" s="4" t="str">
        <f t="shared" ca="1" si="5"/>
        <v>18020604</v>
      </c>
      <c r="L21" s="4" t="str">
        <f t="shared" ca="1" si="6"/>
        <v>兄弟</v>
      </c>
    </row>
    <row r="22" spans="1:12" x14ac:dyDescent="0.15">
      <c r="A22" s="2" t="s">
        <v>109</v>
      </c>
      <c r="B22" s="5" t="s">
        <v>110</v>
      </c>
      <c r="D22" s="4" t="str">
        <f t="shared" ca="1" si="7"/>
        <v>18011208</v>
      </c>
      <c r="E22" s="4" t="str">
        <f t="shared" ca="1" si="4"/>
        <v>姐姐是杀手</v>
      </c>
      <c r="H22" s="2" t="s">
        <v>111</v>
      </c>
      <c r="I22" s="2" t="s">
        <v>92</v>
      </c>
      <c r="K22" s="4" t="str">
        <f t="shared" ca="1" si="5"/>
        <v>18020606</v>
      </c>
      <c r="L22" s="4" t="str">
        <f t="shared" ca="1" si="6"/>
        <v>汪汪汪</v>
      </c>
    </row>
    <row r="23" spans="1:12" x14ac:dyDescent="0.15">
      <c r="A23" s="2" t="s">
        <v>112</v>
      </c>
      <c r="B23" s="3" t="s">
        <v>113</v>
      </c>
      <c r="D23" s="4" t="str">
        <f t="shared" ca="1" si="7"/>
        <v>18011304</v>
      </c>
      <c r="E23" s="4" t="str">
        <f t="shared" ca="1" si="4"/>
        <v>咏叹</v>
      </c>
      <c r="H23" s="2" t="s">
        <v>114</v>
      </c>
      <c r="I23" s="2" t="s">
        <v>95</v>
      </c>
      <c r="K23" s="4" t="str">
        <f t="shared" ca="1" si="5"/>
        <v>18020608</v>
      </c>
      <c r="L23" s="4" t="str">
        <f t="shared" ca="1" si="6"/>
        <v>铁手拦江</v>
      </c>
    </row>
    <row r="24" spans="1:12" x14ac:dyDescent="0.15">
      <c r="A24" s="2" t="s">
        <v>115</v>
      </c>
      <c r="B24" s="3" t="s">
        <v>116</v>
      </c>
      <c r="D24" s="4" t="str">
        <f t="shared" ca="1" si="7"/>
        <v>18011308</v>
      </c>
      <c r="E24" s="4" t="str">
        <f t="shared" ca="1" si="4"/>
        <v>矮矬穷</v>
      </c>
      <c r="H24" s="2" t="s">
        <v>117</v>
      </c>
      <c r="I24" s="2" t="s">
        <v>98</v>
      </c>
      <c r="K24" s="4" t="str">
        <f t="shared" ca="1" si="5"/>
        <v>18020702</v>
      </c>
      <c r="L24" s="4" t="str">
        <f t="shared" ca="1" si="6"/>
        <v>千王之王</v>
      </c>
    </row>
    <row r="25" spans="1:12" x14ac:dyDescent="0.15">
      <c r="A25" s="2" t="s">
        <v>118</v>
      </c>
      <c r="B25" s="5" t="s">
        <v>119</v>
      </c>
      <c r="D25" s="4" t="str">
        <f t="shared" ca="1" si="7"/>
        <v>18011404</v>
      </c>
      <c r="E25" s="4" t="str">
        <f t="shared" ca="1" si="4"/>
        <v>罪与罚</v>
      </c>
      <c r="H25" s="2" t="s">
        <v>120</v>
      </c>
      <c r="I25" s="2" t="s">
        <v>101</v>
      </c>
      <c r="K25" s="4" t="str">
        <f t="shared" ca="1" si="5"/>
        <v>18020704</v>
      </c>
      <c r="L25" s="4" t="str">
        <f t="shared" ca="1" si="6"/>
        <v>迷雾</v>
      </c>
    </row>
    <row r="26" spans="1:12" x14ac:dyDescent="0.15">
      <c r="A26" s="2" t="s">
        <v>121</v>
      </c>
      <c r="B26" s="5" t="s">
        <v>122</v>
      </c>
      <c r="D26" s="4" t="str">
        <f t="shared" ca="1" si="7"/>
        <v>18011408</v>
      </c>
      <c r="E26" s="4" t="str">
        <f t="shared" ca="1" si="4"/>
        <v>无极之道</v>
      </c>
      <c r="H26" s="2" t="s">
        <v>123</v>
      </c>
      <c r="I26" s="2" t="s">
        <v>104</v>
      </c>
      <c r="K26" s="4" t="str">
        <f t="shared" ca="1" si="5"/>
        <v>18020706</v>
      </c>
      <c r="L26" s="4" t="str">
        <f t="shared" ca="1" si="6"/>
        <v>双生彩虹</v>
      </c>
    </row>
    <row r="27" spans="1:12" x14ac:dyDescent="0.15">
      <c r="A27" s="2" t="s">
        <v>124</v>
      </c>
      <c r="B27" s="5" t="s">
        <v>125</v>
      </c>
      <c r="D27" s="4"/>
      <c r="E27" s="4"/>
      <c r="H27" s="2" t="s">
        <v>126</v>
      </c>
      <c r="I27" s="2" t="s">
        <v>107</v>
      </c>
      <c r="K27" s="4" t="str">
        <f t="shared" ca="1" si="5"/>
        <v>18020708</v>
      </c>
      <c r="L27" s="4" t="str">
        <f t="shared" ca="1" si="6"/>
        <v>穿云箭</v>
      </c>
    </row>
    <row r="28" spans="1:12" x14ac:dyDescent="0.15">
      <c r="A28" s="2" t="s">
        <v>127</v>
      </c>
      <c r="B28" s="5" t="s">
        <v>128</v>
      </c>
      <c r="D28" s="4"/>
      <c r="E28" s="4"/>
      <c r="H28" s="2" t="s">
        <v>129</v>
      </c>
      <c r="I28" s="2" t="s">
        <v>110</v>
      </c>
      <c r="K28" s="4" t="str">
        <f t="shared" ca="1" si="5"/>
        <v>18020802</v>
      </c>
      <c r="L28" s="4" t="str">
        <f t="shared" ca="1" si="6"/>
        <v>陷阵</v>
      </c>
    </row>
    <row r="29" spans="1:12" x14ac:dyDescent="0.15">
      <c r="A29" s="2" t="s">
        <v>130</v>
      </c>
      <c r="B29" s="3" t="s">
        <v>131</v>
      </c>
      <c r="D29" s="4"/>
      <c r="E29" s="4"/>
      <c r="H29" s="2" t="s">
        <v>132</v>
      </c>
      <c r="I29" s="2" t="s">
        <v>113</v>
      </c>
      <c r="K29" s="4" t="str">
        <f t="shared" ca="1" si="5"/>
        <v>18020804</v>
      </c>
      <c r="L29" s="4" t="str">
        <f t="shared" ca="1" si="6"/>
        <v>焦背熊</v>
      </c>
    </row>
    <row r="30" spans="1:12" x14ac:dyDescent="0.15">
      <c r="A30" s="2" t="s">
        <v>133</v>
      </c>
      <c r="B30" s="3" t="s">
        <v>134</v>
      </c>
      <c r="D30" s="4"/>
      <c r="E30" s="4"/>
      <c r="H30" s="2" t="s">
        <v>135</v>
      </c>
      <c r="I30" s="2" t="s">
        <v>116</v>
      </c>
      <c r="K30" s="4" t="str">
        <f t="shared" ca="1" si="5"/>
        <v>18020806</v>
      </c>
      <c r="L30" s="4" t="str">
        <f t="shared" ca="1" si="6"/>
        <v>符文草席</v>
      </c>
    </row>
    <row r="31" spans="1:12" x14ac:dyDescent="0.15">
      <c r="A31" s="2" t="s">
        <v>136</v>
      </c>
      <c r="B31" s="5" t="s">
        <v>137</v>
      </c>
      <c r="D31" s="4"/>
      <c r="E31" s="4"/>
      <c r="H31" s="2" t="s">
        <v>138</v>
      </c>
      <c r="I31" s="2" t="s">
        <v>119</v>
      </c>
      <c r="K31" s="4" t="str">
        <f t="shared" ca="1" si="5"/>
        <v>18020808</v>
      </c>
      <c r="L31" s="4" t="str">
        <f t="shared" ca="1" si="6"/>
        <v>健忘萌医</v>
      </c>
    </row>
    <row r="32" spans="1:12" x14ac:dyDescent="0.15">
      <c r="A32" s="2" t="s">
        <v>139</v>
      </c>
      <c r="B32" s="5" t="s">
        <v>140</v>
      </c>
      <c r="D32" s="4"/>
      <c r="E32" s="4"/>
      <c r="H32" s="2" t="s">
        <v>141</v>
      </c>
      <c r="I32" s="2" t="s">
        <v>122</v>
      </c>
      <c r="K32" s="4" t="str">
        <f t="shared" ca="1" si="5"/>
        <v>18020902</v>
      </c>
      <c r="L32" s="4" t="str">
        <f t="shared" ca="1" si="6"/>
        <v>戈壁暴君</v>
      </c>
    </row>
    <row r="33" spans="1:12" x14ac:dyDescent="0.15">
      <c r="A33" s="2" t="s">
        <v>142</v>
      </c>
      <c r="B33" s="5" t="s">
        <v>143</v>
      </c>
      <c r="D33" s="4"/>
      <c r="E33" s="4"/>
      <c r="H33" s="2" t="s">
        <v>144</v>
      </c>
      <c r="I33" s="2" t="s">
        <v>125</v>
      </c>
      <c r="K33" s="4" t="str">
        <f t="shared" ca="1" si="5"/>
        <v>18020904</v>
      </c>
      <c r="L33" s="4" t="str">
        <f t="shared" ca="1" si="6"/>
        <v>α与β</v>
      </c>
    </row>
    <row r="34" spans="1:12" x14ac:dyDescent="0.15">
      <c r="A34" s="2" t="s">
        <v>145</v>
      </c>
      <c r="B34" s="5" t="s">
        <v>146</v>
      </c>
      <c r="D34" s="4"/>
      <c r="E34" s="4"/>
      <c r="H34" s="2" t="s">
        <v>147</v>
      </c>
      <c r="I34" s="2" t="s">
        <v>128</v>
      </c>
      <c r="K34" s="4" t="str">
        <f t="shared" ca="1" si="5"/>
        <v>18020906</v>
      </c>
      <c r="L34" s="4" t="str">
        <f t="shared" ca="1" si="6"/>
        <v>鹰击长空</v>
      </c>
    </row>
    <row r="35" spans="1:12" x14ac:dyDescent="0.15">
      <c r="A35" s="2" t="s">
        <v>148</v>
      </c>
      <c r="B35" s="3" t="s">
        <v>149</v>
      </c>
      <c r="D35" s="4"/>
      <c r="E35" s="4"/>
      <c r="H35" s="2" t="s">
        <v>150</v>
      </c>
      <c r="I35" s="2" t="s">
        <v>131</v>
      </c>
      <c r="K35" s="4" t="str">
        <f t="shared" ref="K35:K55" ca="1" si="8">INDIRECT("H"&amp;ROW()*2)</f>
        <v>18020908</v>
      </c>
      <c r="L35" s="4" t="str">
        <f t="shared" ref="L35:L55" ca="1" si="9">INDIRECT("I"&amp;ROW()*2)</f>
        <v>队长在送命</v>
      </c>
    </row>
    <row r="36" spans="1:12" x14ac:dyDescent="0.15">
      <c r="A36" s="2" t="s">
        <v>151</v>
      </c>
      <c r="B36" s="3" t="s">
        <v>152</v>
      </c>
      <c r="D36" s="4"/>
      <c r="E36" s="4"/>
      <c r="H36" s="2" t="s">
        <v>153</v>
      </c>
      <c r="I36" s="2" t="s">
        <v>134</v>
      </c>
      <c r="K36" s="4" t="str">
        <f t="shared" ca="1" si="8"/>
        <v>18021002</v>
      </c>
      <c r="L36" s="4" t="str">
        <f t="shared" ca="1" si="9"/>
        <v>星界祝福</v>
      </c>
    </row>
    <row r="37" spans="1:12" x14ac:dyDescent="0.15">
      <c r="A37" s="2" t="s">
        <v>154</v>
      </c>
      <c r="B37" s="2" t="s">
        <v>155</v>
      </c>
      <c r="D37" s="4"/>
      <c r="E37" s="4"/>
      <c r="H37" s="2" t="s">
        <v>156</v>
      </c>
      <c r="I37" s="2" t="s">
        <v>137</v>
      </c>
      <c r="K37" s="4" t="str">
        <f t="shared" ca="1" si="8"/>
        <v>18021004</v>
      </c>
      <c r="L37" s="4" t="str">
        <f t="shared" ca="1" si="9"/>
        <v>蛮石</v>
      </c>
    </row>
    <row r="38" spans="1:12" x14ac:dyDescent="0.15">
      <c r="A38" s="2" t="s">
        <v>157</v>
      </c>
      <c r="B38" s="2" t="s">
        <v>158</v>
      </c>
      <c r="D38" s="4"/>
      <c r="E38" s="4"/>
      <c r="H38" s="2" t="s">
        <v>159</v>
      </c>
      <c r="I38" s="2" t="s">
        <v>140</v>
      </c>
      <c r="K38" s="4" t="str">
        <f t="shared" ca="1" si="8"/>
        <v>18021006</v>
      </c>
      <c r="L38" s="4" t="str">
        <f t="shared" ca="1" si="9"/>
        <v>暗黑小学生</v>
      </c>
    </row>
    <row r="39" spans="1:12" x14ac:dyDescent="0.15">
      <c r="A39" s="2" t="s">
        <v>160</v>
      </c>
      <c r="B39" s="2" t="s">
        <v>161</v>
      </c>
      <c r="D39" s="4"/>
      <c r="E39" s="4"/>
      <c r="H39" s="2" t="s">
        <v>162</v>
      </c>
      <c r="I39" s="2" t="s">
        <v>143</v>
      </c>
      <c r="K39" s="4" t="str">
        <f t="shared" ca="1" si="8"/>
        <v>18021008</v>
      </c>
      <c r="L39" s="4" t="str">
        <f t="shared" ca="1" si="9"/>
        <v>剑刃与意志</v>
      </c>
    </row>
    <row r="40" spans="1:12" x14ac:dyDescent="0.15">
      <c r="A40" s="2" t="s">
        <v>163</v>
      </c>
      <c r="B40" s="2" t="s">
        <v>164</v>
      </c>
      <c r="D40" s="4"/>
      <c r="E40" s="4"/>
      <c r="H40" s="2" t="s">
        <v>165</v>
      </c>
      <c r="I40" s="2" t="s">
        <v>146</v>
      </c>
      <c r="K40" s="4" t="str">
        <f t="shared" ca="1" si="8"/>
        <v>18021102</v>
      </c>
      <c r="L40" s="4" t="str">
        <f t="shared" ca="1" si="9"/>
        <v>二重唱</v>
      </c>
    </row>
    <row r="41" spans="1:12" x14ac:dyDescent="0.15">
      <c r="A41" s="2" t="s">
        <v>166</v>
      </c>
      <c r="B41" s="2" t="s">
        <v>167</v>
      </c>
      <c r="D41" s="6"/>
      <c r="E41" s="6"/>
      <c r="H41" s="2" t="s">
        <v>168</v>
      </c>
      <c r="I41" s="2" t="s">
        <v>149</v>
      </c>
      <c r="K41" s="4" t="str">
        <f t="shared" ca="1" si="8"/>
        <v>18021104</v>
      </c>
      <c r="L41" s="4" t="str">
        <f t="shared" ca="1" si="9"/>
        <v>跃动</v>
      </c>
    </row>
    <row r="42" spans="1:12" x14ac:dyDescent="0.15">
      <c r="A42" s="2" t="s">
        <v>169</v>
      </c>
      <c r="B42" s="2" t="s">
        <v>170</v>
      </c>
      <c r="D42" s="6"/>
      <c r="E42" s="6"/>
      <c r="H42" s="2" t="s">
        <v>171</v>
      </c>
      <c r="I42" s="2" t="s">
        <v>152</v>
      </c>
      <c r="K42" s="4" t="str">
        <f t="shared" ca="1" si="8"/>
        <v>18021106</v>
      </c>
      <c r="L42" s="4" t="str">
        <f t="shared" ca="1" si="9"/>
        <v>审判圣焰</v>
      </c>
    </row>
    <row r="43" spans="1:12" x14ac:dyDescent="0.15">
      <c r="A43" s="2" t="s">
        <v>172</v>
      </c>
      <c r="B43" s="2" t="s">
        <v>173</v>
      </c>
      <c r="D43" s="6"/>
      <c r="E43" s="6"/>
      <c r="H43" s="2" t="s">
        <v>174</v>
      </c>
      <c r="I43" s="2" t="s">
        <v>155</v>
      </c>
      <c r="K43" s="4" t="str">
        <f t="shared" ca="1" si="8"/>
        <v>18021108</v>
      </c>
      <c r="L43" s="4" t="str">
        <f t="shared" ca="1" si="9"/>
        <v>草丛王者</v>
      </c>
    </row>
    <row r="44" spans="1:12" x14ac:dyDescent="0.15">
      <c r="A44" s="2" t="s">
        <v>175</v>
      </c>
      <c r="B44" s="2" t="s">
        <v>176</v>
      </c>
      <c r="D44" s="6"/>
      <c r="E44" s="6"/>
      <c r="H44" s="2" t="s">
        <v>177</v>
      </c>
      <c r="I44" s="2" t="s">
        <v>158</v>
      </c>
      <c r="K44" s="4" t="str">
        <f t="shared" ca="1" si="8"/>
        <v>18021202</v>
      </c>
      <c r="L44" s="4" t="str">
        <f t="shared" ca="1" si="9"/>
        <v>孤独诅咒</v>
      </c>
    </row>
    <row r="45" spans="1:12" x14ac:dyDescent="0.15">
      <c r="A45" s="2" t="s">
        <v>178</v>
      </c>
      <c r="B45" s="2" t="s">
        <v>179</v>
      </c>
      <c r="D45" s="6"/>
      <c r="E45" s="6"/>
      <c r="H45" s="2" t="s">
        <v>180</v>
      </c>
      <c r="I45" s="2" t="s">
        <v>161</v>
      </c>
      <c r="K45" s="4" t="str">
        <f t="shared" ca="1" si="8"/>
        <v>18021204</v>
      </c>
      <c r="L45" s="4" t="str">
        <f t="shared" ca="1" si="9"/>
        <v>灌铅骰子</v>
      </c>
    </row>
    <row r="46" spans="1:12" x14ac:dyDescent="0.15">
      <c r="A46" s="2" t="s">
        <v>181</v>
      </c>
      <c r="B46" s="2" t="s">
        <v>182</v>
      </c>
      <c r="D46" s="6"/>
      <c r="E46" s="6"/>
      <c r="H46" s="2" t="s">
        <v>183</v>
      </c>
      <c r="I46" s="2" t="s">
        <v>164</v>
      </c>
      <c r="K46" s="4" t="str">
        <f t="shared" ca="1" si="8"/>
        <v>18021206</v>
      </c>
      <c r="L46" s="4" t="str">
        <f t="shared" ca="1" si="9"/>
        <v>花岗岩</v>
      </c>
    </row>
    <row r="47" spans="1:12" x14ac:dyDescent="0.15">
      <c r="A47" s="2" t="s">
        <v>184</v>
      </c>
      <c r="B47" s="2" t="s">
        <v>185</v>
      </c>
      <c r="D47" s="6"/>
      <c r="E47" s="6"/>
      <c r="H47" s="2" t="s">
        <v>186</v>
      </c>
      <c r="I47" s="2" t="s">
        <v>167</v>
      </c>
      <c r="K47" s="4" t="str">
        <f t="shared" ca="1" si="8"/>
        <v>18021208</v>
      </c>
      <c r="L47" s="4" t="str">
        <f t="shared" ca="1" si="9"/>
        <v>姐姐是杀手</v>
      </c>
    </row>
    <row r="48" spans="1:12" x14ac:dyDescent="0.15">
      <c r="A48" s="2" t="s">
        <v>187</v>
      </c>
      <c r="B48" s="2" t="s">
        <v>188</v>
      </c>
      <c r="D48" s="6"/>
      <c r="E48" s="6"/>
      <c r="H48" s="2" t="s">
        <v>189</v>
      </c>
      <c r="I48" s="2" t="s">
        <v>170</v>
      </c>
      <c r="K48" s="4" t="str">
        <f t="shared" ca="1" si="8"/>
        <v>18021302</v>
      </c>
      <c r="L48" s="4" t="str">
        <f t="shared" ca="1" si="9"/>
        <v>新月横扫</v>
      </c>
    </row>
    <row r="49" spans="1:12" x14ac:dyDescent="0.15">
      <c r="A49" s="2" t="s">
        <v>190</v>
      </c>
      <c r="B49" s="2" t="s">
        <v>191</v>
      </c>
      <c r="D49" s="6"/>
      <c r="E49" s="6"/>
      <c r="H49" s="2" t="s">
        <v>192</v>
      </c>
      <c r="I49" s="2" t="s">
        <v>173</v>
      </c>
      <c r="K49" s="4" t="str">
        <f t="shared" ca="1" si="8"/>
        <v>18021304</v>
      </c>
      <c r="L49" s="4" t="str">
        <f t="shared" ca="1" si="9"/>
        <v>咏叹</v>
      </c>
    </row>
    <row r="50" spans="1:12" x14ac:dyDescent="0.15">
      <c r="A50" s="2" t="s">
        <v>193</v>
      </c>
      <c r="B50" s="2" t="s">
        <v>194</v>
      </c>
      <c r="D50" s="6"/>
      <c r="E50" s="6"/>
      <c r="H50" s="2" t="s">
        <v>195</v>
      </c>
      <c r="I50" s="2" t="s">
        <v>176</v>
      </c>
      <c r="K50" s="4" t="str">
        <f t="shared" ca="1" si="8"/>
        <v>18021306</v>
      </c>
      <c r="L50" s="4" t="str">
        <f t="shared" ca="1" si="9"/>
        <v>庇护</v>
      </c>
    </row>
    <row r="51" spans="1:12" x14ac:dyDescent="0.15">
      <c r="A51" s="2" t="s">
        <v>196</v>
      </c>
      <c r="B51" s="2" t="s">
        <v>197</v>
      </c>
      <c r="D51" s="6"/>
      <c r="E51" s="6"/>
      <c r="H51" s="2" t="s">
        <v>198</v>
      </c>
      <c r="I51" s="2" t="s">
        <v>179</v>
      </c>
      <c r="K51" s="4" t="str">
        <f t="shared" ca="1" si="8"/>
        <v>18021308</v>
      </c>
      <c r="L51" s="4" t="str">
        <f t="shared" ca="1" si="9"/>
        <v>矮矬穷</v>
      </c>
    </row>
    <row r="52" spans="1:12" x14ac:dyDescent="0.15">
      <c r="A52" s="2" t="s">
        <v>199</v>
      </c>
      <c r="B52" s="2" t="s">
        <v>200</v>
      </c>
      <c r="D52" s="6"/>
      <c r="E52" s="6"/>
      <c r="H52" s="2" t="s">
        <v>201</v>
      </c>
      <c r="I52" s="2" t="s">
        <v>182</v>
      </c>
      <c r="K52" s="4" t="str">
        <f t="shared" ca="1" si="8"/>
        <v>18021402</v>
      </c>
      <c r="L52" s="4" t="str">
        <f t="shared" ca="1" si="9"/>
        <v>倾盆弹雨</v>
      </c>
    </row>
    <row r="53" spans="1:12" x14ac:dyDescent="0.15">
      <c r="A53" s="2" t="s">
        <v>202</v>
      </c>
      <c r="B53" s="2" t="s">
        <v>203</v>
      </c>
      <c r="D53" s="6"/>
      <c r="E53" s="6"/>
      <c r="H53" s="2" t="s">
        <v>204</v>
      </c>
      <c r="I53" s="2" t="s">
        <v>185</v>
      </c>
      <c r="K53" s="4" t="str">
        <f t="shared" ca="1" si="8"/>
        <v>18021404</v>
      </c>
      <c r="L53" s="4" t="str">
        <f t="shared" ca="1" si="9"/>
        <v>罪与罚</v>
      </c>
    </row>
    <row r="54" spans="1:12" x14ac:dyDescent="0.15">
      <c r="A54" s="2" t="s">
        <v>205</v>
      </c>
      <c r="B54" s="2" t="s">
        <v>206</v>
      </c>
      <c r="D54" s="6"/>
      <c r="E54" s="6"/>
      <c r="H54" s="2" t="s">
        <v>207</v>
      </c>
      <c r="I54" s="2" t="s">
        <v>188</v>
      </c>
      <c r="K54" s="4" t="str">
        <f t="shared" ca="1" si="8"/>
        <v>18021406</v>
      </c>
      <c r="L54" s="4" t="str">
        <f t="shared" ca="1" si="9"/>
        <v>荒漠之咬</v>
      </c>
    </row>
    <row r="55" spans="1:12" x14ac:dyDescent="0.15">
      <c r="A55" s="2" t="s">
        <v>208</v>
      </c>
      <c r="B55" s="2" t="s">
        <v>209</v>
      </c>
      <c r="D55" s="6"/>
      <c r="E55" s="6"/>
      <c r="H55" s="2" t="s">
        <v>210</v>
      </c>
      <c r="I55" s="2" t="s">
        <v>191</v>
      </c>
      <c r="K55" s="4" t="str">
        <f t="shared" ca="1" si="8"/>
        <v>18021408</v>
      </c>
      <c r="L55" s="4" t="str">
        <f t="shared" ca="1" si="9"/>
        <v>无极之道</v>
      </c>
    </row>
    <row r="56" spans="1:12" x14ac:dyDescent="0.15">
      <c r="A56" s="2" t="s">
        <v>211</v>
      </c>
      <c r="B56" s="2" t="s">
        <v>212</v>
      </c>
      <c r="D56" s="6"/>
      <c r="E56" s="6"/>
      <c r="H56" s="2" t="s">
        <v>213</v>
      </c>
      <c r="I56" s="2" t="s">
        <v>194</v>
      </c>
      <c r="K56" s="4"/>
      <c r="L56" s="6"/>
    </row>
    <row r="57" spans="1:12" x14ac:dyDescent="0.15">
      <c r="A57" s="2" t="s">
        <v>214</v>
      </c>
      <c r="B57" s="2" t="s">
        <v>215</v>
      </c>
      <c r="D57" s="6"/>
      <c r="E57" s="6"/>
      <c r="H57" s="2" t="s">
        <v>216</v>
      </c>
      <c r="I57" s="2" t="s">
        <v>197</v>
      </c>
      <c r="K57" s="4"/>
      <c r="L57" s="6"/>
    </row>
    <row r="58" spans="1:12" x14ac:dyDescent="0.15">
      <c r="A58" s="2" t="s">
        <v>217</v>
      </c>
      <c r="B58" s="2" t="s">
        <v>218</v>
      </c>
      <c r="D58" s="6"/>
      <c r="E58" s="6"/>
      <c r="H58" s="2" t="s">
        <v>219</v>
      </c>
      <c r="I58" s="2" t="s">
        <v>200</v>
      </c>
      <c r="K58" s="4"/>
      <c r="L58" s="6"/>
    </row>
    <row r="59" spans="1:12" x14ac:dyDescent="0.15">
      <c r="A59" s="2" t="s">
        <v>220</v>
      </c>
      <c r="B59" s="2" t="s">
        <v>221</v>
      </c>
      <c r="D59" s="6"/>
      <c r="E59" s="6"/>
      <c r="H59" s="2" t="s">
        <v>222</v>
      </c>
      <c r="I59" s="3" t="s">
        <v>203</v>
      </c>
      <c r="K59" s="4"/>
      <c r="L59" s="7"/>
    </row>
    <row r="60" spans="1:12" x14ac:dyDescent="0.15">
      <c r="A60" s="2" t="s">
        <v>223</v>
      </c>
      <c r="B60" s="2" t="s">
        <v>224</v>
      </c>
      <c r="D60" s="6"/>
      <c r="E60" s="6"/>
      <c r="H60" s="2" t="s">
        <v>225</v>
      </c>
      <c r="I60" s="3" t="s">
        <v>206</v>
      </c>
      <c r="K60" s="4"/>
      <c r="L60" s="7"/>
    </row>
    <row r="61" spans="1:12" x14ac:dyDescent="0.15">
      <c r="A61" s="2" t="s">
        <v>226</v>
      </c>
      <c r="B61" s="3" t="s">
        <v>227</v>
      </c>
      <c r="D61" s="6"/>
      <c r="E61" s="6"/>
      <c r="H61" s="2" t="s">
        <v>228</v>
      </c>
      <c r="I61" s="3" t="s">
        <v>209</v>
      </c>
      <c r="K61" s="4"/>
      <c r="L61" s="7"/>
    </row>
    <row r="62" spans="1:12" x14ac:dyDescent="0.15">
      <c r="A62" s="2" t="s">
        <v>229</v>
      </c>
      <c r="B62" s="3" t="s">
        <v>230</v>
      </c>
      <c r="D62" s="6"/>
      <c r="E62" s="6"/>
      <c r="H62" s="2" t="s">
        <v>231</v>
      </c>
      <c r="I62" s="3" t="s">
        <v>212</v>
      </c>
      <c r="K62" s="4"/>
      <c r="L62" s="7"/>
    </row>
    <row r="63" spans="1:12" x14ac:dyDescent="0.15">
      <c r="A63" s="2" t="s">
        <v>232</v>
      </c>
      <c r="B63" s="3" t="s">
        <v>233</v>
      </c>
      <c r="D63" s="6"/>
      <c r="E63" s="6"/>
      <c r="H63" s="2" t="s">
        <v>234</v>
      </c>
      <c r="I63" s="3" t="s">
        <v>215</v>
      </c>
      <c r="K63" s="4"/>
      <c r="L63" s="7"/>
    </row>
    <row r="64" spans="1:12" x14ac:dyDescent="0.15">
      <c r="A64" s="2" t="s">
        <v>235</v>
      </c>
      <c r="B64" s="3" t="s">
        <v>236</v>
      </c>
      <c r="D64" s="6"/>
      <c r="E64" s="6"/>
      <c r="H64" s="2" t="s">
        <v>237</v>
      </c>
      <c r="I64" s="3" t="s">
        <v>218</v>
      </c>
      <c r="K64" s="4"/>
      <c r="L64" s="7"/>
    </row>
    <row r="65" spans="1:12" x14ac:dyDescent="0.15">
      <c r="A65" s="2" t="s">
        <v>238</v>
      </c>
      <c r="B65" s="3" t="s">
        <v>239</v>
      </c>
      <c r="D65" s="6"/>
      <c r="E65" s="6"/>
      <c r="H65" s="2" t="s">
        <v>240</v>
      </c>
      <c r="I65" s="3" t="s">
        <v>221</v>
      </c>
      <c r="K65" s="4"/>
      <c r="L65" s="7"/>
    </row>
    <row r="66" spans="1:12" x14ac:dyDescent="0.15">
      <c r="A66" s="2" t="s">
        <v>241</v>
      </c>
      <c r="B66" s="3" t="s">
        <v>242</v>
      </c>
      <c r="D66" s="6"/>
      <c r="E66" s="6"/>
      <c r="H66" s="2" t="s">
        <v>243</v>
      </c>
      <c r="I66" s="3" t="s">
        <v>224</v>
      </c>
      <c r="K66" s="4"/>
      <c r="L66" s="7"/>
    </row>
    <row r="67" spans="1:12" x14ac:dyDescent="0.15">
      <c r="A67" s="2" t="s">
        <v>244</v>
      </c>
      <c r="B67" s="3" t="s">
        <v>245</v>
      </c>
      <c r="D67" s="6"/>
      <c r="E67" s="6"/>
      <c r="H67" s="2" t="s">
        <v>246</v>
      </c>
      <c r="I67" s="3" t="s">
        <v>227</v>
      </c>
      <c r="K67" s="4"/>
      <c r="L67" s="7"/>
    </row>
    <row r="68" spans="1:12" x14ac:dyDescent="0.15">
      <c r="A68" s="2" t="s">
        <v>247</v>
      </c>
      <c r="B68" s="3" t="s">
        <v>248</v>
      </c>
      <c r="D68" s="6"/>
      <c r="E68" s="6"/>
      <c r="H68" s="2" t="s">
        <v>249</v>
      </c>
      <c r="I68" s="3" t="s">
        <v>230</v>
      </c>
      <c r="K68" s="4"/>
      <c r="L68" s="7"/>
    </row>
    <row r="69" spans="1:12" x14ac:dyDescent="0.15">
      <c r="A69" s="2" t="s">
        <v>250</v>
      </c>
      <c r="B69" s="3" t="s">
        <v>251</v>
      </c>
      <c r="D69" s="6"/>
      <c r="E69" s="6"/>
      <c r="H69" s="2" t="s">
        <v>252</v>
      </c>
      <c r="I69" s="3" t="s">
        <v>233</v>
      </c>
      <c r="K69" s="4"/>
      <c r="L69" s="7"/>
    </row>
    <row r="70" spans="1:12" x14ac:dyDescent="0.15">
      <c r="A70" s="2" t="s">
        <v>253</v>
      </c>
      <c r="B70" s="3" t="s">
        <v>254</v>
      </c>
      <c r="D70" s="6"/>
      <c r="E70" s="6"/>
      <c r="H70" s="2" t="s">
        <v>255</v>
      </c>
      <c r="I70" s="3" t="s">
        <v>236</v>
      </c>
      <c r="K70" s="4"/>
      <c r="L70" s="7"/>
    </row>
    <row r="71" spans="1:12" x14ac:dyDescent="0.15">
      <c r="A71" s="2" t="s">
        <v>256</v>
      </c>
      <c r="B71" s="3" t="s">
        <v>257</v>
      </c>
      <c r="D71" s="6"/>
      <c r="E71" s="6"/>
      <c r="H71" s="2" t="s">
        <v>258</v>
      </c>
      <c r="I71" s="3" t="s">
        <v>239</v>
      </c>
      <c r="K71" s="4"/>
      <c r="L71" s="7"/>
    </row>
    <row r="72" spans="1:12" x14ac:dyDescent="0.15">
      <c r="A72" s="2" t="s">
        <v>259</v>
      </c>
      <c r="B72" s="3" t="s">
        <v>260</v>
      </c>
      <c r="D72" s="6"/>
      <c r="E72" s="6"/>
      <c r="H72" s="2" t="s">
        <v>261</v>
      </c>
      <c r="I72" s="3" t="s">
        <v>242</v>
      </c>
      <c r="K72" s="4"/>
      <c r="L72" s="7"/>
    </row>
    <row r="73" spans="1:12" x14ac:dyDescent="0.15">
      <c r="A73" s="2" t="s">
        <v>262</v>
      </c>
      <c r="B73" s="5" t="s">
        <v>263</v>
      </c>
      <c r="D73" s="6"/>
      <c r="E73" s="6"/>
      <c r="H73" s="2" t="s">
        <v>264</v>
      </c>
      <c r="I73" s="2" t="s">
        <v>245</v>
      </c>
      <c r="K73" s="4"/>
      <c r="L73" s="6"/>
    </row>
    <row r="74" spans="1:12" x14ac:dyDescent="0.15">
      <c r="A74" s="2" t="s">
        <v>265</v>
      </c>
      <c r="B74" s="5" t="s">
        <v>266</v>
      </c>
      <c r="D74" s="6"/>
      <c r="E74" s="6"/>
      <c r="H74" s="2" t="s">
        <v>267</v>
      </c>
      <c r="I74" s="8" t="s">
        <v>248</v>
      </c>
      <c r="K74" s="4"/>
      <c r="L74" s="9"/>
    </row>
    <row r="75" spans="1:12" x14ac:dyDescent="0.15">
      <c r="A75" s="2" t="s">
        <v>268</v>
      </c>
      <c r="B75" s="5" t="s">
        <v>269</v>
      </c>
      <c r="D75" s="6"/>
      <c r="E75" s="6"/>
      <c r="H75" s="2" t="s">
        <v>270</v>
      </c>
      <c r="I75" s="8" t="s">
        <v>251</v>
      </c>
      <c r="K75" s="4"/>
      <c r="L75" s="9"/>
    </row>
    <row r="76" spans="1:12" x14ac:dyDescent="0.15">
      <c r="A76" s="2" t="s">
        <v>271</v>
      </c>
      <c r="B76" s="5" t="s">
        <v>272</v>
      </c>
      <c r="D76" s="6"/>
      <c r="E76" s="6"/>
      <c r="H76" s="2" t="s">
        <v>273</v>
      </c>
      <c r="I76" s="8" t="s">
        <v>254</v>
      </c>
      <c r="K76" s="4"/>
      <c r="L76" s="9"/>
    </row>
    <row r="77" spans="1:12" x14ac:dyDescent="0.15">
      <c r="A77" s="2" t="s">
        <v>274</v>
      </c>
      <c r="B77" s="3" t="s">
        <v>275</v>
      </c>
      <c r="D77" s="6"/>
      <c r="E77" s="6"/>
      <c r="H77" s="2" t="s">
        <v>276</v>
      </c>
      <c r="I77" s="8" t="s">
        <v>257</v>
      </c>
      <c r="K77" s="4"/>
      <c r="L77" s="9"/>
    </row>
    <row r="78" spans="1:12" x14ac:dyDescent="0.15">
      <c r="A78" s="2" t="s">
        <v>277</v>
      </c>
      <c r="B78" s="3" t="s">
        <v>278</v>
      </c>
      <c r="D78" s="6"/>
      <c r="E78" s="6"/>
      <c r="H78" s="2" t="s">
        <v>279</v>
      </c>
      <c r="I78" s="8" t="s">
        <v>260</v>
      </c>
      <c r="K78" s="4"/>
      <c r="L78" s="9"/>
    </row>
    <row r="79" spans="1:12" x14ac:dyDescent="0.15">
      <c r="A79" s="2" t="s">
        <v>280</v>
      </c>
      <c r="B79" s="5" t="s">
        <v>281</v>
      </c>
      <c r="D79" s="6"/>
      <c r="E79" s="6"/>
      <c r="H79" s="2" t="s">
        <v>282</v>
      </c>
      <c r="I79" s="8" t="s">
        <v>263</v>
      </c>
      <c r="K79" s="4"/>
      <c r="L79" s="9"/>
    </row>
    <row r="80" spans="1:12" x14ac:dyDescent="0.15">
      <c r="A80" s="2" t="s">
        <v>283</v>
      </c>
      <c r="B80" s="5" t="s">
        <v>284</v>
      </c>
      <c r="D80" s="6"/>
      <c r="E80" s="6"/>
      <c r="H80" s="2" t="s">
        <v>285</v>
      </c>
      <c r="I80" s="8" t="s">
        <v>266</v>
      </c>
      <c r="K80" s="4"/>
      <c r="L80" s="9"/>
    </row>
    <row r="81" spans="1:12" x14ac:dyDescent="0.15">
      <c r="A81" s="2" t="s">
        <v>286</v>
      </c>
      <c r="B81" s="5" t="s">
        <v>287</v>
      </c>
      <c r="D81" s="6"/>
      <c r="E81" s="6"/>
      <c r="H81" s="2" t="s">
        <v>288</v>
      </c>
      <c r="I81" s="8" t="s">
        <v>269</v>
      </c>
      <c r="K81" s="4"/>
      <c r="L81" s="9"/>
    </row>
    <row r="82" spans="1:12" x14ac:dyDescent="0.15">
      <c r="A82" s="2" t="s">
        <v>289</v>
      </c>
      <c r="B82" s="5" t="s">
        <v>290</v>
      </c>
      <c r="D82" s="6"/>
      <c r="E82" s="6"/>
      <c r="H82" s="2" t="s">
        <v>291</v>
      </c>
      <c r="I82" s="8" t="s">
        <v>272</v>
      </c>
      <c r="K82" s="4"/>
      <c r="L82" s="9"/>
    </row>
    <row r="83" spans="1:12" x14ac:dyDescent="0.15">
      <c r="A83" s="2" t="s">
        <v>292</v>
      </c>
      <c r="B83" s="3" t="s">
        <v>293</v>
      </c>
      <c r="D83" s="6"/>
      <c r="E83" s="6"/>
      <c r="H83" s="2" t="s">
        <v>294</v>
      </c>
      <c r="I83" s="8" t="s">
        <v>275</v>
      </c>
      <c r="K83" s="4"/>
      <c r="L83" s="9"/>
    </row>
    <row r="84" spans="1:12" x14ac:dyDescent="0.15">
      <c r="A84" s="2" t="s">
        <v>295</v>
      </c>
      <c r="B84" s="3" t="s">
        <v>296</v>
      </c>
      <c r="D84" s="6"/>
      <c r="E84" s="6"/>
      <c r="H84" s="2" t="s">
        <v>297</v>
      </c>
      <c r="I84" s="8" t="s">
        <v>278</v>
      </c>
      <c r="K84" s="4"/>
      <c r="L84" s="9"/>
    </row>
    <row r="85" spans="1:12" x14ac:dyDescent="0.15">
      <c r="A85" s="2" t="s">
        <v>298</v>
      </c>
      <c r="B85" s="5" t="s">
        <v>299</v>
      </c>
      <c r="D85" s="6"/>
      <c r="E85" s="6"/>
      <c r="H85" s="2" t="s">
        <v>300</v>
      </c>
      <c r="I85" s="8" t="s">
        <v>281</v>
      </c>
      <c r="K85" s="4"/>
      <c r="L85" s="9"/>
    </row>
    <row r="86" spans="1:12" x14ac:dyDescent="0.15">
      <c r="A86" s="2" t="s">
        <v>301</v>
      </c>
      <c r="B86" s="5" t="s">
        <v>302</v>
      </c>
      <c r="D86" s="6"/>
      <c r="E86" s="6"/>
      <c r="H86" s="2" t="s">
        <v>303</v>
      </c>
      <c r="I86" s="8" t="s">
        <v>284</v>
      </c>
      <c r="K86" s="4"/>
      <c r="L86" s="9"/>
    </row>
    <row r="87" spans="1:12" x14ac:dyDescent="0.15">
      <c r="A87" s="2" t="s">
        <v>304</v>
      </c>
      <c r="B87" s="5" t="s">
        <v>305</v>
      </c>
      <c r="D87" s="6"/>
      <c r="E87" s="6"/>
      <c r="H87" s="2" t="s">
        <v>306</v>
      </c>
      <c r="I87" s="8" t="s">
        <v>287</v>
      </c>
      <c r="K87" s="4"/>
      <c r="L87" s="9"/>
    </row>
    <row r="88" spans="1:12" x14ac:dyDescent="0.15">
      <c r="A88" s="2" t="s">
        <v>307</v>
      </c>
      <c r="B88" s="5" t="s">
        <v>308</v>
      </c>
      <c r="D88" s="6"/>
      <c r="E88" s="6"/>
      <c r="H88" s="2" t="s">
        <v>309</v>
      </c>
      <c r="I88" s="8" t="s">
        <v>290</v>
      </c>
      <c r="K88" s="4"/>
      <c r="L88" s="9"/>
    </row>
    <row r="89" spans="1:12" x14ac:dyDescent="0.15">
      <c r="A89" s="2" t="s">
        <v>310</v>
      </c>
      <c r="B89" s="3" t="s">
        <v>311</v>
      </c>
      <c r="D89" s="6"/>
      <c r="E89" s="6"/>
      <c r="H89" s="2" t="s">
        <v>312</v>
      </c>
      <c r="I89" s="8" t="s">
        <v>293</v>
      </c>
      <c r="K89" s="4"/>
      <c r="L89" s="9"/>
    </row>
    <row r="90" spans="1:12" x14ac:dyDescent="0.15">
      <c r="A90" s="2" t="s">
        <v>313</v>
      </c>
      <c r="B90" s="3" t="s">
        <v>314</v>
      </c>
      <c r="D90" s="6"/>
      <c r="E90" s="6"/>
      <c r="H90" s="2" t="s">
        <v>315</v>
      </c>
      <c r="I90" s="8" t="s">
        <v>296</v>
      </c>
      <c r="K90" s="4"/>
      <c r="L90" s="9"/>
    </row>
    <row r="91" spans="1:12" x14ac:dyDescent="0.15">
      <c r="A91" s="2" t="s">
        <v>316</v>
      </c>
      <c r="B91" s="5" t="s">
        <v>317</v>
      </c>
      <c r="D91" s="6"/>
      <c r="E91" s="6"/>
      <c r="H91" s="2" t="s">
        <v>318</v>
      </c>
      <c r="I91" s="8" t="s">
        <v>299</v>
      </c>
      <c r="K91" s="4"/>
      <c r="L91" s="9"/>
    </row>
    <row r="92" spans="1:12" x14ac:dyDescent="0.15">
      <c r="A92" s="2" t="s">
        <v>319</v>
      </c>
      <c r="B92" s="5" t="s">
        <v>320</v>
      </c>
      <c r="D92" s="6"/>
      <c r="E92" s="6"/>
      <c r="H92" s="2" t="s">
        <v>321</v>
      </c>
      <c r="I92" s="2" t="s">
        <v>302</v>
      </c>
      <c r="K92" s="4"/>
      <c r="L92" s="6"/>
    </row>
    <row r="93" spans="1:12" x14ac:dyDescent="0.15">
      <c r="A93" s="2" t="s">
        <v>322</v>
      </c>
      <c r="B93" s="5" t="s">
        <v>323</v>
      </c>
      <c r="D93" s="6"/>
      <c r="E93" s="6"/>
      <c r="H93" s="2" t="s">
        <v>324</v>
      </c>
      <c r="I93" s="2" t="s">
        <v>305</v>
      </c>
      <c r="K93" s="4"/>
      <c r="L93" s="6"/>
    </row>
    <row r="94" spans="1:12" x14ac:dyDescent="0.15">
      <c r="A94" s="2" t="s">
        <v>325</v>
      </c>
      <c r="B94" s="5" t="s">
        <v>326</v>
      </c>
      <c r="D94" s="6"/>
      <c r="E94" s="6"/>
      <c r="H94" s="2" t="s">
        <v>327</v>
      </c>
      <c r="I94" s="2" t="s">
        <v>308</v>
      </c>
      <c r="K94" s="4"/>
      <c r="L94" s="6"/>
    </row>
    <row r="95" spans="1:12" x14ac:dyDescent="0.15">
      <c r="A95" s="2" t="s">
        <v>328</v>
      </c>
      <c r="B95" s="3" t="s">
        <v>329</v>
      </c>
      <c r="D95" s="6"/>
      <c r="E95" s="6"/>
      <c r="H95" s="2" t="s">
        <v>330</v>
      </c>
      <c r="I95" s="2" t="s">
        <v>311</v>
      </c>
      <c r="K95" s="4"/>
      <c r="L95" s="6"/>
    </row>
    <row r="96" spans="1:12" x14ac:dyDescent="0.15">
      <c r="A96" s="2" t="s">
        <v>331</v>
      </c>
      <c r="B96" s="3" t="s">
        <v>332</v>
      </c>
      <c r="D96" s="6"/>
      <c r="E96" s="6"/>
      <c r="H96" s="2" t="s">
        <v>333</v>
      </c>
      <c r="I96" s="2" t="s">
        <v>314</v>
      </c>
      <c r="K96" s="4"/>
      <c r="L96" s="6"/>
    </row>
    <row r="97" spans="1:12" x14ac:dyDescent="0.15">
      <c r="A97" s="2" t="s">
        <v>334</v>
      </c>
      <c r="B97" s="5" t="s">
        <v>335</v>
      </c>
      <c r="D97" s="6"/>
      <c r="E97" s="6"/>
      <c r="H97" s="2" t="s">
        <v>336</v>
      </c>
      <c r="I97" s="2" t="s">
        <v>317</v>
      </c>
      <c r="K97" s="4"/>
      <c r="L97" s="6"/>
    </row>
    <row r="98" spans="1:12" x14ac:dyDescent="0.15">
      <c r="A98" s="2" t="s">
        <v>337</v>
      </c>
      <c r="B98" s="5" t="s">
        <v>338</v>
      </c>
      <c r="D98" s="6"/>
      <c r="E98" s="6"/>
      <c r="H98" s="2" t="s">
        <v>339</v>
      </c>
      <c r="I98" s="2" t="s">
        <v>320</v>
      </c>
      <c r="K98" s="4"/>
      <c r="L98" s="6"/>
    </row>
    <row r="99" spans="1:12" x14ac:dyDescent="0.15">
      <c r="A99" s="2" t="s">
        <v>340</v>
      </c>
      <c r="B99" s="5" t="s">
        <v>341</v>
      </c>
      <c r="D99" s="6"/>
      <c r="E99" s="6"/>
      <c r="H99" s="2" t="s">
        <v>342</v>
      </c>
      <c r="I99" s="2" t="s">
        <v>323</v>
      </c>
      <c r="K99" s="4"/>
      <c r="L99" s="6"/>
    </row>
    <row r="100" spans="1:12" x14ac:dyDescent="0.15">
      <c r="A100" s="2" t="s">
        <v>343</v>
      </c>
      <c r="B100" s="5" t="s">
        <v>344</v>
      </c>
      <c r="D100" s="6"/>
      <c r="E100" s="6"/>
      <c r="H100" s="2" t="s">
        <v>345</v>
      </c>
      <c r="I100" s="2" t="s">
        <v>326</v>
      </c>
      <c r="K100" s="4"/>
      <c r="L100" s="6"/>
    </row>
    <row r="101" spans="1:12" x14ac:dyDescent="0.15">
      <c r="A101" s="2" t="s">
        <v>346</v>
      </c>
      <c r="B101" s="3" t="s">
        <v>347</v>
      </c>
      <c r="D101" s="6"/>
      <c r="E101" s="6"/>
      <c r="H101" s="2" t="s">
        <v>348</v>
      </c>
      <c r="I101" s="2" t="s">
        <v>329</v>
      </c>
      <c r="K101" s="4"/>
      <c r="L101" s="6"/>
    </row>
    <row r="102" spans="1:12" x14ac:dyDescent="0.15">
      <c r="A102" s="2" t="s">
        <v>349</v>
      </c>
      <c r="B102" s="3" t="s">
        <v>350</v>
      </c>
      <c r="D102" s="6"/>
      <c r="E102" s="6"/>
      <c r="H102" s="2" t="s">
        <v>351</v>
      </c>
      <c r="I102" s="2" t="s">
        <v>332</v>
      </c>
      <c r="K102" s="4"/>
      <c r="L102" s="6"/>
    </row>
    <row r="103" spans="1:12" x14ac:dyDescent="0.15">
      <c r="A103" s="2" t="s">
        <v>352</v>
      </c>
      <c r="B103" s="2" t="s">
        <v>353</v>
      </c>
      <c r="D103" s="6"/>
      <c r="E103" s="6"/>
      <c r="H103" s="2" t="s">
        <v>354</v>
      </c>
      <c r="I103" s="2" t="s">
        <v>335</v>
      </c>
      <c r="K103" s="4"/>
      <c r="L103" s="6"/>
    </row>
    <row r="104" spans="1:12" x14ac:dyDescent="0.15">
      <c r="A104" s="2" t="s">
        <v>355</v>
      </c>
      <c r="B104" s="2" t="s">
        <v>356</v>
      </c>
      <c r="D104" s="6"/>
      <c r="E104" s="6"/>
      <c r="H104" s="2" t="s">
        <v>357</v>
      </c>
      <c r="I104" s="2" t="s">
        <v>338</v>
      </c>
      <c r="K104" s="4"/>
      <c r="L104" s="6"/>
    </row>
    <row r="105" spans="1:12" x14ac:dyDescent="0.15">
      <c r="H105" s="2" t="s">
        <v>358</v>
      </c>
      <c r="I105" s="2" t="s">
        <v>341</v>
      </c>
      <c r="K105" s="4"/>
      <c r="L105" s="6"/>
    </row>
    <row r="106" spans="1:12" x14ac:dyDescent="0.15">
      <c r="H106" s="2" t="s">
        <v>359</v>
      </c>
      <c r="I106" s="2" t="s">
        <v>344</v>
      </c>
      <c r="K106" s="4"/>
      <c r="L106" s="6"/>
    </row>
    <row r="107" spans="1:12" x14ac:dyDescent="0.15">
      <c r="H107" s="2" t="s">
        <v>360</v>
      </c>
      <c r="I107" s="2" t="s">
        <v>347</v>
      </c>
      <c r="K107" s="4"/>
      <c r="L107" s="6"/>
    </row>
    <row r="108" spans="1:12" x14ac:dyDescent="0.15">
      <c r="H108" s="2" t="s">
        <v>361</v>
      </c>
      <c r="I108" s="2" t="s">
        <v>350</v>
      </c>
      <c r="K108" s="4"/>
      <c r="L108" s="6"/>
    </row>
    <row r="109" spans="1:12" x14ac:dyDescent="0.15">
      <c r="H109" s="2" t="s">
        <v>362</v>
      </c>
      <c r="I109" s="2" t="s">
        <v>353</v>
      </c>
      <c r="K109" s="4"/>
      <c r="L109" s="6"/>
    </row>
    <row r="110" spans="1:12" x14ac:dyDescent="0.15">
      <c r="H110" s="2" t="s">
        <v>363</v>
      </c>
      <c r="I110" s="2" t="s">
        <v>356</v>
      </c>
      <c r="K110" s="4"/>
      <c r="L110" s="6"/>
    </row>
  </sheetData>
  <phoneticPr fontId="11" type="noConversion"/>
  <pageMargins left="0.69930555555555596" right="0.69930555555555596" top="0.75" bottom="0.75"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selection activeCell="G32" sqref="G1:G32"/>
    </sheetView>
  </sheetViews>
  <sheetFormatPr defaultColWidth="9" defaultRowHeight="13.5" x14ac:dyDescent="0.15"/>
  <sheetData>
    <row r="1" spans="1:7" x14ac:dyDescent="0.15">
      <c r="A1" s="1" t="s">
        <v>0</v>
      </c>
      <c r="B1">
        <v>50</v>
      </c>
      <c r="D1" t="s">
        <v>364</v>
      </c>
      <c r="F1">
        <v>2</v>
      </c>
      <c r="G1" t="str">
        <f>$F$1&amp;"-"&amp;B1</f>
        <v>2-50</v>
      </c>
    </row>
    <row r="2" spans="1:7" x14ac:dyDescent="0.15">
      <c r="A2" s="1" t="s">
        <v>4</v>
      </c>
      <c r="B2">
        <f>B1+$D$2</f>
        <v>55</v>
      </c>
      <c r="D2">
        <v>5</v>
      </c>
      <c r="G2" t="str">
        <f t="shared" ref="G2" si="0">$F$1&amp;"-"&amp;B2</f>
        <v>2-55</v>
      </c>
    </row>
    <row r="3" spans="1:7" x14ac:dyDescent="0.15">
      <c r="A3" s="1" t="s">
        <v>5</v>
      </c>
      <c r="B3">
        <f>B2+$D$2</f>
        <v>60</v>
      </c>
      <c r="D3" t="s">
        <v>364</v>
      </c>
      <c r="G3" t="str">
        <f t="shared" ref="G3:G32" si="1">$F$1&amp;"-"&amp;B3</f>
        <v>2-60</v>
      </c>
    </row>
    <row r="4" spans="1:7" x14ac:dyDescent="0.15">
      <c r="A4" s="1" t="s">
        <v>16</v>
      </c>
      <c r="B4">
        <f t="shared" ref="B4" si="2">B3+$D$2</f>
        <v>65</v>
      </c>
      <c r="D4">
        <v>15</v>
      </c>
      <c r="G4" t="str">
        <f t="shared" si="1"/>
        <v>2-65</v>
      </c>
    </row>
    <row r="5" spans="1:7" x14ac:dyDescent="0.15">
      <c r="A5" s="1" t="s">
        <v>22</v>
      </c>
      <c r="B5">
        <f t="shared" ref="B5:B11" si="3">B4+$D$2</f>
        <v>70</v>
      </c>
      <c r="D5" t="s">
        <v>365</v>
      </c>
      <c r="G5" t="str">
        <f t="shared" si="1"/>
        <v>2-70</v>
      </c>
    </row>
    <row r="6" spans="1:7" x14ac:dyDescent="0.15">
      <c r="A6" s="1" t="s">
        <v>366</v>
      </c>
      <c r="B6">
        <f t="shared" si="3"/>
        <v>75</v>
      </c>
      <c r="D6">
        <v>25</v>
      </c>
      <c r="G6" t="str">
        <f t="shared" si="1"/>
        <v>2-75</v>
      </c>
    </row>
    <row r="7" spans="1:7" x14ac:dyDescent="0.15">
      <c r="A7" s="1" t="s">
        <v>28</v>
      </c>
      <c r="B7">
        <f t="shared" si="3"/>
        <v>80</v>
      </c>
      <c r="G7" t="str">
        <f t="shared" si="1"/>
        <v>2-80</v>
      </c>
    </row>
    <row r="8" spans="1:7" x14ac:dyDescent="0.15">
      <c r="A8" s="1" t="s">
        <v>367</v>
      </c>
      <c r="B8">
        <f t="shared" si="3"/>
        <v>85</v>
      </c>
      <c r="G8" t="str">
        <f t="shared" si="1"/>
        <v>2-85</v>
      </c>
    </row>
    <row r="9" spans="1:7" x14ac:dyDescent="0.15">
      <c r="A9" s="1" t="s">
        <v>34</v>
      </c>
      <c r="B9">
        <f t="shared" si="3"/>
        <v>90</v>
      </c>
      <c r="G9" t="str">
        <f t="shared" si="1"/>
        <v>2-90</v>
      </c>
    </row>
    <row r="10" spans="1:7" x14ac:dyDescent="0.15">
      <c r="A10" s="1" t="s">
        <v>368</v>
      </c>
      <c r="B10">
        <f t="shared" si="3"/>
        <v>95</v>
      </c>
      <c r="G10" t="str">
        <f t="shared" si="1"/>
        <v>2-95</v>
      </c>
    </row>
    <row r="11" spans="1:7" x14ac:dyDescent="0.15">
      <c r="A11" s="1" t="s">
        <v>369</v>
      </c>
      <c r="B11">
        <f t="shared" si="3"/>
        <v>100</v>
      </c>
      <c r="G11" t="str">
        <f t="shared" si="1"/>
        <v>2-100</v>
      </c>
    </row>
    <row r="12" spans="1:7" x14ac:dyDescent="0.15">
      <c r="A12" s="1" t="s">
        <v>370</v>
      </c>
      <c r="B12">
        <f>B11+$D$4</f>
        <v>115</v>
      </c>
      <c r="G12" t="str">
        <f t="shared" si="1"/>
        <v>2-115</v>
      </c>
    </row>
    <row r="13" spans="1:7" x14ac:dyDescent="0.15">
      <c r="A13" s="1" t="s">
        <v>371</v>
      </c>
      <c r="B13">
        <f t="shared" ref="B13" si="4">B12+$D$4</f>
        <v>130</v>
      </c>
      <c r="G13" t="str">
        <f t="shared" si="1"/>
        <v>2-130</v>
      </c>
    </row>
    <row r="14" spans="1:7" x14ac:dyDescent="0.15">
      <c r="A14" s="1" t="s">
        <v>372</v>
      </c>
      <c r="B14">
        <f t="shared" ref="B14:B22" si="5">B13+$D$4</f>
        <v>145</v>
      </c>
      <c r="G14" t="str">
        <f t="shared" si="1"/>
        <v>2-145</v>
      </c>
    </row>
    <row r="15" spans="1:7" x14ac:dyDescent="0.15">
      <c r="A15" s="1" t="s">
        <v>373</v>
      </c>
      <c r="B15">
        <f t="shared" si="5"/>
        <v>160</v>
      </c>
      <c r="G15" t="str">
        <f t="shared" si="1"/>
        <v>2-160</v>
      </c>
    </row>
    <row r="16" spans="1:7" x14ac:dyDescent="0.15">
      <c r="A16" s="1" t="s">
        <v>374</v>
      </c>
      <c r="B16">
        <f t="shared" si="5"/>
        <v>175</v>
      </c>
      <c r="G16" t="str">
        <f t="shared" si="1"/>
        <v>2-175</v>
      </c>
    </row>
    <row r="17" spans="1:7" x14ac:dyDescent="0.15">
      <c r="A17" s="1" t="s">
        <v>375</v>
      </c>
      <c r="B17">
        <f t="shared" si="5"/>
        <v>190</v>
      </c>
      <c r="G17" t="str">
        <f t="shared" si="1"/>
        <v>2-190</v>
      </c>
    </row>
    <row r="18" spans="1:7" x14ac:dyDescent="0.15">
      <c r="A18" s="1" t="s">
        <v>376</v>
      </c>
      <c r="B18">
        <f t="shared" si="5"/>
        <v>205</v>
      </c>
      <c r="G18" t="str">
        <f t="shared" si="1"/>
        <v>2-205</v>
      </c>
    </row>
    <row r="19" spans="1:7" x14ac:dyDescent="0.15">
      <c r="A19" s="1" t="s">
        <v>377</v>
      </c>
      <c r="B19">
        <f t="shared" si="5"/>
        <v>220</v>
      </c>
      <c r="G19" t="str">
        <f t="shared" si="1"/>
        <v>2-220</v>
      </c>
    </row>
    <row r="20" spans="1:7" x14ac:dyDescent="0.15">
      <c r="A20" s="1" t="s">
        <v>378</v>
      </c>
      <c r="B20">
        <f t="shared" si="5"/>
        <v>235</v>
      </c>
      <c r="G20" t="str">
        <f t="shared" si="1"/>
        <v>2-235</v>
      </c>
    </row>
    <row r="21" spans="1:7" x14ac:dyDescent="0.15">
      <c r="A21" s="1" t="s">
        <v>379</v>
      </c>
      <c r="B21">
        <f t="shared" si="5"/>
        <v>250</v>
      </c>
      <c r="G21" t="str">
        <f t="shared" si="1"/>
        <v>2-250</v>
      </c>
    </row>
    <row r="22" spans="1:7" x14ac:dyDescent="0.15">
      <c r="A22" s="1" t="s">
        <v>380</v>
      </c>
      <c r="B22">
        <f t="shared" si="5"/>
        <v>265</v>
      </c>
      <c r="G22" t="str">
        <f t="shared" si="1"/>
        <v>2-265</v>
      </c>
    </row>
    <row r="23" spans="1:7" x14ac:dyDescent="0.15">
      <c r="A23" s="1" t="s">
        <v>381</v>
      </c>
      <c r="B23">
        <f>B22+$D$6</f>
        <v>290</v>
      </c>
      <c r="G23" t="str">
        <f t="shared" si="1"/>
        <v>2-290</v>
      </c>
    </row>
    <row r="24" spans="1:7" x14ac:dyDescent="0.15">
      <c r="A24" s="1" t="s">
        <v>382</v>
      </c>
      <c r="B24">
        <f t="shared" ref="B24" si="6">B23+$D$6</f>
        <v>315</v>
      </c>
      <c r="G24" t="str">
        <f t="shared" si="1"/>
        <v>2-315</v>
      </c>
    </row>
    <row r="25" spans="1:7" x14ac:dyDescent="0.15">
      <c r="A25" s="1" t="s">
        <v>383</v>
      </c>
      <c r="B25">
        <f t="shared" ref="B25:B32" si="7">B24+$D$6</f>
        <v>340</v>
      </c>
      <c r="G25" t="str">
        <f t="shared" si="1"/>
        <v>2-340</v>
      </c>
    </row>
    <row r="26" spans="1:7" x14ac:dyDescent="0.15">
      <c r="A26" s="1" t="s">
        <v>384</v>
      </c>
      <c r="B26">
        <f t="shared" si="7"/>
        <v>365</v>
      </c>
      <c r="G26" t="str">
        <f t="shared" si="1"/>
        <v>2-365</v>
      </c>
    </row>
    <row r="27" spans="1:7" x14ac:dyDescent="0.15">
      <c r="A27" s="1" t="s">
        <v>385</v>
      </c>
      <c r="B27">
        <f t="shared" si="7"/>
        <v>390</v>
      </c>
      <c r="G27" t="str">
        <f t="shared" si="1"/>
        <v>2-390</v>
      </c>
    </row>
    <row r="28" spans="1:7" x14ac:dyDescent="0.15">
      <c r="A28" s="1" t="s">
        <v>386</v>
      </c>
      <c r="B28">
        <f t="shared" si="7"/>
        <v>415</v>
      </c>
      <c r="G28" t="str">
        <f t="shared" si="1"/>
        <v>2-415</v>
      </c>
    </row>
    <row r="29" spans="1:7" x14ac:dyDescent="0.15">
      <c r="A29" s="1" t="s">
        <v>387</v>
      </c>
      <c r="B29">
        <f t="shared" si="7"/>
        <v>440</v>
      </c>
      <c r="G29" t="str">
        <f t="shared" si="1"/>
        <v>2-440</v>
      </c>
    </row>
    <row r="30" spans="1:7" x14ac:dyDescent="0.15">
      <c r="A30" s="1" t="s">
        <v>388</v>
      </c>
      <c r="B30">
        <f t="shared" si="7"/>
        <v>465</v>
      </c>
      <c r="G30" t="str">
        <f t="shared" si="1"/>
        <v>2-465</v>
      </c>
    </row>
    <row r="31" spans="1:7" x14ac:dyDescent="0.15">
      <c r="A31" s="1" t="s">
        <v>389</v>
      </c>
      <c r="B31">
        <f t="shared" si="7"/>
        <v>490</v>
      </c>
      <c r="G31" t="str">
        <f t="shared" si="1"/>
        <v>2-490</v>
      </c>
    </row>
    <row r="32" spans="1:7" x14ac:dyDescent="0.15">
      <c r="A32" s="1" t="s">
        <v>390</v>
      </c>
      <c r="B32">
        <f t="shared" si="7"/>
        <v>515</v>
      </c>
      <c r="G32" t="str">
        <f t="shared" si="1"/>
        <v>2-515</v>
      </c>
    </row>
    <row r="33" spans="2:2" x14ac:dyDescent="0.15">
      <c r="B33">
        <f>SUM(B1:B32)</f>
        <v>6940</v>
      </c>
    </row>
  </sheetData>
  <phoneticPr fontId="11" type="noConversion"/>
  <pageMargins left="0.69930555555555596" right="0.6993055555555559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songbowen</dc:creator>
  <cp:lastModifiedBy>王万杰</cp:lastModifiedBy>
  <dcterms:created xsi:type="dcterms:W3CDTF">2006-09-16T00:00:00Z</dcterms:created>
  <dcterms:modified xsi:type="dcterms:W3CDTF">2016-10-12T08:14:48Z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2052-9.1.0.5133</vt:lpwstr>
  </property>
</Properties>
</file>