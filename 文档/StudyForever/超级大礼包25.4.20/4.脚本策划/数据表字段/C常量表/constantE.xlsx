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480" yWindow="90" windowWidth="23250" windowHeight="1434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M70" i="2" l="1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M1" i="2"/>
</calcChain>
</file>

<file path=xl/sharedStrings.xml><?xml version="1.0" encoding="utf-8"?>
<sst xmlns="http://schemas.openxmlformats.org/spreadsheetml/2006/main" count="499" uniqueCount="469">
  <si>
    <t>购买金币参数A(公式:购买获得金币= 参数A + 召唤师等级* 参数B)</t>
  </si>
  <si>
    <t>string-constant</t>
    <phoneticPr fontId="4" type="noConversion"/>
  </si>
  <si>
    <t>名称</t>
    <phoneticPr fontId="4" type="noConversion"/>
  </si>
  <si>
    <t>常量值</t>
    <phoneticPr fontId="4" type="noConversion"/>
  </si>
  <si>
    <t>备注</t>
    <phoneticPr fontId="4" type="noConversion"/>
  </si>
  <si>
    <t>int-id</t>
    <phoneticPr fontId="4" type="noConversion"/>
  </si>
  <si>
    <t>string-note</t>
    <phoneticPr fontId="4" type="noConversion"/>
  </si>
  <si>
    <t>string-name</t>
    <phoneticPr fontId="4" type="noConversion"/>
  </si>
  <si>
    <t>WorldChatLevel</t>
  </si>
  <si>
    <t>1</t>
  </si>
  <si>
    <t>世界频道消息发送限制等级</t>
  </si>
  <si>
    <t>GuildChatLevel</t>
  </si>
  <si>
    <t>公会频道消息发送限制等级</t>
  </si>
  <si>
    <t>PrivateChatLevel</t>
  </si>
  <si>
    <t>私聊频道消息发送限制等级</t>
  </si>
  <si>
    <t>WorldFreeChat</t>
  </si>
  <si>
    <t>10</t>
  </si>
  <si>
    <t>世界频道免费发言次数(0表示无限次)</t>
  </si>
  <si>
    <t>WorldDiamondChat</t>
  </si>
  <si>
    <t>世界频道收费发言消耗点券(每次)</t>
  </si>
  <si>
    <t>ChatCD</t>
  </si>
  <si>
    <t>5</t>
  </si>
  <si>
    <t>发送聊天CD(秒)</t>
  </si>
  <si>
    <t>1</t>
    <phoneticPr fontId="4" type="noConversion"/>
  </si>
  <si>
    <t>PowerTime</t>
  </si>
  <si>
    <t>每隔5分钟回复一点体力(单位秒)</t>
  </si>
  <si>
    <t>MaxItemNumber</t>
  </si>
  <si>
    <t>999</t>
    <phoneticPr fontId="4" type="noConversion"/>
  </si>
  <si>
    <t>背包堆叠上限</t>
    <phoneticPr fontId="4" type="noConversion"/>
  </si>
  <si>
    <t>EnergyTime</t>
    <phoneticPr fontId="4" type="noConversion"/>
  </si>
  <si>
    <t>每隔2分钟涨一点精力(单位秒)</t>
    <phoneticPr fontId="4" type="noConversion"/>
  </si>
  <si>
    <t>FristRechargeItem</t>
  </si>
  <si>
    <t>首充礼包(物品ID-数量|物品ID-数量)</t>
  </si>
  <si>
    <t>Quality1Stone</t>
    <phoneticPr fontId="4" type="noConversion"/>
  </si>
  <si>
    <t>10</t>
    <phoneticPr fontId="4" type="noConversion"/>
  </si>
  <si>
    <t>Quality2Stone</t>
  </si>
  <si>
    <t>Quality3Stone</t>
  </si>
  <si>
    <t>Quality4Stone</t>
  </si>
  <si>
    <t>Quality5Stone</t>
  </si>
  <si>
    <t>Quality6Stone</t>
  </si>
  <si>
    <t>Quality0To1</t>
    <phoneticPr fontId="4" type="noConversion"/>
  </si>
  <si>
    <t>Quality1To2</t>
    <phoneticPr fontId="4" type="noConversion"/>
  </si>
  <si>
    <t>Quality2To3</t>
    <phoneticPr fontId="4" type="noConversion"/>
  </si>
  <si>
    <t>Quality3To4</t>
    <phoneticPr fontId="4" type="noConversion"/>
  </si>
  <si>
    <t>Quality4To5</t>
    <phoneticPr fontId="4" type="noConversion"/>
  </si>
  <si>
    <t>Quality5To6</t>
    <phoneticPr fontId="4" type="noConversion"/>
  </si>
  <si>
    <t>0品质升1品质所需要的灵魂石数</t>
    <phoneticPr fontId="4" type="noConversion"/>
  </si>
  <si>
    <t>1品质升2品质所需要的灵魂石数</t>
    <phoneticPr fontId="4" type="noConversion"/>
  </si>
  <si>
    <t>2品质升3品质所需要的灵魂石数</t>
    <phoneticPr fontId="4" type="noConversion"/>
  </si>
  <si>
    <t>3品质升4品质所需要的灵魂石数</t>
    <phoneticPr fontId="4" type="noConversion"/>
  </si>
  <si>
    <t>4品质升5品质所需要的灵魂石数</t>
    <phoneticPr fontId="4" type="noConversion"/>
  </si>
  <si>
    <t>5品质升6品质所需要的灵魂石数</t>
    <phoneticPr fontId="4" type="noConversion"/>
  </si>
  <si>
    <t>一品质英雄兑换灵魂石</t>
    <phoneticPr fontId="4" type="noConversion"/>
  </si>
  <si>
    <t>二品质英雄兑换灵魂石</t>
    <phoneticPr fontId="4" type="noConversion"/>
  </si>
  <si>
    <t>三品质英雄兑换灵魂石</t>
    <phoneticPr fontId="4" type="noConversion"/>
  </si>
  <si>
    <t>四品质英雄兑换灵魂石</t>
    <phoneticPr fontId="4" type="noConversion"/>
  </si>
  <si>
    <t>五品质英雄兑换灵魂石</t>
    <phoneticPr fontId="4" type="noConversion"/>
  </si>
  <si>
    <t>六品质英雄兑换灵魂石</t>
    <phoneticPr fontId="4" type="noConversion"/>
  </si>
  <si>
    <t>4</t>
    <phoneticPr fontId="4" type="noConversion"/>
  </si>
  <si>
    <t>7</t>
    <phoneticPr fontId="4" type="noConversion"/>
  </si>
  <si>
    <t>9</t>
    <phoneticPr fontId="4" type="noConversion"/>
  </si>
  <si>
    <t>12</t>
    <phoneticPr fontId="4" type="noConversion"/>
  </si>
  <si>
    <t>前排英雄移动条件</t>
    <phoneticPr fontId="4" type="noConversion"/>
  </si>
  <si>
    <t>中排英雄1移动条件</t>
    <phoneticPr fontId="4" type="noConversion"/>
  </si>
  <si>
    <t>中排英雄2移动条件</t>
    <phoneticPr fontId="4" type="noConversion"/>
  </si>
  <si>
    <t>后排英雄移动条件</t>
    <phoneticPr fontId="4" type="noConversion"/>
  </si>
  <si>
    <t>FrontHeroCondition</t>
    <phoneticPr fontId="4" type="noConversion"/>
  </si>
  <si>
    <t>MiddleHeroCondition1</t>
    <phoneticPr fontId="4" type="noConversion"/>
  </si>
  <si>
    <t>MiddleHeroCondition2</t>
    <phoneticPr fontId="4" type="noConversion"/>
  </si>
  <si>
    <t>BackHeroCondition</t>
    <phoneticPr fontId="4" type="noConversion"/>
  </si>
  <si>
    <t>当英雄与最近敌人的距离大于移动条件时，英雄往前移动。比如后排英雄只需要站在离最近敌人12的位置就可以攻击离自己18的后排敌人</t>
    <phoneticPr fontId="4" type="noConversion"/>
  </si>
  <si>
    <t>备注2</t>
    <phoneticPr fontId="4" type="noConversion"/>
  </si>
  <si>
    <t>300</t>
    <phoneticPr fontId="4" type="noConversion"/>
  </si>
  <si>
    <t>背包装备最大上限</t>
    <phoneticPr fontId="4" type="noConversion"/>
  </si>
  <si>
    <t>27</t>
  </si>
  <si>
    <t>MaxEquipNumber</t>
    <phoneticPr fontId="4" type="noConversion"/>
  </si>
  <si>
    <t>2</t>
    <phoneticPr fontId="4" type="noConversion"/>
  </si>
  <si>
    <t>宝物强化时，吞噬获得1点经验需要多少铜币</t>
    <phoneticPr fontId="4" type="noConversion"/>
  </si>
  <si>
    <t>moneyForTreasureStrengthen</t>
    <phoneticPr fontId="4" type="noConversion"/>
  </si>
  <si>
    <t>28</t>
  </si>
  <si>
    <t>DefendRecoverTime</t>
  </si>
  <si>
    <t>20</t>
    <phoneticPr fontId="4" type="noConversion"/>
  </si>
  <si>
    <t>破防恢复时间</t>
    <phoneticPr fontId="4" type="noConversion"/>
  </si>
  <si>
    <t>增加军需数量的技能ID</t>
    <phoneticPr fontId="4" type="noConversion"/>
  </si>
  <si>
    <t>30</t>
  </si>
  <si>
    <t>PropSpellId</t>
    <phoneticPr fontId="4" type="noConversion"/>
  </si>
  <si>
    <t>90</t>
    <phoneticPr fontId="4" type="noConversion"/>
  </si>
  <si>
    <t>PVP游戏时长</t>
    <phoneticPr fontId="4" type="noConversion"/>
  </si>
  <si>
    <t>PvpWinGoods</t>
    <phoneticPr fontId="4" type="noConversion"/>
  </si>
  <si>
    <t>PVP胜利的掉落奖励</t>
    <phoneticPr fontId="4" type="noConversion"/>
  </si>
  <si>
    <t>PvpGameTime</t>
    <phoneticPr fontId="4" type="noConversion"/>
  </si>
  <si>
    <t>MaxMail</t>
    <phoneticPr fontId="4" type="noConversion"/>
  </si>
  <si>
    <t>邮件最大数量</t>
    <phoneticPr fontId="4" type="noConversion"/>
  </si>
  <si>
    <t>PvpMailTitle</t>
    <phoneticPr fontId="4" type="noConversion"/>
  </si>
  <si>
    <t>PvpMailText</t>
    <phoneticPr fontId="4" type="noConversion"/>
  </si>
  <si>
    <t>PVP每日奖励</t>
    <phoneticPr fontId="4" type="noConversion"/>
  </si>
  <si>
    <t>PVP每日奖励</t>
    <phoneticPr fontId="4" type="noConversion"/>
  </si>
  <si>
    <t>PvpAwardTime</t>
    <phoneticPr fontId="4" type="noConversion"/>
  </si>
  <si>
    <t>PVP每日奖励发放时间</t>
    <phoneticPr fontId="4" type="noConversion"/>
  </si>
  <si>
    <t>PVP排名%d每日奖励</t>
    <phoneticPr fontId="4" type="noConversion"/>
  </si>
  <si>
    <t>37</t>
  </si>
  <si>
    <t>SecretOpenRatio</t>
    <phoneticPr fontId="4" type="noConversion"/>
  </si>
  <si>
    <t>100</t>
    <phoneticPr fontId="4" type="noConversion"/>
  </si>
  <si>
    <t>秘境副本触发概率（分母为1000）</t>
    <phoneticPr fontId="4" type="noConversion"/>
  </si>
  <si>
    <t>破防后攻击力上升（乘修）</t>
    <phoneticPr fontId="4" type="noConversion"/>
  </si>
  <si>
    <t>破防后暴击上升</t>
    <phoneticPr fontId="4" type="noConversion"/>
  </si>
  <si>
    <t>破防后压制上升</t>
    <phoneticPr fontId="4" type="noConversion"/>
  </si>
  <si>
    <t>技能升级步长</t>
    <phoneticPr fontId="4" type="noConversion"/>
  </si>
  <si>
    <t>5</t>
    <phoneticPr fontId="4" type="noConversion"/>
  </si>
  <si>
    <t>BreakAttackCor</t>
    <phoneticPr fontId="4" type="noConversion"/>
  </si>
  <si>
    <t>BreakVigourCor</t>
    <phoneticPr fontId="4" type="noConversion"/>
  </si>
  <si>
    <t>Seplllevelstep</t>
    <phoneticPr fontId="4" type="noConversion"/>
  </si>
  <si>
    <t>BreakStateCor</t>
    <phoneticPr fontId="4" type="noConversion"/>
  </si>
  <si>
    <t>破防后诅咒力上升</t>
    <phoneticPr fontId="4" type="noConversion"/>
  </si>
  <si>
    <t>0.3</t>
    <phoneticPr fontId="4" type="noConversion"/>
  </si>
  <si>
    <t>0.5</t>
    <phoneticPr fontId="4" type="noConversion"/>
  </si>
  <si>
    <t>0.3</t>
    <phoneticPr fontId="4" type="noConversion"/>
  </si>
  <si>
    <t>SuperDiamondChestCount</t>
  </si>
  <si>
    <t>抽取多少次钻石宝箱掉落得必掉英雄掉落包</t>
  </si>
  <si>
    <t>FreeCopperChestCD</t>
  </si>
  <si>
    <t>600</t>
  </si>
  <si>
    <t>免费铜宝箱CD（秒）</t>
  </si>
  <si>
    <t>FreeDiamondChestCD</t>
  </si>
  <si>
    <t>172800</t>
  </si>
  <si>
    <t>免费钻石宝箱CD</t>
  </si>
  <si>
    <t>FreeCopperCount</t>
  </si>
  <si>
    <t>每天抽取免费铜宝箱最大数量</t>
  </si>
  <si>
    <t>48</t>
  </si>
  <si>
    <t>51</t>
  </si>
  <si>
    <t>52</t>
  </si>
  <si>
    <t>53</t>
  </si>
  <si>
    <t>10</t>
    <phoneticPr fontId="4" type="noConversion"/>
  </si>
  <si>
    <t>Reset_Player_Data_Time</t>
  </si>
  <si>
    <t>5:00</t>
  </si>
  <si>
    <t>每天定时重置时间(格式,小时(00-23):分钟(00-59) ),包括：日常任务、购买次数、副本次数，其它玩法次数等</t>
  </si>
  <si>
    <t>SignCostItem</t>
  </si>
  <si>
    <t>补签消耗道具</t>
  </si>
  <si>
    <t>ResetKingSpellItem</t>
    <phoneticPr fontId="4" type="noConversion"/>
  </si>
  <si>
    <t>重置魔王技能花费钻石</t>
    <phoneticPr fontId="4" type="noConversion"/>
  </si>
  <si>
    <t>5</t>
    <phoneticPr fontId="4" type="noConversion"/>
  </si>
  <si>
    <t>重置魔王技能消耗物品</t>
    <phoneticPr fontId="4" type="noConversion"/>
  </si>
  <si>
    <t>ResetKingSpellCost</t>
    <phoneticPr fontId="4" type="noConversion"/>
  </si>
  <si>
    <t>普通抽奖抵扣道具</t>
    <phoneticPr fontId="4" type="noConversion"/>
  </si>
  <si>
    <t>OrdinaryDrawItem</t>
    <phoneticPr fontId="4" type="noConversion"/>
  </si>
  <si>
    <t>AcerDrawItem</t>
    <phoneticPr fontId="4" type="noConversion"/>
  </si>
  <si>
    <t>FirstBuyDiamondChest</t>
    <phoneticPr fontId="4" type="noConversion"/>
  </si>
  <si>
    <t>1001</t>
    <phoneticPr fontId="4" type="noConversion"/>
  </si>
  <si>
    <t>FirstBuyCopperChest</t>
    <phoneticPr fontId="4" type="noConversion"/>
  </si>
  <si>
    <t>首次付费购买铜宝箱掉落</t>
    <phoneticPr fontId="4" type="noConversion"/>
  </si>
  <si>
    <t>首次付费购买钻石宝箱掉落</t>
    <phoneticPr fontId="4" type="noConversion"/>
  </si>
  <si>
    <t>100001</t>
    <phoneticPr fontId="4" type="noConversion"/>
  </si>
  <si>
    <t>魔王模板ID</t>
    <phoneticPr fontId="4" type="noConversion"/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</si>
  <si>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</si>
  <si>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</si>
  <si>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</si>
  <si>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</si>
  <si>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</si>
  <si>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</si>
  <si>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</si>
  <si>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</si>
  <si>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</si>
  <si>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</si>
  <si>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</si>
  <si>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</si>
  <si>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</si>
  <si>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</si>
  <si>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</si>
  <si>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</si>
  <si>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54</t>
  </si>
  <si>
    <t>55</t>
  </si>
  <si>
    <t>56</t>
  </si>
  <si>
    <t>57</t>
  </si>
  <si>
    <t>EquipRefinedReturn</t>
  </si>
  <si>
    <t>装备分解时精炼石返回</t>
  </si>
  <si>
    <t>宝物分解时强化经验返还物1和单个的经验值（道具ID-单个经验价值）</t>
    <phoneticPr fontId="4" type="noConversion"/>
  </si>
  <si>
    <t>宝物分解时强化经验返还物2和单个的经验值（装备ID-单个经验价值）</t>
    <phoneticPr fontId="4" type="noConversion"/>
  </si>
  <si>
    <t>400016</t>
    <phoneticPr fontId="4" type="noConversion"/>
  </si>
  <si>
    <t>100100-100</t>
    <phoneticPr fontId="4" type="noConversion"/>
  </si>
  <si>
    <t>TreasureStrengReturn1</t>
    <phoneticPr fontId="4" type="noConversion"/>
  </si>
  <si>
    <t>TreasureStrengReturn2</t>
    <phoneticPr fontId="4" type="noConversion"/>
  </si>
  <si>
    <t>58</t>
  </si>
  <si>
    <t>KingTplID</t>
    <phoneticPr fontId="4" type="noConversion"/>
  </si>
  <si>
    <t>KingRestoreMP</t>
    <phoneticPr fontId="4" type="noConversion"/>
  </si>
  <si>
    <t>魔王回蓝速度初始值</t>
    <phoneticPr fontId="4" type="noConversion"/>
  </si>
  <si>
    <t>200</t>
    <phoneticPr fontId="4" type="noConversion"/>
  </si>
  <si>
    <t>修改昵称花费钻石</t>
    <phoneticPr fontId="4" type="noConversion"/>
  </si>
  <si>
    <t>60</t>
  </si>
  <si>
    <t>ChangeNameCost</t>
    <phoneticPr fontId="4" type="noConversion"/>
  </si>
  <si>
    <t>61</t>
  </si>
  <si>
    <t>CrusadeCD</t>
    <phoneticPr fontId="4" type="noConversion"/>
  </si>
  <si>
    <t>讨伐CD(秒)</t>
    <phoneticPr fontId="4" type="noConversion"/>
  </si>
  <si>
    <t>CrusadeTimes</t>
  </si>
  <si>
    <t>3</t>
    <phoneticPr fontId="4" type="noConversion"/>
  </si>
  <si>
    <t>每天讨伐次数</t>
    <phoneticPr fontId="4" type="noConversion"/>
  </si>
  <si>
    <t>62</t>
  </si>
  <si>
    <t>300</t>
    <phoneticPr fontId="4" type="noConversion"/>
  </si>
  <si>
    <t>2</t>
    <phoneticPr fontId="4" type="noConversion"/>
  </si>
  <si>
    <t>每天远征次数</t>
    <phoneticPr fontId="4" type="noConversion"/>
  </si>
  <si>
    <t>63</t>
  </si>
  <si>
    <t>ExpeditionTimes</t>
    <phoneticPr fontId="4" type="noConversion"/>
  </si>
  <si>
    <t>BreakCritCor</t>
    <phoneticPr fontId="4" type="noConversion"/>
  </si>
  <si>
    <t>CritDamage</t>
  </si>
  <si>
    <t>爆击伤害倍数</t>
    <phoneticPr fontId="4" type="noConversion"/>
  </si>
  <si>
    <t>2</t>
    <phoneticPr fontId="4" type="noConversion"/>
  </si>
  <si>
    <t>CreateGuildNameLen</t>
  </si>
  <si>
    <t>8</t>
  </si>
  <si>
    <t>公会名字的长度</t>
  </si>
  <si>
    <t>CreateOrJoinGuildLevel</t>
  </si>
  <si>
    <t>创建或加入公会的等级</t>
  </si>
  <si>
    <t>CreateGuildCost</t>
  </si>
  <si>
    <t>20</t>
  </si>
  <si>
    <t>创建公会消耗钻石</t>
  </si>
  <si>
    <t>ExitGuildCD</t>
  </si>
  <si>
    <t>28800</t>
  </si>
  <si>
    <t>退出公会的CD(秒)</t>
  </si>
  <si>
    <t>MaxGuildReq</t>
  </si>
  <si>
    <t>最多申请公会数</t>
  </si>
  <si>
    <t>GuildReqTimeout</t>
  </si>
  <si>
    <t>公会申请超时时间(秒)</t>
  </si>
  <si>
    <t>GuildNoticeLen</t>
  </si>
  <si>
    <t>公会公告长度</t>
  </si>
  <si>
    <t>65</t>
  </si>
  <si>
    <t>66</t>
  </si>
  <si>
    <t>67</t>
  </si>
  <si>
    <t>68</t>
  </si>
  <si>
    <t>69</t>
  </si>
  <si>
    <t>70</t>
  </si>
  <si>
    <t>71</t>
  </si>
  <si>
    <t>10</t>
    <phoneticPr fontId="4" type="noConversion"/>
  </si>
  <si>
    <t>20</t>
    <phoneticPr fontId="4" type="noConversion"/>
  </si>
  <si>
    <t>50</t>
    <phoneticPr fontId="4" type="noConversion"/>
  </si>
  <si>
    <t>100</t>
    <phoneticPr fontId="4" type="noConversion"/>
  </si>
  <si>
    <t>5300101</t>
  </si>
  <si>
    <t>远征模式副本ID</t>
    <phoneticPr fontId="4" type="noConversion"/>
  </si>
  <si>
    <t>ExpeditionMission</t>
  </si>
  <si>
    <t>ChatMax</t>
    <phoneticPr fontId="4" type="noConversion"/>
  </si>
  <si>
    <t>聊天内容上限</t>
    <phoneticPr fontId="4" type="noConversion"/>
  </si>
  <si>
    <t>CombatRadio1</t>
    <phoneticPr fontId="4" type="noConversion"/>
  </si>
  <si>
    <t>10</t>
    <phoneticPr fontId="4" type="noConversion"/>
  </si>
  <si>
    <t>战斗力计算系数1</t>
    <phoneticPr fontId="4" type="noConversion"/>
  </si>
  <si>
    <t>战斗力计算系数2</t>
    <phoneticPr fontId="4" type="noConversion"/>
  </si>
  <si>
    <t>CombatRadio2</t>
    <phoneticPr fontId="4" type="noConversion"/>
  </si>
  <si>
    <t>74</t>
  </si>
  <si>
    <t>75</t>
  </si>
  <si>
    <t>BuyCoinParamA</t>
    <phoneticPr fontId="4" type="noConversion"/>
  </si>
  <si>
    <t>BuyCoinParamB</t>
    <phoneticPr fontId="4" type="noConversion"/>
  </si>
  <si>
    <t>GoldCritChanceA</t>
    <phoneticPr fontId="4" type="noConversion"/>
  </si>
  <si>
    <t>GoldCritChanceB</t>
    <phoneticPr fontId="4" type="noConversion"/>
  </si>
  <si>
    <t>BuyPowerValue</t>
    <phoneticPr fontId="4" type="noConversion"/>
  </si>
  <si>
    <t>BuyEnergyValue</t>
    <phoneticPr fontId="4" type="noConversion"/>
  </si>
  <si>
    <t>一次购买体力的值</t>
    <phoneticPr fontId="4" type="noConversion"/>
  </si>
  <si>
    <t>一次购买精力的值</t>
    <phoneticPr fontId="4" type="noConversion"/>
  </si>
  <si>
    <t>76</t>
  </si>
  <si>
    <t>77</t>
  </si>
  <si>
    <t>78</t>
  </si>
  <si>
    <t>79</t>
  </si>
  <si>
    <t>80</t>
  </si>
  <si>
    <t>81</t>
  </si>
  <si>
    <t>20000</t>
    <phoneticPr fontId="4" type="noConversion"/>
  </si>
  <si>
    <t>100</t>
    <phoneticPr fontId="4" type="noConversion"/>
  </si>
  <si>
    <t>120</t>
    <phoneticPr fontId="4" type="noConversion"/>
  </si>
  <si>
    <t>0.35</t>
    <phoneticPr fontId="4" type="noConversion"/>
  </si>
  <si>
    <t>0.004</t>
    <phoneticPr fontId="4" type="noConversion"/>
  </si>
  <si>
    <t>GoldCritRate</t>
    <phoneticPr fontId="4" type="noConversion"/>
  </si>
  <si>
    <t>购买金币参数B</t>
  </si>
  <si>
    <t>点金手功能，金币暴击几率参数A，公式为：A+B*当日使用点金手次数</t>
    <phoneticPr fontId="4" type="noConversion"/>
  </si>
  <si>
    <t>点金手功能，金币暴击几率参数B</t>
    <phoneticPr fontId="4" type="noConversion"/>
  </si>
  <si>
    <t>暴击倍率参数，共9个,依此对应2~9倍金币暴击的几率</t>
    <phoneticPr fontId="4" type="noConversion"/>
  </si>
  <si>
    <t>2-0.7|3-0.25|4-0.01|5-0.01|6-0.01|7-0.01|8-0.005|9-0.005</t>
    <phoneticPr fontId="4" type="noConversion"/>
  </si>
  <si>
    <t>82</t>
  </si>
  <si>
    <t>FristRechargeValue</t>
  </si>
  <si>
    <t>1-50000</t>
  </si>
  <si>
    <t>首充礼包(货币枚举-数量|货币枚举-数量)</t>
  </si>
  <si>
    <t>400026-500</t>
    <phoneticPr fontId="4" type="noConversion"/>
  </si>
  <si>
    <t>400026-30|400026-20|400026-5</t>
    <phoneticPr fontId="4" type="noConversion"/>
  </si>
  <si>
    <t>83</t>
  </si>
  <si>
    <t>2</t>
  </si>
  <si>
    <t>3</t>
  </si>
  <si>
    <t>4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</si>
  <si>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</si>
  <si>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</si>
  <si>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</si>
  <si>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</si>
  <si>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</si>
  <si>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</si>
  <si>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</si>
  <si>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</si>
  <si>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</si>
  <si>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</si>
  <si>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</si>
  <si>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</si>
  <si>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</si>
  <si>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</si>
  <si>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</si>
  <si>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</si>
  <si>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</si>
  <si>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</si>
  <si>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29</t>
  </si>
  <si>
    <t>31</t>
  </si>
  <si>
    <t>32</t>
  </si>
  <si>
    <t>59</t>
  </si>
  <si>
    <t>64</t>
  </si>
  <si>
    <t>72</t>
  </si>
  <si>
    <t>73</t>
  </si>
  <si>
    <t>1021</t>
    <phoneticPr fontId="4" type="noConversion"/>
  </si>
  <si>
    <t>1</t>
    <phoneticPr fontId="4" type="noConversion"/>
  </si>
  <si>
    <t>SacrificeCount</t>
    <phoneticPr fontId="4" type="noConversion"/>
  </si>
  <si>
    <t>84</t>
  </si>
  <si>
    <t>公会成员每日供奉次数</t>
    <phoneticPr fontId="4" type="noConversion"/>
  </si>
  <si>
    <t>802061</t>
    <phoneticPr fontId="4" type="noConversion"/>
  </si>
  <si>
    <t>85</t>
  </si>
  <si>
    <t>combomana</t>
    <phoneticPr fontId="4" type="noConversion"/>
  </si>
  <si>
    <t>连击数增加MP数值，连击数-MP数值</t>
    <phoneticPr fontId="4" type="noConversion"/>
  </si>
  <si>
    <t>1</t>
    <phoneticPr fontId="4" type="noConversion"/>
  </si>
  <si>
    <t>86</t>
  </si>
  <si>
    <t>91</t>
  </si>
  <si>
    <t>PvpAward</t>
    <phoneticPr fontId="4" type="noConversion"/>
  </si>
  <si>
    <t>95</t>
  </si>
  <si>
    <t>3-20|8-10|1-1000</t>
    <phoneticPr fontId="4" type="noConversion"/>
  </si>
  <si>
    <t>PVP数值奖励(1:金币，3：竞技币，8：经验)</t>
    <phoneticPr fontId="4" type="noConversion"/>
  </si>
  <si>
    <t>equipment</t>
    <phoneticPr fontId="4" type="noConversion"/>
  </si>
  <si>
    <t>treasure</t>
    <phoneticPr fontId="4" type="noConversion"/>
  </si>
  <si>
    <t>1|1|2|3|4|5</t>
    <phoneticPr fontId="4" type="noConversion"/>
  </si>
  <si>
    <t>装备收益（白-红）</t>
    <phoneticPr fontId="4" type="noConversion"/>
  </si>
  <si>
    <t>宝物收益（白-红）</t>
    <phoneticPr fontId="4" type="noConversion"/>
  </si>
  <si>
    <t>1|1|1|2|3|4</t>
    <phoneticPr fontId="4" type="noConversion"/>
  </si>
  <si>
    <t>700095</t>
  </si>
  <si>
    <t>钻石抽奖抵扣道具</t>
    <phoneticPr fontId="4" type="noConversion"/>
  </si>
  <si>
    <t>guildmailtime</t>
    <phoneticPr fontId="4" type="noConversion"/>
  </si>
  <si>
    <t>2592000</t>
    <phoneticPr fontId="4" type="noConversion"/>
  </si>
  <si>
    <t>30*86400=30天</t>
    <phoneticPr fontId="4" type="noConversion"/>
  </si>
  <si>
    <t>96</t>
    <phoneticPr fontId="4" type="noConversion"/>
  </si>
  <si>
    <t>50</t>
    <phoneticPr fontId="4" type="noConversion"/>
  </si>
  <si>
    <t>50</t>
    <phoneticPr fontId="4" type="noConversion"/>
  </si>
  <si>
    <t>97</t>
    <phoneticPr fontId="4" type="noConversion"/>
  </si>
  <si>
    <t>1.5</t>
    <phoneticPr fontId="4" type="noConversion"/>
  </si>
  <si>
    <t>军需公共CD</t>
    <phoneticPr fontId="4" type="noConversion"/>
  </si>
  <si>
    <t>CommonPropCoolingTime</t>
    <phoneticPr fontId="4" type="noConversion"/>
  </si>
  <si>
    <t>98</t>
    <phoneticPr fontId="4" type="noConversion"/>
  </si>
  <si>
    <t>soulpowerlevel</t>
    <phoneticPr fontId="4" type="noConversion"/>
  </si>
  <si>
    <t>魂力等级划分</t>
    <phoneticPr fontId="4" type="noConversion"/>
  </si>
  <si>
    <t>99</t>
    <phoneticPr fontId="4" type="noConversion"/>
  </si>
  <si>
    <t>mpvaluelevel</t>
    <phoneticPr fontId="4" type="noConversion"/>
  </si>
  <si>
    <t>100</t>
    <phoneticPr fontId="4" type="noConversion"/>
  </si>
  <si>
    <t>mprecoverlevel</t>
    <phoneticPr fontId="4" type="noConversion"/>
  </si>
  <si>
    <t>MP恢复速度划分</t>
    <phoneticPr fontId="4" type="noConversion"/>
  </si>
  <si>
    <t>101</t>
    <phoneticPr fontId="4" type="noConversion"/>
  </si>
  <si>
    <t>QTEprolevel</t>
    <phoneticPr fontId="4" type="noConversion"/>
  </si>
  <si>
    <t>QTE触发几率划分</t>
    <phoneticPr fontId="4" type="noConversion"/>
  </si>
  <si>
    <t>0-50-d|50-100-c|100-200-b|200-300-a|300-0-s</t>
    <phoneticPr fontId="4" type="noConversion"/>
  </si>
  <si>
    <t>0-1-d|1-2-c|2-3-b|3-5-a|5-0-s</t>
    <phoneticPr fontId="4" type="noConversion"/>
  </si>
  <si>
    <t>0-1-d|1-3-c|3-5-b|5-10-a|10-0-s</t>
    <phoneticPr fontId="4" type="noConversion"/>
  </si>
  <si>
    <t>MP等级划分</t>
    <phoneticPr fontId="4" type="noConversion"/>
  </si>
  <si>
    <t>102</t>
    <phoneticPr fontId="4" type="noConversion"/>
  </si>
  <si>
    <t>defenselevel</t>
    <phoneticPr fontId="4" type="noConversion"/>
  </si>
  <si>
    <t>100-125-d|125-150-c|150-175-b|175-200-a|200-0-s</t>
    <phoneticPr fontId="4" type="noConversion"/>
  </si>
  <si>
    <t>防御值等级划分</t>
    <phoneticPr fontId="4" type="noConversion"/>
  </si>
  <si>
    <t>103</t>
  </si>
  <si>
    <t>heroRushParam</t>
  </si>
  <si>
    <t>英雄闯关次数参数(计算公式：英雄数*参数)</t>
  </si>
  <si>
    <t>equiplimit</t>
    <phoneticPr fontId="4" type="noConversion"/>
  </si>
  <si>
    <t>1|5</t>
    <phoneticPr fontId="4" type="noConversion"/>
  </si>
  <si>
    <t>1|5</t>
    <phoneticPr fontId="4" type="noConversion"/>
  </si>
  <si>
    <t>强化等级*系数&lt;=魔王等级|精炼等级*系数&lt;=魔王等级</t>
    <phoneticPr fontId="4" type="noConversion"/>
  </si>
  <si>
    <t>treasurelimit</t>
    <phoneticPr fontId="4" type="noConversion"/>
  </si>
  <si>
    <t>强化等级*系数&lt;=魔王等级|精炼等级*系数&lt;=魔王等级</t>
    <phoneticPr fontId="4" type="noConversion"/>
  </si>
  <si>
    <t>104</t>
  </si>
  <si>
    <t>buyMaxHeroRushTimes</t>
  </si>
  <si>
    <t>一次购买英雄闯关的最大次数</t>
  </si>
  <si>
    <t>105</t>
  </si>
  <si>
    <t>106</t>
  </si>
  <si>
    <t>towerTimes</t>
  </si>
  <si>
    <t>每日爬塔次数</t>
  </si>
  <si>
    <t>towerJudge</t>
  </si>
  <si>
    <t>星级判断 3, 2, 1 消耗的秒数</t>
  </si>
  <si>
    <t>towerReset</t>
  </si>
  <si>
    <t>每三天重置一次</t>
  </si>
  <si>
    <t>107</t>
  </si>
  <si>
    <t>108</t>
  </si>
  <si>
    <t>109</t>
  </si>
  <si>
    <t>110</t>
  </si>
  <si>
    <t>天命消耗道具</t>
    <phoneticPr fontId="4" type="noConversion"/>
  </si>
  <si>
    <t>destinyCost</t>
    <phoneticPr fontId="4" type="noConversion"/>
  </si>
  <si>
    <t>guildTreasure</t>
    <phoneticPr fontId="4" type="noConversion"/>
  </si>
  <si>
    <t>10</t>
    <phoneticPr fontId="4" type="noConversion"/>
  </si>
  <si>
    <t>开启公会宝藏需要每日贡献点</t>
    <phoneticPr fontId="4" type="noConversion"/>
  </si>
  <si>
    <t>111</t>
  </si>
  <si>
    <t>112</t>
  </si>
  <si>
    <t>guildTreasureHelps</t>
    <phoneticPr fontId="4" type="noConversion"/>
  </si>
  <si>
    <t>3</t>
    <phoneticPr fontId="4" type="noConversion"/>
  </si>
  <si>
    <t>每日可帮助次数</t>
    <phoneticPr fontId="4" type="noConversion"/>
  </si>
  <si>
    <t>MaxApplyTime</t>
    <phoneticPr fontId="4" type="noConversion"/>
  </si>
  <si>
    <t>259200</t>
    <phoneticPr fontId="4" type="noConversion"/>
  </si>
  <si>
    <t>好友申请记录最大留存时间(单位秒)</t>
    <phoneticPr fontId="4" type="noConversion"/>
  </si>
  <si>
    <t>10</t>
    <phoneticPr fontId="4" type="noConversion"/>
  </si>
  <si>
    <t>系统推荐好友个数</t>
    <phoneticPr fontId="4" type="noConversion"/>
  </si>
  <si>
    <t>MaxFriendCount</t>
    <phoneticPr fontId="4" type="noConversion"/>
  </si>
  <si>
    <t xml:space="preserve"> 最大好友个数</t>
    <phoneticPr fontId="4" type="noConversion"/>
  </si>
  <si>
    <t>100</t>
    <phoneticPr fontId="4" type="noConversion"/>
  </si>
  <si>
    <t>MaxFriendApplyCount</t>
    <phoneticPr fontId="4" type="noConversion"/>
  </si>
  <si>
    <t>最大好友申请个数</t>
    <phoneticPr fontId="4" type="noConversion"/>
  </si>
  <si>
    <t>DailyGiveFriendPowerTimes</t>
    <phoneticPr fontId="4" type="noConversion"/>
  </si>
  <si>
    <t>1</t>
    <phoneticPr fontId="4" type="noConversion"/>
  </si>
  <si>
    <t>DailyGetFriendPowerTimes</t>
    <phoneticPr fontId="4" type="noConversion"/>
  </si>
  <si>
    <t>30</t>
    <phoneticPr fontId="4" type="noConversion"/>
  </si>
  <si>
    <t>1</t>
    <phoneticPr fontId="4" type="noConversion"/>
  </si>
  <si>
    <t>每次好友赠送精力值</t>
    <phoneticPr fontId="4" type="noConversion"/>
  </si>
  <si>
    <t>每日获取好友精力次数（总的）</t>
    <phoneticPr fontId="4" type="noConversion"/>
  </si>
  <si>
    <t>每日赠送好友精力次数（每个好友）</t>
    <phoneticPr fontId="4" type="noConversion"/>
  </si>
  <si>
    <t>113</t>
  </si>
  <si>
    <t>114</t>
  </si>
  <si>
    <t>115</t>
  </si>
  <si>
    <t>116</t>
  </si>
  <si>
    <t>117</t>
  </si>
  <si>
    <t>118</t>
  </si>
  <si>
    <t>119</t>
  </si>
  <si>
    <t>RecommendFriendCount</t>
    <phoneticPr fontId="4" type="noConversion"/>
  </si>
  <si>
    <t>FriendPowerValue</t>
    <phoneticPr fontId="4" type="noConversion"/>
  </si>
  <si>
    <t>120</t>
    <phoneticPr fontId="4" type="noConversion"/>
  </si>
  <si>
    <t>generalcost</t>
    <phoneticPr fontId="4" type="noConversion"/>
  </si>
  <si>
    <t>消耗培养石数量</t>
    <phoneticPr fontId="4" type="noConversion"/>
  </si>
  <si>
    <t>121</t>
    <phoneticPr fontId="4" type="noConversion"/>
  </si>
  <si>
    <t>122</t>
    <phoneticPr fontId="4" type="noConversion"/>
  </si>
  <si>
    <t>123</t>
    <phoneticPr fontId="4" type="noConversion"/>
  </si>
  <si>
    <t>124</t>
    <phoneticPr fontId="4" type="noConversion"/>
  </si>
  <si>
    <t>coincost</t>
    <phoneticPr fontId="4" type="noConversion"/>
  </si>
  <si>
    <t>coincostmoney</t>
    <phoneticPr fontId="4" type="noConversion"/>
  </si>
  <si>
    <t>金币培养消耗培养石数量</t>
    <phoneticPr fontId="4" type="noConversion"/>
  </si>
  <si>
    <t>钻石培养消耗培养石数量</t>
    <phoneticPr fontId="4" type="noConversion"/>
  </si>
  <si>
    <t>diamondcost</t>
    <phoneticPr fontId="4" type="noConversion"/>
  </si>
  <si>
    <t>diamondcostmoney</t>
    <phoneticPr fontId="4" type="noConversion"/>
  </si>
  <si>
    <t>金币培养消耗金币数（货币枚举-数量）</t>
    <phoneticPr fontId="4" type="noConversion"/>
  </si>
  <si>
    <t>钻石培养消耗钻石数（货币枚举-数量）</t>
    <phoneticPr fontId="4" type="noConversion"/>
  </si>
  <si>
    <t>1-10000</t>
    <phoneticPr fontId="4" type="noConversion"/>
  </si>
  <si>
    <t>2-5</t>
    <phoneticPr fontId="4" type="noConversion"/>
  </si>
  <si>
    <t>400038-5</t>
    <phoneticPr fontId="4" type="noConversion"/>
  </si>
  <si>
    <t>400038-4</t>
    <phoneticPr fontId="4" type="noConversion"/>
  </si>
  <si>
    <t>400038-3</t>
    <phoneticPr fontId="4" type="noConversion"/>
  </si>
  <si>
    <t>guildlevelbyskill</t>
    <phoneticPr fontId="4" type="noConversion"/>
  </si>
  <si>
    <t>1</t>
    <phoneticPr fontId="4" type="noConversion"/>
  </si>
  <si>
    <t>公会技能开启需要公会等级</t>
    <phoneticPr fontId="4" type="noConversion"/>
  </si>
  <si>
    <t>125</t>
    <phoneticPr fontId="4" type="noConversion"/>
  </si>
  <si>
    <t>upgradeBuildAddExp</t>
    <phoneticPr fontId="4" type="noConversion"/>
  </si>
  <si>
    <t>1</t>
    <phoneticPr fontId="4" type="noConversion"/>
  </si>
  <si>
    <t>126</t>
  </si>
  <si>
    <t>127</t>
  </si>
  <si>
    <t>upgradeBuildAddValue</t>
    <phoneticPr fontId="4" type="noConversion"/>
  </si>
  <si>
    <t>升级公会建筑时一个道具对应增加建筑的经验</t>
    <phoneticPr fontId="4" type="noConversion"/>
  </si>
  <si>
    <t>升级公会建筑时一个道具对应增加帮贡的点数</t>
    <phoneticPr fontId="4" type="noConversion"/>
  </si>
  <si>
    <t>60,90,150</t>
    <phoneticPr fontId="4" type="noConversion"/>
  </si>
  <si>
    <t>350</t>
    <phoneticPr fontId="4" type="noConversion"/>
  </si>
  <si>
    <t>400043-100</t>
    <phoneticPr fontId="4" type="noConversion"/>
  </si>
  <si>
    <t>军团祈祷消耗材料和单次投入数量</t>
    <phoneticPr fontId="4" type="noConversion"/>
  </si>
  <si>
    <t>buildlegion</t>
    <phoneticPr fontId="4" type="noConversion"/>
  </si>
  <si>
    <t>400040-100</t>
    <phoneticPr fontId="4" type="noConversion"/>
  </si>
  <si>
    <t>pray</t>
    <phoneticPr fontId="4" type="noConversion"/>
  </si>
  <si>
    <t>buildpray</t>
    <phoneticPr fontId="4" type="noConversion"/>
  </si>
  <si>
    <t>400039-100</t>
    <phoneticPr fontId="4" type="noConversion"/>
  </si>
  <si>
    <t>buildstore</t>
    <phoneticPr fontId="4" type="noConversion"/>
  </si>
  <si>
    <t>400041-100</t>
    <phoneticPr fontId="4" type="noConversion"/>
  </si>
  <si>
    <t>神明建筑收获之神消耗材料和单次投入数量</t>
    <phoneticPr fontId="4" type="noConversion"/>
  </si>
  <si>
    <t>神明建筑众神之父消耗材料和单次投入数量</t>
    <phoneticPr fontId="4" type="noConversion"/>
  </si>
  <si>
    <t>神明建筑大地女神消耗材料和单次投入数量</t>
    <phoneticPr fontId="4" type="noConversion"/>
  </si>
  <si>
    <t>128</t>
  </si>
  <si>
    <t>129</t>
  </si>
  <si>
    <t>130</t>
  </si>
  <si>
    <t>131</t>
  </si>
  <si>
    <t>5-1|10-1|15-1|20-1|25-2|30-2|35-2|40-2|50-2|60-2</t>
    <phoneticPr fontId="4" type="noConversion"/>
  </si>
  <si>
    <t>0-0.3-d|0.3-0.5-c|0.5-0.7-b|0.7-1-a|1-0-s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</si>
</sst>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1"/>
      <color indexed="8"/>
      <name val="宋体"/>
      <charset val="134"/>
    </font>
    <font>
      <sz val="10"/>
      <color indexed="8"/>
      <name val="宋体"/>
      <family val="3"/>
      <charset val="134"/>
    </font>
    <font>
      <b/>
      <sz val="10"/>
      <color indexed="62"/>
      <name val="宋体"/>
      <family val="3"/>
      <charset val="134"/>
    </font>
    <font>
      <strike/>
      <sz val="10"/>
      <color indexed="22"/>
      <name val="宋体"/>
      <family val="3"/>
      <charset val="134"/>
    </font>
    <font>
      <sz val="9"/>
      <name val="宋体"/>
      <family val="3"/>
      <charset val="134"/>
    </font>
    <font>
      <b/>
      <sz val="10"/>
      <color theme="2"/>
      <name val="宋体"/>
      <family val="3"/>
      <charset val="134"/>
    </font>
    <font>
      <sz val="11"/>
      <color theme="2"/>
      <name val="宋体"/>
      <family val="3"/>
      <charset val="134"/>
    </font>
    <font>
      <sz val="10"/>
      <color indexed="3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</borders>
  <cellStyleXfs count="89">
    <xf numFmtId="0" fontId="0" fillId="0" borderId="0">
      <alignment vertical="center"/>
    </xf>
    <xf numFmtId="0" fontId="8" fillId="0" borderId="0"/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2" borderId="5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9" fillId="22" borderId="14" applyNumberFormat="0" applyFont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6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16" fillId="22" borderId="14" applyNumberFormat="0" applyFont="0" applyAlignment="0" applyProtection="0">
      <alignment vertical="center"/>
    </xf>
    <xf numFmtId="0" fontId="32" fillId="0" borderId="0"/>
    <xf numFmtId="0" fontId="31" fillId="0" borderId="0"/>
  </cellStyleXfs>
  <cellXfs count="31">
    <xf numFmtId="0" fontId="0" fillId="0" borderId="0" xfId="0" applyAlignment="1"/>
    <xf numFmtId="0" fontId="1" fillId="0" borderId="0" xfId="0" applyFont="1" applyAlignment="1"/>
    <xf numFmtId="49" fontId="1" fillId="0" borderId="0" xfId="0" applyNumberFormat="1" applyFont="1" applyAlignment="1" applyProtection="1">
      <alignment horizontal="left" vertical="center"/>
    </xf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 applyProtection="1">
      <alignment horizontal="center" vertical="center"/>
    </xf>
    <xf numFmtId="49" fontId="1" fillId="0" borderId="0" xfId="0" applyNumberFormat="1" applyFont="1" applyAlignment="1" applyProtection="1">
      <alignment horizontal="center" vertical="center"/>
    </xf>
    <xf numFmtId="0" fontId="0" fillId="0" borderId="0" xfId="0" applyAlignment="1" applyProtection="1"/>
    <xf numFmtId="0" fontId="0" fillId="0" borderId="0" xfId="0" applyAlignment="1" applyProtection="1">
      <protection locked="0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0" fontId="0" fillId="0" borderId="2" xfId="0" applyBorder="1" applyAlignment="1" applyProtection="1"/>
    <xf numFmtId="0" fontId="0" fillId="0" borderId="0" xfId="0" applyBorder="1" applyAlignment="1" applyProtection="1"/>
    <xf numFmtId="0" fontId="0" fillId="0" borderId="0" xfId="0" applyAlignment="1" applyProtection="1">
      <alignment horizontal="left"/>
      <protection locked="0"/>
    </xf>
    <xf numFmtId="49" fontId="1" fillId="3" borderId="1" xfId="0" applyNumberFormat="1" applyFont="1" applyFill="1" applyBorder="1" applyAlignment="1" applyProtection="1">
      <alignment horizontal="center" vertical="center"/>
    </xf>
    <xf numFmtId="49" fontId="1" fillId="4" borderId="0" xfId="0" applyNumberFormat="1" applyFont="1" applyFill="1" applyAlignment="1" applyProtection="1">
      <alignment horizontal="center" vertical="center"/>
    </xf>
    <xf numFmtId="0" fontId="1" fillId="0" borderId="0" xfId="0" applyNumberFormat="1" applyFont="1" applyAlignment="1" applyProtection="1">
      <alignment horizontal="center" vertical="center"/>
    </xf>
    <xf numFmtId="49" fontId="5" fillId="5" borderId="1" xfId="0" applyNumberFormat="1" applyFont="1" applyFill="1" applyBorder="1" applyAlignment="1" applyProtection="1">
      <alignment horizontal="center" vertical="center"/>
    </xf>
    <xf numFmtId="0" fontId="6" fillId="5" borderId="0" xfId="0" applyFont="1" applyFill="1" applyAlignment="1" applyProtection="1"/>
    <xf numFmtId="0" fontId="6" fillId="5" borderId="0" xfId="0" applyFont="1" applyFill="1" applyAlignment="1" applyProtection="1">
      <protection locked="0"/>
    </xf>
    <xf numFmtId="0" fontId="6" fillId="5" borderId="0" xfId="0" applyFont="1" applyFill="1" applyAlignment="1"/>
    <xf numFmtId="49" fontId="5" fillId="5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 applyProtection="1">
      <alignment horizontal="center" vertical="center"/>
    </xf>
    <xf numFmtId="49" fontId="1" fillId="6" borderId="0" xfId="0" applyNumberFormat="1" applyFon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49" fontId="2" fillId="0" borderId="3" xfId="0" applyNumberFormat="1" applyFont="1" applyFill="1" applyBorder="1" applyAlignment="1" applyProtection="1">
      <alignment horizontal="center" vertical="center"/>
    </xf>
    <xf numFmtId="49" fontId="1" fillId="2" borderId="0" xfId="0" applyNumberFormat="1" applyFont="1" applyFill="1" applyAlignment="1" applyProtection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0" fontId="0" fillId="7" borderId="4" xfId="0" applyFill="1" applyBorder="1" applyAlignment="1">
      <alignment horizontal="center" vertical="top"/>
    </xf>
    <xf numFmtId="0" fontId="8" fillId="7" borderId="4" xfId="1" applyFill="1" applyBorder="1" applyAlignment="1">
      <alignment horizontal="center" vertical="top"/>
    </xf>
    <xf numFmtId="49" fontId="1" fillId="2" borderId="0" xfId="0" applyNumberFormat="1" applyFont="1" applyFill="1" applyBorder="1" applyAlignment="1" applyProtection="1">
      <alignment horizontal="center" vertical="center"/>
    </xf>
  </cellXfs>
  <cellStyles count="89">
    <cellStyle name="20% - Accent1" xfId="14"/>
    <cellStyle name="20% - Accent2" xfId="8"/>
    <cellStyle name="20% - Accent3" xfId="10"/>
    <cellStyle name="20% - Accent4" xfId="3"/>
    <cellStyle name="20% - Accent5" xfId="11"/>
    <cellStyle name="20% - Accent6" xfId="12"/>
    <cellStyle name="20% - 强调文字颜色 1 2" xfId="2"/>
    <cellStyle name="20% - 强调文字颜色 2 2" xfId="15"/>
    <cellStyle name="20% - 强调文字颜色 3 2" xfId="17"/>
    <cellStyle name="20% - 强调文字颜色 4 2" xfId="20"/>
    <cellStyle name="20% - 强调文字颜色 5 2" xfId="21"/>
    <cellStyle name="20% - 强调文字颜色 6 2" xfId="22"/>
    <cellStyle name="40% - Accent1" xfId="23"/>
    <cellStyle name="40% - Accent2" xfId="24"/>
    <cellStyle name="40% - Accent3" xfId="18"/>
    <cellStyle name="40% - Accent4" xfId="25"/>
    <cellStyle name="40% - Accent5" xfId="27"/>
    <cellStyle name="40% - Accent6" xfId="28"/>
    <cellStyle name="40% - 强调文字颜色 1 2" xfId="29"/>
    <cellStyle name="40% - 强调文字颜色 2 2" xfId="30"/>
    <cellStyle name="40% - 强调文字颜色 3 2" xfId="31"/>
    <cellStyle name="40% - 强调文字颜色 4 2" xfId="6"/>
    <cellStyle name="40% - 强调文字颜色 5 2" xfId="32"/>
    <cellStyle name="40% - 强调文字颜色 6 2" xfId="33"/>
    <cellStyle name="60% - Accent1" xfId="34"/>
    <cellStyle name="60% - Accent2" xfId="35"/>
    <cellStyle name="60% - Accent3" xfId="36"/>
    <cellStyle name="60% - Accent4" xfId="37"/>
    <cellStyle name="60% - Accent5" xfId="39"/>
    <cellStyle name="60% - Accent6" xfId="40"/>
    <cellStyle name="60% - 强调文字颜色 1 2" xfId="42"/>
    <cellStyle name="60% - 强调文字颜色 2 2" xfId="43"/>
    <cellStyle name="60% - 强调文字颜色 3 2" xfId="44"/>
    <cellStyle name="60% - 强调文字颜色 4 2" xfId="46"/>
    <cellStyle name="60% - 强调文字颜色 5 2" xfId="47"/>
    <cellStyle name="60% - 强调文字颜色 6 2" xfId="48"/>
    <cellStyle name="Accent1" xfId="49"/>
    <cellStyle name="Accent2" xfId="50"/>
    <cellStyle name="Accent3" xfId="51"/>
    <cellStyle name="Accent4" xfId="52"/>
    <cellStyle name="Accent5" xfId="53"/>
    <cellStyle name="Accent6" xfId="54"/>
    <cellStyle name="Bad" xfId="55"/>
    <cellStyle name="Calculation" xfId="56"/>
    <cellStyle name="Check Cell" xfId="57"/>
    <cellStyle name="Explanatory Text" xfId="59"/>
    <cellStyle name="Good" xfId="60"/>
    <cellStyle name="Heading 1" xfId="61"/>
    <cellStyle name="Heading 2" xfId="16"/>
    <cellStyle name="Heading 3" xfId="7"/>
    <cellStyle name="Heading 4" xfId="41"/>
    <cellStyle name="Input" xfId="5"/>
    <cellStyle name="Linked Cell" xfId="63"/>
    <cellStyle name="Neutral" xfId="45"/>
    <cellStyle name="Note" xfId="64"/>
    <cellStyle name="Output" xfId="65"/>
    <cellStyle name="Title" xfId="67"/>
    <cellStyle name="Total" xfId="68"/>
    <cellStyle name="Warning Text" xfId="69"/>
    <cellStyle name="标题 1 2" xfId="70"/>
    <cellStyle name="标题 2 2" xfId="71"/>
    <cellStyle name="标题 3 2" xfId="72"/>
    <cellStyle name="标题 4 2" xfId="73"/>
    <cellStyle name="标题 5" xfId="74"/>
    <cellStyle name="差 2" xfId="75"/>
    <cellStyle name="常规" xfId="0" builtinId="0"/>
    <cellStyle name="常规 2" xfId="66"/>
    <cellStyle name="常规 3" xfId="19"/>
    <cellStyle name="常规 4" xfId="76"/>
    <cellStyle name="常规 5" xfId="88"/>
    <cellStyle name="常规 6" xfId="87"/>
    <cellStyle name="常规 7" xfId="1"/>
    <cellStyle name="好 2" xfId="77"/>
    <cellStyle name="汇总 2" xfId="78"/>
    <cellStyle name="计算 2" xfId="4"/>
    <cellStyle name="检查单元格 2" xfId="62"/>
    <cellStyle name="解释性文本 2" xfId="79"/>
    <cellStyle name="警告文本 2" xfId="26"/>
    <cellStyle name="链接单元格 2" xfId="80"/>
    <cellStyle name="强调文字颜色 1 2" xfId="58"/>
    <cellStyle name="强调文字颜色 2 2" xfId="81"/>
    <cellStyle name="强调文字颜色 3 2" xfId="82"/>
    <cellStyle name="强调文字颜色 4 2" xfId="38"/>
    <cellStyle name="强调文字颜色 5 2" xfId="83"/>
    <cellStyle name="强调文字颜色 6 2" xfId="84"/>
    <cellStyle name="适中 2" xfId="13"/>
    <cellStyle name="输出 2" xfId="9"/>
    <cellStyle name="输入 2" xfId="85"/>
    <cellStyle name="注释 2" xfId="8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8"/>
  <sheetViews>
    <sheetView tabSelected="1" workbookViewId="0">
      <pane ySplit="2" topLeftCell="A75" activePane="bottomLeft" state="frozen"/>
      <selection pane="bottomLeft" activeCell="C93" sqref="C93"/>
    </sheetView>
  </sheetViews>
  <sheetFormatPr defaultColWidth="9" defaultRowHeight="13.5" x14ac:dyDescent="0.15"/>
  <cols>
    <col min="1" max="1" width="7.5" style="6" bestFit="1" customWidth="1"/>
    <col min="2" max="2" width="20" style="6" bestFit="1" customWidth="1"/>
    <col min="3" max="3" width="60.25" style="6" customWidth="1"/>
    <col min="4" max="4" width="57.625" style="6" customWidth="1"/>
    <col min="5" max="5" width="13.25" style="7" customWidth="1"/>
    <col min="6" max="6" width="24.375" style="8" customWidth="1"/>
    <col min="7" max="7" width="13.125" customWidth="1"/>
    <col min="8" max="8" width="52" customWidth="1"/>
    <col min="9" max="15" width="8.875"/>
    <col min="16" max="16" width="10.5" customWidth="1"/>
    <col min="17" max="17" width="11.625" customWidth="1"/>
    <col min="18" max="16384" width="9" style="9"/>
  </cols>
  <sheetData>
    <row r="1" spans="1:17" s="21" customFormat="1" x14ac:dyDescent="0.15">
      <c r="A1" s="17" t="s">
        <v>5</v>
      </c>
      <c r="B1" s="17" t="s">
        <v>7</v>
      </c>
      <c r="C1" s="17" t="s">
        <v>1</v>
      </c>
      <c r="D1" s="17" t="s">
        <v>6</v>
      </c>
      <c r="E1" s="18"/>
      <c r="F1" s="19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s="4" customFormat="1" x14ac:dyDescent="0.15">
      <c r="A2" s="10"/>
      <c r="B2" s="10" t="s">
        <v>2</v>
      </c>
      <c r="C2" s="10" t="s">
        <v>3</v>
      </c>
      <c r="D2" s="10" t="s">
        <v>4</v>
      </c>
      <c r="E2" s="25" t="s">
        <v>71</v>
      </c>
      <c r="F2" s="8"/>
      <c r="G2"/>
      <c r="H2"/>
      <c r="I2"/>
      <c r="J2"/>
      <c r="K2"/>
      <c r="L2"/>
      <c r="M2"/>
      <c r="N2"/>
      <c r="O2"/>
      <c r="P2"/>
      <c r="Q2"/>
    </row>
    <row r="3" spans="1:17" x14ac:dyDescent="0.15">
      <c r="A3" s="14" t="s">
        <v>23</v>
      </c>
      <c r="B3" s="15" t="s">
        <v>8</v>
      </c>
      <c r="C3" s="15" t="s">
        <v>9</v>
      </c>
      <c r="D3" s="15" t="s">
        <v>10</v>
      </c>
    </row>
    <row r="4" spans="1:17" x14ac:dyDescent="0.15">
      <c r="A4" s="14" t="s">
        <v>276</v>
      </c>
      <c r="B4" s="15" t="s">
        <v>11</v>
      </c>
      <c r="C4" s="15" t="s">
        <v>9</v>
      </c>
      <c r="D4" s="15" t="s">
        <v>12</v>
      </c>
    </row>
    <row r="5" spans="1:17" x14ac:dyDescent="0.15">
      <c r="A5" s="14" t="s">
        <v>277</v>
      </c>
      <c r="B5" s="15" t="s">
        <v>13</v>
      </c>
      <c r="C5" s="15" t="s">
        <v>9</v>
      </c>
      <c r="D5" s="15" t="s">
        <v>14</v>
      </c>
    </row>
    <row r="6" spans="1:17" x14ac:dyDescent="0.15">
      <c r="A6" s="14" t="s">
        <v>278</v>
      </c>
      <c r="B6" s="15" t="s">
        <v>15</v>
      </c>
      <c r="C6" s="15" t="s">
        <v>16</v>
      </c>
      <c r="D6" s="15" t="s">
        <v>17</v>
      </c>
    </row>
    <row r="7" spans="1:17" x14ac:dyDescent="0.15">
      <c r="A7" s="14" t="s">
        <v>21</v>
      </c>
      <c r="B7" s="15" t="s">
        <v>18</v>
      </c>
      <c r="C7" s="15" t="s">
        <v>16</v>
      </c>
      <c r="D7" s="15" t="s">
        <v>19</v>
      </c>
    </row>
    <row r="8" spans="1:17" x14ac:dyDescent="0.15">
      <c r="A8" s="14" t="s">
        <v>279</v>
      </c>
      <c r="B8" s="15" t="s">
        <v>20</v>
      </c>
      <c r="C8" s="15" t="s">
        <v>305</v>
      </c>
      <c r="D8" s="15" t="s">
        <v>22</v>
      </c>
    </row>
    <row r="9" spans="1:17" x14ac:dyDescent="0.15">
      <c r="A9" s="14" t="s">
        <v>280</v>
      </c>
      <c r="B9" s="6" t="s">
        <v>24</v>
      </c>
      <c r="C9" s="16">
        <v>300</v>
      </c>
      <c r="D9" s="6" t="s">
        <v>25</v>
      </c>
    </row>
    <row r="10" spans="1:17" x14ac:dyDescent="0.15">
      <c r="A10" s="14" t="s">
        <v>205</v>
      </c>
      <c r="B10" s="6" t="s">
        <v>29</v>
      </c>
      <c r="C10" s="16">
        <v>120</v>
      </c>
      <c r="D10" s="6" t="s">
        <v>30</v>
      </c>
    </row>
    <row r="11" spans="1:17" x14ac:dyDescent="0.15">
      <c r="A11" s="14" t="s">
        <v>281</v>
      </c>
      <c r="B11" s="6" t="s">
        <v>26</v>
      </c>
      <c r="C11" s="6" t="s">
        <v>27</v>
      </c>
      <c r="D11" s="6" t="s">
        <v>28</v>
      </c>
      <c r="E11" s="11"/>
    </row>
    <row r="12" spans="1:17" x14ac:dyDescent="0.15">
      <c r="A12" s="14" t="s">
        <v>16</v>
      </c>
      <c r="B12" s="23" t="s">
        <v>33</v>
      </c>
      <c r="C12" s="23" t="s">
        <v>34</v>
      </c>
      <c r="D12" s="23" t="s">
        <v>52</v>
      </c>
      <c r="E12" s="11"/>
    </row>
    <row r="13" spans="1:17" x14ac:dyDescent="0.15">
      <c r="A13" s="14" t="s">
        <v>282</v>
      </c>
      <c r="B13" s="23" t="s">
        <v>35</v>
      </c>
      <c r="C13" s="23" t="s">
        <v>34</v>
      </c>
      <c r="D13" s="23" t="s">
        <v>53</v>
      </c>
      <c r="E13" s="11"/>
    </row>
    <row r="14" spans="1:17" x14ac:dyDescent="0.15">
      <c r="A14" s="14" t="s">
        <v>283</v>
      </c>
      <c r="B14" s="23" t="s">
        <v>36</v>
      </c>
      <c r="C14" s="23" t="s">
        <v>34</v>
      </c>
      <c r="D14" s="23" t="s">
        <v>54</v>
      </c>
      <c r="E14" s="11"/>
    </row>
    <row r="15" spans="1:17" x14ac:dyDescent="0.15">
      <c r="A15" s="14" t="s">
        <v>284</v>
      </c>
      <c r="B15" s="23" t="s">
        <v>37</v>
      </c>
      <c r="C15" s="23" t="s">
        <v>34</v>
      </c>
      <c r="D15" s="23" t="s">
        <v>55</v>
      </c>
      <c r="E15" s="11"/>
    </row>
    <row r="16" spans="1:17" x14ac:dyDescent="0.15">
      <c r="A16" s="14" t="s">
        <v>285</v>
      </c>
      <c r="B16" s="23" t="s">
        <v>38</v>
      </c>
      <c r="C16" s="23" t="s">
        <v>34</v>
      </c>
      <c r="D16" s="23" t="s">
        <v>56</v>
      </c>
      <c r="E16" s="11"/>
    </row>
    <row r="17" spans="1:5" x14ac:dyDescent="0.15">
      <c r="A17" s="14" t="s">
        <v>286</v>
      </c>
      <c r="B17" s="23" t="s">
        <v>39</v>
      </c>
      <c r="C17" s="23" t="s">
        <v>34</v>
      </c>
      <c r="D17" s="23" t="s">
        <v>57</v>
      </c>
      <c r="E17" s="11"/>
    </row>
    <row r="18" spans="1:5" x14ac:dyDescent="0.15">
      <c r="A18" s="14" t="s">
        <v>287</v>
      </c>
      <c r="B18" s="23" t="s">
        <v>40</v>
      </c>
      <c r="C18" s="23" t="s">
        <v>228</v>
      </c>
      <c r="D18" s="23" t="s">
        <v>46</v>
      </c>
      <c r="E18" s="11"/>
    </row>
    <row r="19" spans="1:5" x14ac:dyDescent="0.15">
      <c r="A19" s="14" t="s">
        <v>288</v>
      </c>
      <c r="B19" s="23" t="s">
        <v>41</v>
      </c>
      <c r="C19" s="23" t="s">
        <v>229</v>
      </c>
      <c r="D19" s="23" t="s">
        <v>47</v>
      </c>
      <c r="E19" s="11"/>
    </row>
    <row r="20" spans="1:5" x14ac:dyDescent="0.15">
      <c r="A20" s="14" t="s">
        <v>289</v>
      </c>
      <c r="B20" s="23" t="s">
        <v>42</v>
      </c>
      <c r="C20" s="23" t="s">
        <v>230</v>
      </c>
      <c r="D20" s="23" t="s">
        <v>48</v>
      </c>
      <c r="E20" s="11"/>
    </row>
    <row r="21" spans="1:5" x14ac:dyDescent="0.15">
      <c r="A21" s="14" t="s">
        <v>290</v>
      </c>
      <c r="B21" s="23" t="s">
        <v>43</v>
      </c>
      <c r="C21" s="23" t="s">
        <v>231</v>
      </c>
      <c r="D21" s="23" t="s">
        <v>49</v>
      </c>
      <c r="E21" s="11"/>
    </row>
    <row r="22" spans="1:5" x14ac:dyDescent="0.15">
      <c r="A22" s="14" t="s">
        <v>210</v>
      </c>
      <c r="B22" s="23" t="s">
        <v>44</v>
      </c>
      <c r="C22" s="23" t="s">
        <v>184</v>
      </c>
      <c r="D22" s="23" t="s">
        <v>50</v>
      </c>
      <c r="E22" s="11"/>
    </row>
    <row r="23" spans="1:5" x14ac:dyDescent="0.15">
      <c r="A23" s="14" t="s">
        <v>291</v>
      </c>
      <c r="B23" s="23" t="s">
        <v>45</v>
      </c>
      <c r="C23" s="23" t="s">
        <v>72</v>
      </c>
      <c r="D23" s="23" t="s">
        <v>51</v>
      </c>
      <c r="E23" s="11"/>
    </row>
    <row r="24" spans="1:5" x14ac:dyDescent="0.15">
      <c r="A24" s="14" t="s">
        <v>292</v>
      </c>
      <c r="B24" s="24" t="s">
        <v>66</v>
      </c>
      <c r="C24" s="24" t="s">
        <v>58</v>
      </c>
      <c r="D24" s="24" t="s">
        <v>62</v>
      </c>
      <c r="E24" s="11" t="s">
        <v>70</v>
      </c>
    </row>
    <row r="25" spans="1:5" x14ac:dyDescent="0.15">
      <c r="A25" s="14" t="s">
        <v>293</v>
      </c>
      <c r="B25" s="24" t="s">
        <v>67</v>
      </c>
      <c r="C25" s="24" t="s">
        <v>59</v>
      </c>
      <c r="D25" s="24" t="s">
        <v>63</v>
      </c>
      <c r="E25" s="11"/>
    </row>
    <row r="26" spans="1:5" x14ac:dyDescent="0.15">
      <c r="A26" s="14" t="s">
        <v>294</v>
      </c>
      <c r="B26" s="24" t="s">
        <v>68</v>
      </c>
      <c r="C26" s="24" t="s">
        <v>60</v>
      </c>
      <c r="D26" s="24" t="s">
        <v>64</v>
      </c>
      <c r="E26" s="11"/>
    </row>
    <row r="27" spans="1:5" x14ac:dyDescent="0.15">
      <c r="A27" s="14" t="s">
        <v>295</v>
      </c>
      <c r="B27" s="24" t="s">
        <v>69</v>
      </c>
      <c r="C27" s="24" t="s">
        <v>61</v>
      </c>
      <c r="D27" s="24" t="s">
        <v>65</v>
      </c>
      <c r="E27" s="11"/>
    </row>
    <row r="28" spans="1:5" x14ac:dyDescent="0.15">
      <c r="A28" s="14" t="s">
        <v>296</v>
      </c>
      <c r="B28" s="6" t="s">
        <v>75</v>
      </c>
      <c r="C28" s="6" t="s">
        <v>72</v>
      </c>
      <c r="D28" s="6" t="s">
        <v>73</v>
      </c>
      <c r="E28" s="11"/>
    </row>
    <row r="29" spans="1:5" x14ac:dyDescent="0.15">
      <c r="A29" s="14" t="s">
        <v>74</v>
      </c>
      <c r="B29" s="6" t="s">
        <v>78</v>
      </c>
      <c r="C29" s="6" t="s">
        <v>76</v>
      </c>
      <c r="D29" s="6" t="s">
        <v>77</v>
      </c>
      <c r="E29" s="11"/>
    </row>
    <row r="30" spans="1:5" x14ac:dyDescent="0.15">
      <c r="A30" s="14" t="s">
        <v>79</v>
      </c>
      <c r="B30" s="6" t="s">
        <v>80</v>
      </c>
      <c r="C30" s="6" t="s">
        <v>81</v>
      </c>
      <c r="D30" s="22" t="s">
        <v>82</v>
      </c>
      <c r="E30" s="11"/>
    </row>
    <row r="31" spans="1:5" x14ac:dyDescent="0.15">
      <c r="A31" s="14" t="s">
        <v>297</v>
      </c>
      <c r="B31" s="6" t="s">
        <v>85</v>
      </c>
      <c r="C31" s="6" t="s">
        <v>309</v>
      </c>
      <c r="D31" s="22" t="s">
        <v>83</v>
      </c>
      <c r="E31" s="11"/>
    </row>
    <row r="32" spans="1:5" x14ac:dyDescent="0.15">
      <c r="A32" s="14" t="s">
        <v>84</v>
      </c>
      <c r="B32" s="6" t="s">
        <v>90</v>
      </c>
      <c r="C32" s="6" t="s">
        <v>86</v>
      </c>
      <c r="D32" s="22" t="s">
        <v>87</v>
      </c>
      <c r="E32" s="11"/>
    </row>
    <row r="33" spans="1:5" x14ac:dyDescent="0.15">
      <c r="A33" s="14" t="s">
        <v>298</v>
      </c>
      <c r="B33" s="6" t="s">
        <v>88</v>
      </c>
      <c r="C33" s="6" t="s">
        <v>326</v>
      </c>
      <c r="D33" s="22" t="s">
        <v>89</v>
      </c>
      <c r="E33" s="11"/>
    </row>
    <row r="34" spans="1:5" x14ac:dyDescent="0.15">
      <c r="A34" s="14" t="s">
        <v>299</v>
      </c>
      <c r="B34" s="6" t="s">
        <v>91</v>
      </c>
      <c r="C34" s="6" t="s">
        <v>332</v>
      </c>
      <c r="D34" s="22" t="s">
        <v>92</v>
      </c>
      <c r="E34" s="11"/>
    </row>
    <row r="35" spans="1:5" x14ac:dyDescent="0.15">
      <c r="A35" s="14" t="s">
        <v>152</v>
      </c>
      <c r="B35" s="6" t="s">
        <v>93</v>
      </c>
      <c r="C35" s="6" t="s">
        <v>96</v>
      </c>
      <c r="D35" s="6" t="s">
        <v>95</v>
      </c>
      <c r="E35" s="11"/>
    </row>
    <row r="36" spans="1:5" x14ac:dyDescent="0.15">
      <c r="A36" s="14" t="s">
        <v>153</v>
      </c>
      <c r="B36" s="6" t="s">
        <v>94</v>
      </c>
      <c r="C36" s="6" t="s">
        <v>99</v>
      </c>
      <c r="D36" s="6" t="s">
        <v>95</v>
      </c>
      <c r="E36" s="11"/>
    </row>
    <row r="37" spans="1:5" x14ac:dyDescent="0.15">
      <c r="A37" s="14" t="s">
        <v>154</v>
      </c>
      <c r="B37" s="6" t="s">
        <v>97</v>
      </c>
      <c r="C37" s="22" t="s">
        <v>133</v>
      </c>
      <c r="D37" s="6" t="s">
        <v>98</v>
      </c>
      <c r="E37" s="11"/>
    </row>
    <row r="38" spans="1:5" x14ac:dyDescent="0.15">
      <c r="A38" s="14" t="s">
        <v>155</v>
      </c>
      <c r="B38" s="6" t="s">
        <v>101</v>
      </c>
      <c r="C38" s="6" t="s">
        <v>102</v>
      </c>
      <c r="D38" s="6" t="s">
        <v>103</v>
      </c>
      <c r="E38" s="11"/>
    </row>
    <row r="39" spans="1:5" x14ac:dyDescent="0.15">
      <c r="A39" s="14" t="s">
        <v>100</v>
      </c>
      <c r="B39" s="6" t="s">
        <v>109</v>
      </c>
      <c r="C39" s="6" t="s">
        <v>115</v>
      </c>
      <c r="D39" s="6" t="s">
        <v>104</v>
      </c>
    </row>
    <row r="40" spans="1:5" x14ac:dyDescent="0.15">
      <c r="A40" s="14" t="s">
        <v>156</v>
      </c>
      <c r="B40" s="22" t="s">
        <v>200</v>
      </c>
      <c r="C40" s="6" t="s">
        <v>116</v>
      </c>
      <c r="D40" s="6" t="s">
        <v>105</v>
      </c>
    </row>
    <row r="41" spans="1:5" x14ac:dyDescent="0.15">
      <c r="A41" s="14" t="s">
        <v>157</v>
      </c>
      <c r="B41" s="22" t="s">
        <v>110</v>
      </c>
      <c r="C41" s="6" t="s">
        <v>450</v>
      </c>
      <c r="D41" s="6" t="s">
        <v>106</v>
      </c>
    </row>
    <row r="42" spans="1:5" x14ac:dyDescent="0.15">
      <c r="A42" s="14" t="s">
        <v>158</v>
      </c>
      <c r="B42" s="6" t="s">
        <v>111</v>
      </c>
      <c r="C42" s="6" t="s">
        <v>108</v>
      </c>
      <c r="D42" s="6" t="s">
        <v>107</v>
      </c>
    </row>
    <row r="43" spans="1:5" x14ac:dyDescent="0.15">
      <c r="A43" s="14" t="s">
        <v>159</v>
      </c>
      <c r="B43" s="6" t="s">
        <v>112</v>
      </c>
      <c r="C43" s="6" t="s">
        <v>114</v>
      </c>
      <c r="D43" s="6" t="s">
        <v>113</v>
      </c>
    </row>
    <row r="44" spans="1:5" x14ac:dyDescent="0.15">
      <c r="A44" s="14" t="s">
        <v>160</v>
      </c>
      <c r="B44" s="26" t="s">
        <v>117</v>
      </c>
      <c r="C44" s="27" t="s">
        <v>131</v>
      </c>
      <c r="D44" s="26" t="s">
        <v>118</v>
      </c>
    </row>
    <row r="45" spans="1:5" x14ac:dyDescent="0.15">
      <c r="A45" s="14" t="s">
        <v>161</v>
      </c>
      <c r="B45" s="26" t="s">
        <v>119</v>
      </c>
      <c r="C45" s="26" t="s">
        <v>120</v>
      </c>
      <c r="D45" s="26" t="s">
        <v>121</v>
      </c>
    </row>
    <row r="46" spans="1:5" x14ac:dyDescent="0.15">
      <c r="A46" s="14" t="s">
        <v>162</v>
      </c>
      <c r="B46" s="26" t="s">
        <v>122</v>
      </c>
      <c r="C46" s="26" t="s">
        <v>123</v>
      </c>
      <c r="D46" s="26" t="s">
        <v>124</v>
      </c>
    </row>
    <row r="47" spans="1:5" x14ac:dyDescent="0.15">
      <c r="A47" s="14" t="s">
        <v>163</v>
      </c>
      <c r="B47" s="26" t="s">
        <v>125</v>
      </c>
      <c r="C47" s="26" t="s">
        <v>21</v>
      </c>
      <c r="D47" s="26" t="s">
        <v>126</v>
      </c>
    </row>
    <row r="48" spans="1:5" x14ac:dyDescent="0.15">
      <c r="A48" s="14" t="s">
        <v>164</v>
      </c>
      <c r="B48" s="26" t="s">
        <v>147</v>
      </c>
      <c r="C48" s="26" t="s">
        <v>146</v>
      </c>
      <c r="D48" s="26" t="s">
        <v>148</v>
      </c>
    </row>
    <row r="49" spans="1:5" x14ac:dyDescent="0.15">
      <c r="A49" s="14" t="s">
        <v>165</v>
      </c>
      <c r="B49" s="26" t="s">
        <v>145</v>
      </c>
      <c r="C49" s="26" t="s">
        <v>304</v>
      </c>
      <c r="D49" s="26" t="s">
        <v>149</v>
      </c>
    </row>
    <row r="50" spans="1:5" x14ac:dyDescent="0.15">
      <c r="A50" s="14" t="s">
        <v>127</v>
      </c>
      <c r="B50" s="6" t="s">
        <v>132</v>
      </c>
      <c r="C50" s="6" t="s">
        <v>133</v>
      </c>
      <c r="D50" s="6" t="s">
        <v>134</v>
      </c>
    </row>
    <row r="51" spans="1:5" x14ac:dyDescent="0.15">
      <c r="A51" s="14" t="s">
        <v>166</v>
      </c>
      <c r="B51" s="6" t="s">
        <v>135</v>
      </c>
      <c r="D51" s="6" t="s">
        <v>136</v>
      </c>
    </row>
    <row r="52" spans="1:5" x14ac:dyDescent="0.15">
      <c r="A52" s="14" t="s">
        <v>167</v>
      </c>
      <c r="B52" s="6" t="s">
        <v>137</v>
      </c>
      <c r="D52" s="6" t="s">
        <v>140</v>
      </c>
    </row>
    <row r="53" spans="1:5" x14ac:dyDescent="0.15">
      <c r="A53" s="14" t="s">
        <v>128</v>
      </c>
      <c r="B53" s="6" t="s">
        <v>141</v>
      </c>
      <c r="C53" s="6" t="s">
        <v>139</v>
      </c>
      <c r="D53" s="6" t="s">
        <v>138</v>
      </c>
    </row>
    <row r="54" spans="1:5" x14ac:dyDescent="0.15">
      <c r="A54" s="14" t="s">
        <v>129</v>
      </c>
      <c r="B54" s="6" t="s">
        <v>143</v>
      </c>
      <c r="C54" s="28">
        <v>400019</v>
      </c>
      <c r="D54" s="6" t="s">
        <v>142</v>
      </c>
    </row>
    <row r="55" spans="1:5" x14ac:dyDescent="0.15">
      <c r="A55" s="14" t="s">
        <v>130</v>
      </c>
      <c r="B55" s="22" t="s">
        <v>144</v>
      </c>
      <c r="C55" s="28">
        <v>400020</v>
      </c>
      <c r="D55" s="6" t="s">
        <v>327</v>
      </c>
    </row>
    <row r="56" spans="1:5" x14ac:dyDescent="0.15">
      <c r="A56" s="14" t="s">
        <v>168</v>
      </c>
      <c r="B56" s="6" t="s">
        <v>181</v>
      </c>
      <c r="C56" s="6" t="s">
        <v>150</v>
      </c>
      <c r="D56" s="6" t="s">
        <v>151</v>
      </c>
    </row>
    <row r="57" spans="1:5" x14ac:dyDescent="0.15">
      <c r="A57" s="14" t="s">
        <v>169</v>
      </c>
      <c r="B57" s="6" t="s">
        <v>172</v>
      </c>
      <c r="C57" s="6" t="s">
        <v>176</v>
      </c>
      <c r="D57" s="6" t="s">
        <v>173</v>
      </c>
    </row>
    <row r="58" spans="1:5" x14ac:dyDescent="0.15">
      <c r="A58" s="14" t="s">
        <v>170</v>
      </c>
      <c r="B58" s="6" t="s">
        <v>178</v>
      </c>
      <c r="C58" s="29" t="s">
        <v>273</v>
      </c>
      <c r="D58" s="6" t="s">
        <v>174</v>
      </c>
      <c r="E58" s="12"/>
    </row>
    <row r="59" spans="1:5" x14ac:dyDescent="0.15">
      <c r="A59" s="14" t="s">
        <v>171</v>
      </c>
      <c r="B59" s="22" t="s">
        <v>179</v>
      </c>
      <c r="C59" s="6" t="s">
        <v>177</v>
      </c>
      <c r="D59" s="22" t="s">
        <v>175</v>
      </c>
      <c r="E59" s="12"/>
    </row>
    <row r="60" spans="1:5" x14ac:dyDescent="0.15">
      <c r="A60" s="14" t="s">
        <v>180</v>
      </c>
      <c r="B60" s="6" t="s">
        <v>182</v>
      </c>
      <c r="C60" s="6" t="s">
        <v>313</v>
      </c>
      <c r="D60" s="6" t="s">
        <v>183</v>
      </c>
      <c r="E60" s="12"/>
    </row>
    <row r="61" spans="1:5" x14ac:dyDescent="0.15">
      <c r="A61" s="14" t="s">
        <v>300</v>
      </c>
      <c r="B61" s="6" t="s">
        <v>187</v>
      </c>
      <c r="C61" s="6" t="s">
        <v>184</v>
      </c>
      <c r="D61" s="6" t="s">
        <v>185</v>
      </c>
      <c r="E61" s="12"/>
    </row>
    <row r="62" spans="1:5" x14ac:dyDescent="0.15">
      <c r="A62" s="14" t="s">
        <v>186</v>
      </c>
      <c r="B62" s="6" t="s">
        <v>189</v>
      </c>
      <c r="C62" s="6" t="s">
        <v>195</v>
      </c>
      <c r="D62" s="6" t="s">
        <v>190</v>
      </c>
      <c r="E62" s="12"/>
    </row>
    <row r="63" spans="1:5" x14ac:dyDescent="0.15">
      <c r="A63" s="14" t="s">
        <v>188</v>
      </c>
      <c r="B63" s="6" t="s">
        <v>191</v>
      </c>
      <c r="C63" s="6" t="s">
        <v>192</v>
      </c>
      <c r="D63" s="6" t="s">
        <v>193</v>
      </c>
      <c r="E63" s="12"/>
    </row>
    <row r="64" spans="1:5" x14ac:dyDescent="0.15">
      <c r="A64" s="14" t="s">
        <v>194</v>
      </c>
      <c r="B64" s="6" t="s">
        <v>199</v>
      </c>
      <c r="C64" s="6" t="s">
        <v>196</v>
      </c>
      <c r="D64" s="6" t="s">
        <v>197</v>
      </c>
      <c r="E64" s="12"/>
    </row>
    <row r="65" spans="1:4" x14ac:dyDescent="0.15">
      <c r="A65" s="14" t="s">
        <v>198</v>
      </c>
      <c r="B65" s="6" t="s">
        <v>201</v>
      </c>
      <c r="C65" s="6" t="s">
        <v>203</v>
      </c>
      <c r="D65" s="6" t="s">
        <v>202</v>
      </c>
    </row>
    <row r="66" spans="1:4" x14ac:dyDescent="0.15">
      <c r="A66" s="14" t="s">
        <v>301</v>
      </c>
      <c r="B66" s="6" t="s">
        <v>204</v>
      </c>
      <c r="C66" s="6" t="s">
        <v>205</v>
      </c>
      <c r="D66" s="6" t="s">
        <v>206</v>
      </c>
    </row>
    <row r="67" spans="1:4" x14ac:dyDescent="0.15">
      <c r="A67" s="14" t="s">
        <v>221</v>
      </c>
      <c r="B67" s="6" t="s">
        <v>207</v>
      </c>
      <c r="C67" s="6" t="s">
        <v>9</v>
      </c>
      <c r="D67" s="6" t="s">
        <v>208</v>
      </c>
    </row>
    <row r="68" spans="1:4" x14ac:dyDescent="0.15">
      <c r="A68" s="14" t="s">
        <v>222</v>
      </c>
      <c r="B68" s="6" t="s">
        <v>209</v>
      </c>
      <c r="C68" s="6" t="s">
        <v>210</v>
      </c>
      <c r="D68" s="6" t="s">
        <v>211</v>
      </c>
    </row>
    <row r="69" spans="1:4" x14ac:dyDescent="0.15">
      <c r="A69" s="14" t="s">
        <v>223</v>
      </c>
      <c r="B69" s="6" t="s">
        <v>212</v>
      </c>
      <c r="C69" s="6" t="s">
        <v>213</v>
      </c>
      <c r="D69" s="6" t="s">
        <v>214</v>
      </c>
    </row>
    <row r="70" spans="1:4" x14ac:dyDescent="0.15">
      <c r="A70" s="14" t="s">
        <v>224</v>
      </c>
      <c r="B70" s="6" t="s">
        <v>215</v>
      </c>
      <c r="C70" s="6" t="s">
        <v>21</v>
      </c>
      <c r="D70" s="6" t="s">
        <v>216</v>
      </c>
    </row>
    <row r="71" spans="1:4" x14ac:dyDescent="0.15">
      <c r="A71" s="14" t="s">
        <v>225</v>
      </c>
      <c r="B71" s="6" t="s">
        <v>217</v>
      </c>
      <c r="C71" s="6" t="s">
        <v>213</v>
      </c>
      <c r="D71" s="6" t="s">
        <v>218</v>
      </c>
    </row>
    <row r="72" spans="1:4" x14ac:dyDescent="0.15">
      <c r="A72" s="14" t="s">
        <v>226</v>
      </c>
      <c r="B72" s="6" t="s">
        <v>219</v>
      </c>
      <c r="C72" s="6" t="s">
        <v>167</v>
      </c>
      <c r="D72" s="6" t="s">
        <v>220</v>
      </c>
    </row>
    <row r="73" spans="1:4" x14ac:dyDescent="0.15">
      <c r="A73" s="14" t="s">
        <v>227</v>
      </c>
      <c r="B73" s="6" t="s">
        <v>234</v>
      </c>
      <c r="C73" s="6" t="s">
        <v>232</v>
      </c>
      <c r="D73" s="6" t="s">
        <v>233</v>
      </c>
    </row>
    <row r="74" spans="1:4" x14ac:dyDescent="0.15">
      <c r="A74" s="14" t="s">
        <v>302</v>
      </c>
      <c r="B74" s="15" t="s">
        <v>235</v>
      </c>
      <c r="C74" s="15" t="s">
        <v>333</v>
      </c>
      <c r="D74" s="15" t="s">
        <v>236</v>
      </c>
    </row>
    <row r="75" spans="1:4" x14ac:dyDescent="0.15">
      <c r="A75" s="14" t="s">
        <v>303</v>
      </c>
      <c r="B75" s="6" t="s">
        <v>237</v>
      </c>
      <c r="C75" s="6" t="s">
        <v>238</v>
      </c>
      <c r="D75" s="6" t="s">
        <v>239</v>
      </c>
    </row>
    <row r="76" spans="1:4" x14ac:dyDescent="0.15">
      <c r="A76" s="14" t="s">
        <v>242</v>
      </c>
      <c r="B76" s="6" t="s">
        <v>241</v>
      </c>
      <c r="C76" s="6" t="s">
        <v>238</v>
      </c>
      <c r="D76" s="6" t="s">
        <v>240</v>
      </c>
    </row>
    <row r="77" spans="1:4" x14ac:dyDescent="0.15">
      <c r="A77" s="14" t="s">
        <v>243</v>
      </c>
      <c r="B77" s="6" t="s">
        <v>244</v>
      </c>
      <c r="C77" s="6" t="s">
        <v>258</v>
      </c>
      <c r="D77" s="22" t="s">
        <v>0</v>
      </c>
    </row>
    <row r="78" spans="1:4" x14ac:dyDescent="0.15">
      <c r="A78" s="14" t="s">
        <v>252</v>
      </c>
      <c r="B78" s="6" t="s">
        <v>245</v>
      </c>
      <c r="C78" s="6" t="s">
        <v>259</v>
      </c>
      <c r="D78" s="22" t="s">
        <v>264</v>
      </c>
    </row>
    <row r="79" spans="1:4" x14ac:dyDescent="0.15">
      <c r="A79" s="14" t="s">
        <v>253</v>
      </c>
      <c r="B79" s="6" t="s">
        <v>246</v>
      </c>
      <c r="C79" s="6" t="s">
        <v>261</v>
      </c>
      <c r="D79" s="22" t="s">
        <v>265</v>
      </c>
    </row>
    <row r="80" spans="1:4" x14ac:dyDescent="0.15">
      <c r="A80" s="14" t="s">
        <v>254</v>
      </c>
      <c r="B80" s="6" t="s">
        <v>247</v>
      </c>
      <c r="C80" s="6" t="s">
        <v>262</v>
      </c>
      <c r="D80" s="22" t="s">
        <v>266</v>
      </c>
    </row>
    <row r="81" spans="1:6" x14ac:dyDescent="0.15">
      <c r="A81" s="14" t="s">
        <v>255</v>
      </c>
      <c r="B81" s="22" t="s">
        <v>263</v>
      </c>
      <c r="C81" s="22" t="s">
        <v>268</v>
      </c>
      <c r="D81" s="22" t="s">
        <v>267</v>
      </c>
    </row>
    <row r="82" spans="1:6" x14ac:dyDescent="0.15">
      <c r="A82" s="14" t="s">
        <v>256</v>
      </c>
      <c r="B82" s="6" t="s">
        <v>248</v>
      </c>
      <c r="C82" s="6" t="s">
        <v>260</v>
      </c>
      <c r="D82" s="6" t="s">
        <v>250</v>
      </c>
    </row>
    <row r="83" spans="1:6" x14ac:dyDescent="0.15">
      <c r="A83" s="14" t="s">
        <v>257</v>
      </c>
      <c r="B83" s="6" t="s">
        <v>249</v>
      </c>
      <c r="C83" s="6" t="s">
        <v>260</v>
      </c>
      <c r="D83" s="6" t="s">
        <v>251</v>
      </c>
    </row>
    <row r="84" spans="1:6" x14ac:dyDescent="0.15">
      <c r="A84" s="14" t="s">
        <v>269</v>
      </c>
      <c r="B84" s="6" t="s">
        <v>31</v>
      </c>
      <c r="C84" s="6" t="s">
        <v>274</v>
      </c>
      <c r="D84" s="6" t="s">
        <v>32</v>
      </c>
    </row>
    <row r="85" spans="1:6" x14ac:dyDescent="0.15">
      <c r="A85" s="14" t="s">
        <v>275</v>
      </c>
      <c r="B85" s="6" t="s">
        <v>270</v>
      </c>
      <c r="C85" s="6" t="s">
        <v>271</v>
      </c>
      <c r="D85" s="6" t="s">
        <v>272</v>
      </c>
    </row>
    <row r="86" spans="1:6" x14ac:dyDescent="0.15">
      <c r="A86" s="14" t="s">
        <v>307</v>
      </c>
      <c r="B86" s="6" t="s">
        <v>306</v>
      </c>
      <c r="C86" s="6" t="s">
        <v>23</v>
      </c>
      <c r="D86" s="6" t="s">
        <v>308</v>
      </c>
    </row>
    <row r="87" spans="1:6" x14ac:dyDescent="0.15">
      <c r="A87" s="14" t="s">
        <v>310</v>
      </c>
      <c r="B87" s="6" t="s">
        <v>311</v>
      </c>
      <c r="C87" s="6" t="s">
        <v>467</v>
      </c>
      <c r="D87" s="6" t="s">
        <v>312</v>
      </c>
    </row>
    <row r="88" spans="1:6" x14ac:dyDescent="0.15">
      <c r="A88" s="14" t="s">
        <v>314</v>
      </c>
      <c r="B88" s="6" t="s">
        <v>320</v>
      </c>
      <c r="C88" s="6" t="s">
        <v>322</v>
      </c>
      <c r="D88" s="6" t="s">
        <v>323</v>
      </c>
    </row>
    <row r="89" spans="1:6" x14ac:dyDescent="0.15">
      <c r="A89" s="14" t="s">
        <v>315</v>
      </c>
      <c r="B89" s="6" t="s">
        <v>321</v>
      </c>
      <c r="C89" s="6" t="s">
        <v>325</v>
      </c>
      <c r="D89" s="22" t="s">
        <v>324</v>
      </c>
    </row>
    <row r="90" spans="1:6" x14ac:dyDescent="0.15">
      <c r="A90" s="14" t="s">
        <v>317</v>
      </c>
      <c r="B90" s="6" t="s">
        <v>316</v>
      </c>
      <c r="C90" s="6" t="s">
        <v>318</v>
      </c>
      <c r="D90" s="6" t="s">
        <v>319</v>
      </c>
    </row>
    <row r="91" spans="1:6" x14ac:dyDescent="0.15">
      <c r="A91" s="14" t="s">
        <v>331</v>
      </c>
      <c r="B91" s="6" t="s">
        <v>328</v>
      </c>
      <c r="C91" s="6" t="s">
        <v>329</v>
      </c>
      <c r="D91" s="6" t="s">
        <v>330</v>
      </c>
    </row>
    <row r="92" spans="1:6" x14ac:dyDescent="0.15">
      <c r="A92" s="6" t="s">
        <v>334</v>
      </c>
      <c r="B92" s="6" t="s">
        <v>337</v>
      </c>
      <c r="C92" s="6" t="s">
        <v>335</v>
      </c>
      <c r="D92" s="6" t="s">
        <v>336</v>
      </c>
    </row>
    <row r="93" spans="1:6" x14ac:dyDescent="0.15">
      <c r="A93" s="6" t="s">
        <v>338</v>
      </c>
      <c r="B93" s="6" t="s">
        <v>339</v>
      </c>
      <c r="C93" s="6" t="s">
        <v>468</v>
      </c>
      <c r="D93" s="6" t="s">
        <v>340</v>
      </c>
    </row>
    <row r="94" spans="1:6" x14ac:dyDescent="0.15">
      <c r="A94" s="6" t="s">
        <v>341</v>
      </c>
      <c r="B94" s="6" t="s">
        <v>342</v>
      </c>
      <c r="C94" s="6" t="s">
        <v>349</v>
      </c>
      <c r="D94" s="6" t="s">
        <v>352</v>
      </c>
      <c r="E94" s="30"/>
      <c r="F94" s="13"/>
    </row>
    <row r="95" spans="1:6" x14ac:dyDescent="0.15">
      <c r="A95" s="6" t="s">
        <v>343</v>
      </c>
      <c r="B95" s="6" t="s">
        <v>344</v>
      </c>
      <c r="C95" s="6" t="s">
        <v>350</v>
      </c>
      <c r="D95" s="6" t="s">
        <v>345</v>
      </c>
      <c r="E95" s="30"/>
      <c r="F95" s="13"/>
    </row>
    <row r="96" spans="1:6" x14ac:dyDescent="0.15">
      <c r="A96" s="6" t="s">
        <v>346</v>
      </c>
      <c r="B96" s="6" t="s">
        <v>347</v>
      </c>
      <c r="C96" s="6" t="s">
        <v>351</v>
      </c>
      <c r="D96" s="6" t="s">
        <v>348</v>
      </c>
      <c r="E96" s="30"/>
      <c r="F96" s="13"/>
    </row>
    <row r="97" spans="1:5" x14ac:dyDescent="0.15">
      <c r="A97" s="6" t="s">
        <v>353</v>
      </c>
      <c r="B97" s="6" t="s">
        <v>354</v>
      </c>
      <c r="C97" s="6" t="s">
        <v>355</v>
      </c>
      <c r="D97" s="22" t="s">
        <v>356</v>
      </c>
      <c r="E97" s="30"/>
    </row>
    <row r="98" spans="1:5" x14ac:dyDescent="0.15">
      <c r="A98" s="22" t="s">
        <v>357</v>
      </c>
      <c r="B98" s="6" t="s">
        <v>358</v>
      </c>
      <c r="C98" s="6" t="s">
        <v>277</v>
      </c>
      <c r="D98" s="6" t="s">
        <v>359</v>
      </c>
    </row>
    <row r="99" spans="1:5" x14ac:dyDescent="0.15">
      <c r="A99" s="22" t="s">
        <v>366</v>
      </c>
      <c r="B99" s="22" t="s">
        <v>367</v>
      </c>
      <c r="C99" s="22" t="s">
        <v>281</v>
      </c>
      <c r="D99" s="22" t="s">
        <v>368</v>
      </c>
    </row>
    <row r="100" spans="1:5" x14ac:dyDescent="0.15">
      <c r="A100" s="22" t="s">
        <v>369</v>
      </c>
      <c r="B100" s="6" t="s">
        <v>360</v>
      </c>
      <c r="C100" s="6" t="s">
        <v>362</v>
      </c>
      <c r="D100" s="6" t="s">
        <v>363</v>
      </c>
    </row>
    <row r="101" spans="1:5" x14ac:dyDescent="0.15">
      <c r="A101" s="22" t="s">
        <v>370</v>
      </c>
      <c r="B101" s="6" t="s">
        <v>364</v>
      </c>
      <c r="C101" s="6" t="s">
        <v>361</v>
      </c>
      <c r="D101" s="22" t="s">
        <v>365</v>
      </c>
    </row>
    <row r="102" spans="1:5" x14ac:dyDescent="0.15">
      <c r="A102" s="22" t="s">
        <v>377</v>
      </c>
      <c r="B102" s="6" t="s">
        <v>371</v>
      </c>
      <c r="C102" s="6" t="s">
        <v>16</v>
      </c>
      <c r="D102" s="6" t="s">
        <v>372</v>
      </c>
    </row>
    <row r="103" spans="1:5" x14ac:dyDescent="0.15">
      <c r="A103" s="22" t="s">
        <v>378</v>
      </c>
      <c r="B103" s="6" t="s">
        <v>373</v>
      </c>
      <c r="C103" s="6" t="s">
        <v>449</v>
      </c>
      <c r="D103" s="6" t="s">
        <v>374</v>
      </c>
    </row>
    <row r="104" spans="1:5" x14ac:dyDescent="0.15">
      <c r="A104" s="22" t="s">
        <v>379</v>
      </c>
      <c r="B104" s="6" t="s">
        <v>375</v>
      </c>
      <c r="C104" s="6" t="s">
        <v>277</v>
      </c>
      <c r="D104" s="6" t="s">
        <v>376</v>
      </c>
    </row>
    <row r="105" spans="1:5" x14ac:dyDescent="0.15">
      <c r="A105" s="22" t="s">
        <v>380</v>
      </c>
      <c r="B105" s="6" t="s">
        <v>382</v>
      </c>
      <c r="C105" s="28">
        <v>400037</v>
      </c>
      <c r="D105" s="6" t="s">
        <v>381</v>
      </c>
    </row>
    <row r="106" spans="1:5" x14ac:dyDescent="0.15">
      <c r="A106" s="22" t="s">
        <v>386</v>
      </c>
      <c r="B106" s="6" t="s">
        <v>383</v>
      </c>
      <c r="C106" s="6" t="s">
        <v>384</v>
      </c>
      <c r="D106" s="6" t="s">
        <v>385</v>
      </c>
    </row>
    <row r="107" spans="1:5" x14ac:dyDescent="0.15">
      <c r="A107" s="22" t="s">
        <v>387</v>
      </c>
      <c r="B107" s="6" t="s">
        <v>388</v>
      </c>
      <c r="C107" s="6" t="s">
        <v>389</v>
      </c>
      <c r="D107" s="6" t="s">
        <v>390</v>
      </c>
    </row>
    <row r="108" spans="1:5" x14ac:dyDescent="0.15">
      <c r="A108" s="22" t="s">
        <v>409</v>
      </c>
      <c r="B108" s="6" t="s">
        <v>391</v>
      </c>
      <c r="C108" s="6" t="s">
        <v>392</v>
      </c>
      <c r="D108" s="6" t="s">
        <v>393</v>
      </c>
    </row>
    <row r="109" spans="1:5" x14ac:dyDescent="0.15">
      <c r="A109" s="22" t="s">
        <v>410</v>
      </c>
      <c r="B109" s="6" t="s">
        <v>416</v>
      </c>
      <c r="C109" s="6" t="s">
        <v>394</v>
      </c>
      <c r="D109" s="6" t="s">
        <v>395</v>
      </c>
    </row>
    <row r="110" spans="1:5" x14ac:dyDescent="0.15">
      <c r="A110" s="22" t="s">
        <v>411</v>
      </c>
      <c r="B110" s="6" t="s">
        <v>396</v>
      </c>
      <c r="C110" s="6" t="s">
        <v>398</v>
      </c>
      <c r="D110" s="6" t="s">
        <v>397</v>
      </c>
    </row>
    <row r="111" spans="1:5" x14ac:dyDescent="0.15">
      <c r="A111" s="22" t="s">
        <v>412</v>
      </c>
      <c r="B111" s="6" t="s">
        <v>399</v>
      </c>
      <c r="C111" s="6" t="s">
        <v>398</v>
      </c>
      <c r="D111" s="6" t="s">
        <v>400</v>
      </c>
    </row>
    <row r="112" spans="1:5" x14ac:dyDescent="0.15">
      <c r="A112" s="22" t="s">
        <v>413</v>
      </c>
      <c r="B112" s="6" t="s">
        <v>401</v>
      </c>
      <c r="C112" s="6" t="s">
        <v>402</v>
      </c>
      <c r="D112" s="6" t="s">
        <v>408</v>
      </c>
    </row>
    <row r="113" spans="1:4" x14ac:dyDescent="0.15">
      <c r="A113" s="22" t="s">
        <v>414</v>
      </c>
      <c r="B113" s="6" t="s">
        <v>403</v>
      </c>
      <c r="C113" s="6" t="s">
        <v>404</v>
      </c>
      <c r="D113" s="6" t="s">
        <v>407</v>
      </c>
    </row>
    <row r="114" spans="1:4" x14ac:dyDescent="0.15">
      <c r="A114" s="22" t="s">
        <v>415</v>
      </c>
      <c r="B114" s="6" t="s">
        <v>417</v>
      </c>
      <c r="C114" s="6" t="s">
        <v>405</v>
      </c>
      <c r="D114" s="6" t="s">
        <v>406</v>
      </c>
    </row>
    <row r="115" spans="1:4" x14ac:dyDescent="0.15">
      <c r="A115" s="6" t="s">
        <v>418</v>
      </c>
      <c r="B115" s="6" t="s">
        <v>419</v>
      </c>
      <c r="C115" s="6" t="s">
        <v>435</v>
      </c>
      <c r="D115" s="6" t="s">
        <v>420</v>
      </c>
    </row>
    <row r="116" spans="1:4" x14ac:dyDescent="0.15">
      <c r="A116" s="6" t="s">
        <v>421</v>
      </c>
      <c r="B116" s="6" t="s">
        <v>425</v>
      </c>
      <c r="C116" s="6" t="s">
        <v>436</v>
      </c>
      <c r="D116" s="6" t="s">
        <v>427</v>
      </c>
    </row>
    <row r="117" spans="1:4" x14ac:dyDescent="0.15">
      <c r="A117" s="6" t="s">
        <v>422</v>
      </c>
      <c r="B117" s="6" t="s">
        <v>429</v>
      </c>
      <c r="C117" s="6" t="s">
        <v>437</v>
      </c>
      <c r="D117" s="22" t="s">
        <v>428</v>
      </c>
    </row>
    <row r="118" spans="1:4" x14ac:dyDescent="0.15">
      <c r="A118" s="6" t="s">
        <v>423</v>
      </c>
      <c r="B118" s="6" t="s">
        <v>426</v>
      </c>
      <c r="C118" s="6" t="s">
        <v>433</v>
      </c>
      <c r="D118" s="6" t="s">
        <v>431</v>
      </c>
    </row>
    <row r="119" spans="1:4" x14ac:dyDescent="0.15">
      <c r="A119" s="6" t="s">
        <v>424</v>
      </c>
      <c r="B119" s="22" t="s">
        <v>430</v>
      </c>
      <c r="C119" s="6" t="s">
        <v>434</v>
      </c>
      <c r="D119" s="6" t="s">
        <v>432</v>
      </c>
    </row>
    <row r="120" spans="1:4" x14ac:dyDescent="0.15">
      <c r="A120" s="22" t="s">
        <v>441</v>
      </c>
      <c r="B120" s="6" t="s">
        <v>438</v>
      </c>
      <c r="C120" s="6" t="s">
        <v>439</v>
      </c>
      <c r="D120" s="6" t="s">
        <v>440</v>
      </c>
    </row>
    <row r="121" spans="1:4" x14ac:dyDescent="0.15">
      <c r="A121" s="22" t="s">
        <v>444</v>
      </c>
      <c r="B121" s="6" t="s">
        <v>442</v>
      </c>
      <c r="C121" s="6" t="s">
        <v>443</v>
      </c>
      <c r="D121" s="6" t="s">
        <v>447</v>
      </c>
    </row>
    <row r="122" spans="1:4" x14ac:dyDescent="0.15">
      <c r="A122" s="22" t="s">
        <v>445</v>
      </c>
      <c r="B122" s="6" t="s">
        <v>446</v>
      </c>
      <c r="C122" s="6" t="s">
        <v>443</v>
      </c>
      <c r="D122" s="6" t="s">
        <v>448</v>
      </c>
    </row>
    <row r="123" spans="1:4" x14ac:dyDescent="0.15">
      <c r="A123" s="22" t="s">
        <v>463</v>
      </c>
      <c r="B123" s="6" t="s">
        <v>455</v>
      </c>
      <c r="C123" s="6" t="s">
        <v>451</v>
      </c>
      <c r="D123" s="6" t="s">
        <v>452</v>
      </c>
    </row>
    <row r="124" spans="1:4" x14ac:dyDescent="0.15">
      <c r="A124" s="22" t="s">
        <v>464</v>
      </c>
      <c r="B124" s="6" t="s">
        <v>453</v>
      </c>
      <c r="C124" s="6" t="s">
        <v>454</v>
      </c>
      <c r="D124" s="6" t="s">
        <v>460</v>
      </c>
    </row>
    <row r="125" spans="1:4" x14ac:dyDescent="0.15">
      <c r="A125" s="22" t="s">
        <v>465</v>
      </c>
      <c r="B125" s="6" t="s">
        <v>456</v>
      </c>
      <c r="C125" s="6" t="s">
        <v>457</v>
      </c>
      <c r="D125" s="22" t="s">
        <v>461</v>
      </c>
    </row>
    <row r="126" spans="1:4" x14ac:dyDescent="0.15">
      <c r="A126" s="22" t="s">
        <v>466</v>
      </c>
      <c r="B126" s="6" t="s">
        <v>458</v>
      </c>
      <c r="C126" s="6" t="s">
        <v>459</v>
      </c>
      <c r="D126" s="22" t="s">
        <v>462</v>
      </c>
    </row>
    <row r="148" spans="1:4" s="5" customFormat="1" ht="12" x14ac:dyDescent="0.15">
      <c r="A148" s="6"/>
      <c r="B148" s="6"/>
      <c r="C148" s="6"/>
      <c r="D148" s="6"/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M70"/>
  <sheetViews>
    <sheetView topLeftCell="A46" workbookViewId="0">
      <selection activeCell="K2" sqref="K2"/>
    </sheetView>
  </sheetViews>
  <sheetFormatPr defaultColWidth="9" defaultRowHeight="12" x14ac:dyDescent="0.15"/>
  <cols>
    <col min="1" max="7" width="9" style="1"/>
    <col min="8" max="8" width="54.625" style="1" customWidth="1"/>
    <col min="9" max="12" width="9" style="1"/>
    <col min="13" max="13" width="13.625" style="1" customWidth="1"/>
    <col min="14" max="16384" width="9" style="1"/>
  </cols>
  <sheetData>
    <row r="1" spans="8:13" x14ac:dyDescent="0.15">
      <c r="H1" s="2" t="s">
        <v>0</v>
      </c>
      <c r="J1" s="3">
        <v>20000</v>
      </c>
      <c r="K1" s="3">
        <v>500</v>
      </c>
      <c r="L1" s="1">
        <v>1</v>
      </c>
      <c r="M1" s="1">
        <f>$J$1+$K$1*L1</f>
        <v>20500</v>
      </c>
    </row>
    <row r="2" spans="8:13" x14ac:dyDescent="0.15">
      <c r="L2" s="1">
        <v>2</v>
      </c>
      <c r="M2" s="1">
        <f t="shared" ref="M2" si="0">$J$1+$K$1*L2</f>
        <v>21000</v>
      </c>
    </row>
    <row r="3" spans="8:13" x14ac:dyDescent="0.15">
      <c r="L3" s="1">
        <v>3</v>
      </c>
      <c r="M3" s="1">
        <f t="shared" ref="M3" si="1">$J$1+$K$1*L3</f>
        <v>21500</v>
      </c>
    </row>
    <row r="4" spans="8:13" x14ac:dyDescent="0.15">
      <c r="L4" s="1">
        <v>4</v>
      </c>
      <c r="M4" s="1">
        <f t="shared" ref="M4" si="2">$J$1+$K$1*L4</f>
        <v>22000</v>
      </c>
    </row>
    <row r="5" spans="8:13" x14ac:dyDescent="0.15">
      <c r="L5" s="1">
        <v>5</v>
      </c>
      <c r="M5" s="1">
        <f t="shared" ref="M5" si="3">$J$1+$K$1*L5</f>
        <v>22500</v>
      </c>
    </row>
    <row r="6" spans="8:13" x14ac:dyDescent="0.15">
      <c r="L6" s="1">
        <v>6</v>
      </c>
      <c r="M6" s="1">
        <f t="shared" ref="M6" si="4">$J$1+$K$1*L6</f>
        <v>23000</v>
      </c>
    </row>
    <row r="7" spans="8:13" x14ac:dyDescent="0.15">
      <c r="L7" s="1">
        <v>7</v>
      </c>
      <c r="M7" s="1">
        <f t="shared" ref="M7" si="5">$J$1+$K$1*L7</f>
        <v>23500</v>
      </c>
    </row>
    <row r="8" spans="8:13" x14ac:dyDescent="0.15">
      <c r="L8" s="1">
        <v>8</v>
      </c>
      <c r="M8" s="1">
        <f t="shared" ref="M8" si="6">$J$1+$K$1*L8</f>
        <v>24000</v>
      </c>
    </row>
    <row r="9" spans="8:13" x14ac:dyDescent="0.15">
      <c r="L9" s="1">
        <v>9</v>
      </c>
      <c r="M9" s="1">
        <f t="shared" ref="M9" si="7">$J$1+$K$1*L9</f>
        <v>24500</v>
      </c>
    </row>
    <row r="10" spans="8:13" x14ac:dyDescent="0.15">
      <c r="L10" s="1">
        <v>10</v>
      </c>
      <c r="M10" s="1">
        <f t="shared" ref="M10" si="8">$J$1+$K$1*L10</f>
        <v>25000</v>
      </c>
    </row>
    <row r="11" spans="8:13" x14ac:dyDescent="0.15">
      <c r="L11" s="1">
        <v>11</v>
      </c>
      <c r="M11" s="1">
        <f t="shared" ref="M11:M34" si="9">$J$1+$K$1*L11</f>
        <v>25500</v>
      </c>
    </row>
    <row r="12" spans="8:13" x14ac:dyDescent="0.15">
      <c r="L12" s="1">
        <v>12</v>
      </c>
      <c r="M12" s="1">
        <f t="shared" si="9"/>
        <v>26000</v>
      </c>
    </row>
    <row r="13" spans="8:13" x14ac:dyDescent="0.15">
      <c r="L13" s="1">
        <v>13</v>
      </c>
      <c r="M13" s="1">
        <f t="shared" si="9"/>
        <v>26500</v>
      </c>
    </row>
    <row r="14" spans="8:13" x14ac:dyDescent="0.15">
      <c r="L14" s="1">
        <v>14</v>
      </c>
      <c r="M14" s="1">
        <f t="shared" si="9"/>
        <v>27000</v>
      </c>
    </row>
    <row r="15" spans="8:13" x14ac:dyDescent="0.15">
      <c r="L15" s="1">
        <v>15</v>
      </c>
      <c r="M15" s="1">
        <f t="shared" si="9"/>
        <v>27500</v>
      </c>
    </row>
    <row r="16" spans="8:13" x14ac:dyDescent="0.15">
      <c r="L16" s="1">
        <v>16</v>
      </c>
      <c r="M16" s="1">
        <f t="shared" si="9"/>
        <v>28000</v>
      </c>
    </row>
    <row r="17" spans="12:13" x14ac:dyDescent="0.15">
      <c r="L17" s="1">
        <v>17</v>
      </c>
      <c r="M17" s="1">
        <f t="shared" si="9"/>
        <v>28500</v>
      </c>
    </row>
    <row r="18" spans="12:13" x14ac:dyDescent="0.15">
      <c r="L18" s="1">
        <v>18</v>
      </c>
      <c r="M18" s="1">
        <f t="shared" si="9"/>
        <v>29000</v>
      </c>
    </row>
    <row r="19" spans="12:13" x14ac:dyDescent="0.15">
      <c r="L19" s="1">
        <v>19</v>
      </c>
      <c r="M19" s="1">
        <f t="shared" si="9"/>
        <v>29500</v>
      </c>
    </row>
    <row r="20" spans="12:13" x14ac:dyDescent="0.15">
      <c r="L20" s="1">
        <v>20</v>
      </c>
      <c r="M20" s="1">
        <f t="shared" si="9"/>
        <v>30000</v>
      </c>
    </row>
    <row r="21" spans="12:13" x14ac:dyDescent="0.15">
      <c r="L21" s="1">
        <v>21</v>
      </c>
      <c r="M21" s="1">
        <f t="shared" si="9"/>
        <v>30500</v>
      </c>
    </row>
    <row r="22" spans="12:13" x14ac:dyDescent="0.15">
      <c r="L22" s="1">
        <v>22</v>
      </c>
      <c r="M22" s="1">
        <f t="shared" si="9"/>
        <v>31000</v>
      </c>
    </row>
    <row r="23" spans="12:13" x14ac:dyDescent="0.15">
      <c r="L23" s="1">
        <v>23</v>
      </c>
      <c r="M23" s="1">
        <f t="shared" si="9"/>
        <v>31500</v>
      </c>
    </row>
    <row r="24" spans="12:13" x14ac:dyDescent="0.15">
      <c r="L24" s="1">
        <v>24</v>
      </c>
      <c r="M24" s="1">
        <f t="shared" si="9"/>
        <v>32000</v>
      </c>
    </row>
    <row r="25" spans="12:13" x14ac:dyDescent="0.15">
      <c r="L25" s="1">
        <v>25</v>
      </c>
      <c r="M25" s="1">
        <f t="shared" si="9"/>
        <v>32500</v>
      </c>
    </row>
    <row r="26" spans="12:13" x14ac:dyDescent="0.15">
      <c r="L26" s="1">
        <v>26</v>
      </c>
      <c r="M26" s="1">
        <f t="shared" si="9"/>
        <v>33000</v>
      </c>
    </row>
    <row r="27" spans="12:13" x14ac:dyDescent="0.15">
      <c r="L27" s="1">
        <v>27</v>
      </c>
      <c r="M27" s="1">
        <f t="shared" si="9"/>
        <v>33500</v>
      </c>
    </row>
    <row r="28" spans="12:13" x14ac:dyDescent="0.15">
      <c r="L28" s="1">
        <v>28</v>
      </c>
      <c r="M28" s="1">
        <f t="shared" si="9"/>
        <v>34000</v>
      </c>
    </row>
    <row r="29" spans="12:13" x14ac:dyDescent="0.15">
      <c r="L29" s="1">
        <v>29</v>
      </c>
      <c r="M29" s="1">
        <f t="shared" si="9"/>
        <v>34500</v>
      </c>
    </row>
    <row r="30" spans="12:13" x14ac:dyDescent="0.15">
      <c r="L30" s="1">
        <v>30</v>
      </c>
      <c r="M30" s="1">
        <f t="shared" si="9"/>
        <v>35000</v>
      </c>
    </row>
    <row r="31" spans="12:13" x14ac:dyDescent="0.15">
      <c r="L31" s="1">
        <v>31</v>
      </c>
      <c r="M31" s="1">
        <f t="shared" si="9"/>
        <v>35500</v>
      </c>
    </row>
    <row r="32" spans="12:13" x14ac:dyDescent="0.15">
      <c r="L32" s="1">
        <v>32</v>
      </c>
      <c r="M32" s="1">
        <f t="shared" si="9"/>
        <v>36000</v>
      </c>
    </row>
    <row r="33" spans="12:13" x14ac:dyDescent="0.15">
      <c r="L33" s="1">
        <v>33</v>
      </c>
      <c r="M33" s="1">
        <f t="shared" si="9"/>
        <v>36500</v>
      </c>
    </row>
    <row r="34" spans="12:13" x14ac:dyDescent="0.15">
      <c r="L34" s="1">
        <v>34</v>
      </c>
      <c r="M34" s="1">
        <f t="shared" si="9"/>
        <v>37000</v>
      </c>
    </row>
    <row r="35" spans="12:13" x14ac:dyDescent="0.15">
      <c r="L35" s="1">
        <v>35</v>
      </c>
      <c r="M35" s="1">
        <f t="shared" ref="M35" si="10">$J$1+$K$1*L35</f>
        <v>37500</v>
      </c>
    </row>
    <row r="36" spans="12:13" x14ac:dyDescent="0.15">
      <c r="L36" s="1">
        <v>36</v>
      </c>
      <c r="M36" s="1">
        <f t="shared" ref="M36" si="11">$J$1+$K$1*L36</f>
        <v>38000</v>
      </c>
    </row>
    <row r="37" spans="12:13" x14ac:dyDescent="0.15">
      <c r="L37" s="1">
        <v>37</v>
      </c>
      <c r="M37" s="1">
        <f t="shared" ref="M37" si="12">$J$1+$K$1*L37</f>
        <v>38500</v>
      </c>
    </row>
    <row r="38" spans="12:13" x14ac:dyDescent="0.15">
      <c r="L38" s="1">
        <v>38</v>
      </c>
      <c r="M38" s="1">
        <f t="shared" ref="M38" si="13">$J$1+$K$1*L38</f>
        <v>39000</v>
      </c>
    </row>
    <row r="39" spans="12:13" x14ac:dyDescent="0.15">
      <c r="L39" s="1">
        <v>39</v>
      </c>
      <c r="M39" s="1">
        <f t="shared" ref="M39" si="14">$J$1+$K$1*L39</f>
        <v>39500</v>
      </c>
    </row>
    <row r="40" spans="12:13" x14ac:dyDescent="0.15">
      <c r="L40" s="1">
        <v>40</v>
      </c>
      <c r="M40" s="1">
        <f t="shared" ref="M40" si="15">$J$1+$K$1*L40</f>
        <v>40000</v>
      </c>
    </row>
    <row r="41" spans="12:13" x14ac:dyDescent="0.15">
      <c r="L41" s="1">
        <v>41</v>
      </c>
      <c r="M41" s="1">
        <f t="shared" ref="M41" si="16">$J$1+$K$1*L41</f>
        <v>40500</v>
      </c>
    </row>
    <row r="42" spans="12:13" x14ac:dyDescent="0.15">
      <c r="L42" s="1">
        <v>42</v>
      </c>
      <c r="M42" s="1">
        <f t="shared" ref="M42" si="17">$J$1+$K$1*L42</f>
        <v>41000</v>
      </c>
    </row>
    <row r="43" spans="12:13" x14ac:dyDescent="0.15">
      <c r="L43" s="1">
        <v>43</v>
      </c>
      <c r="M43" s="1">
        <f t="shared" ref="M43:M65" si="18">$J$1+$K$1*L43</f>
        <v>41500</v>
      </c>
    </row>
    <row r="44" spans="12:13" x14ac:dyDescent="0.15">
      <c r="L44" s="1">
        <v>44</v>
      </c>
      <c r="M44" s="1">
        <f t="shared" si="18"/>
        <v>42000</v>
      </c>
    </row>
    <row r="45" spans="12:13" x14ac:dyDescent="0.15">
      <c r="L45" s="1">
        <v>45</v>
      </c>
      <c r="M45" s="1">
        <f t="shared" si="18"/>
        <v>42500</v>
      </c>
    </row>
    <row r="46" spans="12:13" x14ac:dyDescent="0.15">
      <c r="L46" s="1">
        <v>46</v>
      </c>
      <c r="M46" s="1">
        <f t="shared" si="18"/>
        <v>43000</v>
      </c>
    </row>
    <row r="47" spans="12:13" x14ac:dyDescent="0.15">
      <c r="L47" s="1">
        <v>47</v>
      </c>
      <c r="M47" s="1">
        <f t="shared" si="18"/>
        <v>43500</v>
      </c>
    </row>
    <row r="48" spans="12:13" x14ac:dyDescent="0.15">
      <c r="L48" s="1">
        <v>48</v>
      </c>
      <c r="M48" s="1">
        <f t="shared" si="18"/>
        <v>44000</v>
      </c>
    </row>
    <row r="49" spans="12:13" x14ac:dyDescent="0.15">
      <c r="L49" s="1">
        <v>49</v>
      </c>
      <c r="M49" s="1">
        <f t="shared" si="18"/>
        <v>44500</v>
      </c>
    </row>
    <row r="50" spans="12:13" x14ac:dyDescent="0.15">
      <c r="L50" s="1">
        <v>50</v>
      </c>
      <c r="M50" s="1">
        <f t="shared" si="18"/>
        <v>45000</v>
      </c>
    </row>
    <row r="51" spans="12:13" x14ac:dyDescent="0.15">
      <c r="L51" s="1">
        <v>51</v>
      </c>
      <c r="M51" s="1">
        <f t="shared" si="18"/>
        <v>45500</v>
      </c>
    </row>
    <row r="52" spans="12:13" x14ac:dyDescent="0.15">
      <c r="L52" s="1">
        <v>52</v>
      </c>
      <c r="M52" s="1">
        <f t="shared" si="18"/>
        <v>46000</v>
      </c>
    </row>
    <row r="53" spans="12:13" x14ac:dyDescent="0.15">
      <c r="L53" s="1">
        <v>53</v>
      </c>
      <c r="M53" s="1">
        <f t="shared" si="18"/>
        <v>46500</v>
      </c>
    </row>
    <row r="54" spans="12:13" x14ac:dyDescent="0.15">
      <c r="L54" s="1">
        <v>54</v>
      </c>
      <c r="M54" s="1">
        <f t="shared" si="18"/>
        <v>47000</v>
      </c>
    </row>
    <row r="55" spans="12:13" x14ac:dyDescent="0.15">
      <c r="L55" s="1">
        <v>55</v>
      </c>
      <c r="M55" s="1">
        <f t="shared" si="18"/>
        <v>47500</v>
      </c>
    </row>
    <row r="56" spans="12:13" x14ac:dyDescent="0.15">
      <c r="L56" s="1">
        <v>56</v>
      </c>
      <c r="M56" s="1">
        <f t="shared" si="18"/>
        <v>48000</v>
      </c>
    </row>
    <row r="57" spans="12:13" x14ac:dyDescent="0.15">
      <c r="L57" s="1">
        <v>57</v>
      </c>
      <c r="M57" s="1">
        <f t="shared" si="18"/>
        <v>48500</v>
      </c>
    </row>
    <row r="58" spans="12:13" x14ac:dyDescent="0.15">
      <c r="L58" s="1">
        <v>58</v>
      </c>
      <c r="M58" s="1">
        <f t="shared" si="18"/>
        <v>49000</v>
      </c>
    </row>
    <row r="59" spans="12:13" x14ac:dyDescent="0.15">
      <c r="L59" s="1">
        <v>59</v>
      </c>
      <c r="M59" s="1">
        <f t="shared" si="18"/>
        <v>49500</v>
      </c>
    </row>
    <row r="60" spans="12:13" x14ac:dyDescent="0.15">
      <c r="L60" s="1">
        <v>60</v>
      </c>
      <c r="M60" s="1">
        <f t="shared" si="18"/>
        <v>50000</v>
      </c>
    </row>
    <row r="61" spans="12:13" x14ac:dyDescent="0.15">
      <c r="L61" s="1">
        <v>61</v>
      </c>
      <c r="M61" s="1">
        <f t="shared" si="18"/>
        <v>50500</v>
      </c>
    </row>
    <row r="62" spans="12:13" x14ac:dyDescent="0.15">
      <c r="L62" s="1">
        <v>62</v>
      </c>
      <c r="M62" s="1">
        <f t="shared" si="18"/>
        <v>51000</v>
      </c>
    </row>
    <row r="63" spans="12:13" x14ac:dyDescent="0.15">
      <c r="L63" s="1">
        <v>63</v>
      </c>
      <c r="M63" s="1">
        <f t="shared" si="18"/>
        <v>51500</v>
      </c>
    </row>
    <row r="64" spans="12:13" x14ac:dyDescent="0.15">
      <c r="L64" s="1">
        <v>64</v>
      </c>
      <c r="M64" s="1">
        <f t="shared" si="18"/>
        <v>52000</v>
      </c>
    </row>
    <row r="65" spans="12:13" x14ac:dyDescent="0.15">
      <c r="L65" s="1">
        <v>65</v>
      </c>
      <c r="M65" s="1">
        <f t="shared" si="18"/>
        <v>52500</v>
      </c>
    </row>
    <row r="66" spans="12:13" x14ac:dyDescent="0.15">
      <c r="L66" s="1">
        <v>66</v>
      </c>
      <c r="M66" s="1">
        <f t="shared" ref="M66" si="19">$J$1+$K$1*L66</f>
        <v>53000</v>
      </c>
    </row>
    <row r="67" spans="12:13" x14ac:dyDescent="0.15">
      <c r="L67" s="1">
        <v>67</v>
      </c>
      <c r="M67" s="1">
        <f>$J$1+$K$1*L67</f>
        <v>53500</v>
      </c>
    </row>
    <row r="68" spans="12:13" x14ac:dyDescent="0.15">
      <c r="L68" s="1">
        <v>68</v>
      </c>
      <c r="M68" s="1">
        <f>$J$1+$K$1*L68</f>
        <v>54000</v>
      </c>
    </row>
    <row r="69" spans="12:13" x14ac:dyDescent="0.15">
      <c r="L69" s="1">
        <v>69</v>
      </c>
      <c r="M69" s="1">
        <f>$J$1+$K$1*L69</f>
        <v>54500</v>
      </c>
    </row>
    <row r="70" spans="12:13" x14ac:dyDescent="0.15">
      <c r="L70" s="1">
        <v>70</v>
      </c>
      <c r="M70" s="1">
        <f>$J$1+$K$1*L70</f>
        <v>55000</v>
      </c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songbowen</dc:creator>
  <dc:description>角色品质属性表</dc:description>
  <cp:lastModifiedBy>haozongzheng 郝宗政</cp:lastModifiedBy>
  <dcterms:created xsi:type="dcterms:W3CDTF">2006-09-16T00:00:00Z</dcterms:created>
  <dcterms:modified xsi:type="dcterms:W3CDTF">2016-10-11T09:06:20Z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2052-9.1.0.5184</vt:lpwstr>
  </property>
</Properties>
</file>