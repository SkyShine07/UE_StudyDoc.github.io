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065" yWindow="930" windowWidth="23580" windowHeight="114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Sheet1!$A$1:$K$208</definedName>
    <definedName name="_xlnm._FilterDatabase" localSheetId="1" hidden="1">Sheet2!$S$2:$S$121</definedName>
  </definedNames>
  <calcPr calcId="144525"/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S7" i="2"/>
  <c r="S12" i="2"/>
  <c r="S17" i="2"/>
  <c r="S22" i="2"/>
  <c r="S27" i="2"/>
  <c r="S32" i="2"/>
  <c r="S37" i="2"/>
  <c r="S42" i="2"/>
  <c r="R43" i="2"/>
  <c r="S43" i="2"/>
  <c r="S47" i="2"/>
  <c r="S52" i="2"/>
  <c r="R53" i="2"/>
  <c r="R54" i="2"/>
  <c r="R55" i="2"/>
  <c r="S55" i="2"/>
  <c r="S57" i="2"/>
  <c r="S62" i="2"/>
  <c r="R63" i="2"/>
  <c r="S63" i="2"/>
  <c r="S67" i="2"/>
  <c r="S72" i="2"/>
  <c r="R73" i="2"/>
  <c r="R74" i="2"/>
  <c r="R75" i="2"/>
  <c r="S75" i="2"/>
  <c r="S77" i="2"/>
  <c r="S82" i="2"/>
  <c r="R83" i="2"/>
  <c r="S83" i="2"/>
  <c r="S87" i="2"/>
  <c r="S92" i="2"/>
  <c r="R93" i="2"/>
  <c r="R94" i="2"/>
  <c r="R95" i="2"/>
  <c r="S95" i="2"/>
  <c r="S97" i="2"/>
  <c r="S102" i="2"/>
  <c r="R103" i="2"/>
  <c r="S103" i="2"/>
  <c r="S107" i="2"/>
  <c r="S112" i="2"/>
  <c r="R113" i="2"/>
  <c r="R114" i="2"/>
  <c r="R115" i="2"/>
  <c r="S115" i="2"/>
  <c r="S117" i="2"/>
  <c r="S2" i="2"/>
  <c r="D2" i="2"/>
  <c r="R118" i="2"/>
  <c r="R119" i="2"/>
  <c r="R120" i="2"/>
  <c r="R121" i="2"/>
  <c r="S121" i="2"/>
  <c r="S118" i="2"/>
  <c r="R116" i="2"/>
  <c r="S116" i="2"/>
  <c r="S113" i="2"/>
  <c r="R108" i="2"/>
  <c r="R109" i="2"/>
  <c r="R110" i="2"/>
  <c r="R111" i="2"/>
  <c r="S111" i="2"/>
  <c r="S108" i="2"/>
  <c r="R104" i="2"/>
  <c r="R105" i="2"/>
  <c r="R106" i="2"/>
  <c r="S106" i="2"/>
  <c r="R98" i="2"/>
  <c r="R99" i="2"/>
  <c r="R100" i="2"/>
  <c r="R101" i="2"/>
  <c r="S101" i="2"/>
  <c r="S98" i="2"/>
  <c r="R96" i="2"/>
  <c r="S96" i="2"/>
  <c r="S93" i="2"/>
  <c r="R88" i="2"/>
  <c r="R89" i="2"/>
  <c r="R90" i="2"/>
  <c r="R91" i="2"/>
  <c r="S91" i="2"/>
  <c r="S88" i="2"/>
  <c r="R84" i="2"/>
  <c r="R85" i="2"/>
  <c r="R86" i="2"/>
  <c r="S86" i="2"/>
  <c r="R78" i="2"/>
  <c r="R79" i="2"/>
  <c r="R80" i="2"/>
  <c r="R81" i="2"/>
  <c r="S81" i="2"/>
  <c r="S78" i="2"/>
  <c r="R76" i="2"/>
  <c r="S76" i="2"/>
  <c r="S73" i="2"/>
  <c r="R68" i="2"/>
  <c r="R69" i="2"/>
  <c r="R70" i="2"/>
  <c r="R71" i="2"/>
  <c r="S71" i="2"/>
  <c r="S68" i="2"/>
  <c r="R64" i="2"/>
  <c r="R65" i="2"/>
  <c r="R66" i="2"/>
  <c r="S66" i="2"/>
  <c r="R58" i="2"/>
  <c r="R59" i="2"/>
  <c r="R60" i="2"/>
  <c r="R61" i="2"/>
  <c r="S61" i="2"/>
  <c r="S58" i="2"/>
  <c r="R56" i="2"/>
  <c r="S56" i="2"/>
  <c r="S53" i="2"/>
  <c r="R48" i="2"/>
  <c r="R49" i="2"/>
  <c r="R50" i="2"/>
  <c r="R51" i="2"/>
  <c r="S51" i="2"/>
  <c r="S48" i="2"/>
  <c r="R44" i="2"/>
  <c r="R45" i="2"/>
  <c r="R46" i="2"/>
  <c r="S46" i="2"/>
  <c r="R38" i="2"/>
  <c r="R39" i="2"/>
  <c r="R40" i="2"/>
  <c r="R41" i="2"/>
  <c r="S41" i="2"/>
  <c r="S38" i="2"/>
  <c r="R33" i="2"/>
  <c r="R34" i="2"/>
  <c r="R35" i="2"/>
  <c r="R36" i="2"/>
  <c r="S36" i="2"/>
  <c r="S33" i="2"/>
  <c r="R28" i="2"/>
  <c r="R29" i="2"/>
  <c r="R30" i="2"/>
  <c r="R31" i="2"/>
  <c r="S31" i="2"/>
  <c r="S28" i="2"/>
  <c r="R23" i="2"/>
  <c r="R24" i="2"/>
  <c r="R25" i="2"/>
  <c r="R26" i="2"/>
  <c r="S26" i="2"/>
  <c r="S23" i="2"/>
  <c r="R18" i="2"/>
  <c r="R19" i="2"/>
  <c r="R20" i="2"/>
  <c r="R21" i="2"/>
  <c r="S21" i="2"/>
  <c r="S18" i="2"/>
  <c r="R13" i="2"/>
  <c r="R14" i="2"/>
  <c r="R15" i="2"/>
  <c r="R16" i="2"/>
  <c r="S16" i="2"/>
  <c r="S13" i="2"/>
  <c r="R8" i="2"/>
  <c r="R9" i="2"/>
  <c r="R10" i="2"/>
  <c r="R11" i="2"/>
  <c r="S11" i="2"/>
  <c r="S8" i="2"/>
  <c r="R3" i="2"/>
  <c r="R4" i="2"/>
  <c r="R5" i="2"/>
  <c r="R6" i="2"/>
  <c r="S6" i="2"/>
  <c r="S3" i="2"/>
  <c r="D5" i="2"/>
  <c r="E5" i="2"/>
  <c r="C5" i="2"/>
  <c r="D9" i="2"/>
  <c r="E9" i="2"/>
  <c r="C9" i="2"/>
  <c r="D11" i="2"/>
  <c r="C11" i="2"/>
  <c r="E11" i="2"/>
  <c r="D13" i="2"/>
  <c r="E13" i="2"/>
  <c r="C13" i="2"/>
  <c r="D15" i="2"/>
  <c r="C15" i="2"/>
  <c r="E15" i="2"/>
  <c r="D17" i="2"/>
  <c r="E17" i="2"/>
  <c r="C17" i="2"/>
  <c r="D19" i="2"/>
  <c r="C19" i="2"/>
  <c r="E19" i="2"/>
  <c r="D21" i="2"/>
  <c r="E21" i="2"/>
  <c r="C21" i="2"/>
  <c r="D23" i="2"/>
  <c r="C23" i="2"/>
  <c r="E23" i="2"/>
  <c r="D25" i="2"/>
  <c r="E25" i="2"/>
  <c r="C25" i="2"/>
  <c r="D3" i="2"/>
  <c r="C3" i="2"/>
  <c r="E3" i="2"/>
  <c r="D7" i="2"/>
  <c r="C7" i="2"/>
  <c r="E7" i="2"/>
  <c r="C4" i="2"/>
  <c r="D4" i="2"/>
  <c r="E4" i="2"/>
  <c r="D6" i="2"/>
  <c r="E6" i="2"/>
  <c r="C6" i="2"/>
  <c r="C8" i="2"/>
  <c r="D8" i="2"/>
  <c r="E8" i="2"/>
  <c r="D10" i="2"/>
  <c r="E10" i="2"/>
  <c r="C10" i="2"/>
  <c r="C12" i="2"/>
  <c r="D12" i="2"/>
  <c r="E12" i="2"/>
  <c r="D14" i="2"/>
  <c r="E14" i="2"/>
  <c r="C14" i="2"/>
  <c r="C16" i="2"/>
  <c r="D16" i="2"/>
  <c r="E16" i="2"/>
  <c r="D18" i="2"/>
  <c r="E18" i="2"/>
  <c r="C18" i="2"/>
  <c r="C20" i="2"/>
  <c r="D20" i="2"/>
  <c r="E20" i="2"/>
  <c r="D22" i="2"/>
  <c r="E22" i="2"/>
  <c r="C22" i="2"/>
  <c r="C24" i="2"/>
  <c r="D24" i="2"/>
  <c r="E24" i="2"/>
  <c r="S119" i="2"/>
  <c r="S114" i="2"/>
  <c r="S110" i="2"/>
  <c r="S94" i="2"/>
  <c r="S90" i="2"/>
  <c r="S74" i="2"/>
  <c r="S70" i="2"/>
  <c r="S54" i="2"/>
  <c r="S50" i="2"/>
  <c r="S34" i="2"/>
  <c r="S30" i="2"/>
  <c r="S14" i="2"/>
  <c r="S10" i="2"/>
  <c r="C2" i="2"/>
  <c r="E2" i="2"/>
  <c r="S109" i="2"/>
  <c r="S105" i="2"/>
  <c r="S89" i="2"/>
  <c r="S85" i="2"/>
  <c r="S69" i="2"/>
  <c r="S65" i="2"/>
  <c r="S49" i="2"/>
  <c r="S45" i="2"/>
  <c r="S29" i="2"/>
  <c r="S25" i="2"/>
  <c r="S9" i="2"/>
  <c r="S5" i="2"/>
  <c r="S120" i="2"/>
  <c r="S104" i="2"/>
  <c r="S100" i="2"/>
  <c r="S84" i="2"/>
  <c r="S80" i="2"/>
  <c r="S64" i="2"/>
  <c r="S60" i="2"/>
  <c r="S44" i="2"/>
  <c r="S40" i="2"/>
  <c r="S24" i="2"/>
  <c r="S20" i="2"/>
  <c r="S4" i="2"/>
  <c r="S99" i="2"/>
  <c r="S79" i="2"/>
  <c r="S59" i="2"/>
  <c r="S39" i="2"/>
  <c r="S35" i="2"/>
  <c r="S19" i="2"/>
  <c r="S15" i="2"/>
</calcChain>
</file>

<file path=xl/sharedStrings.xml><?xml version="1.0" encoding="utf-8"?>
<sst xmlns="http://schemas.openxmlformats.org/spreadsheetml/2006/main" count="33" uniqueCount="33">
  <si>
    <t>int-id</t>
  </si>
  <si>
    <t>int-BuffGroupLevel</t>
  </si>
  <si>
    <t>int-BreakedBuffGroupLevel</t>
  </si>
  <si>
    <t>攻击力加法修正</t>
  </si>
  <si>
    <t>暴击力</t>
  </si>
  <si>
    <t>压制力</t>
  </si>
  <si>
    <t>诅咒力</t>
  </si>
  <si>
    <t>Buff组等级</t>
  </si>
  <si>
    <t>破防后Buff组等级</t>
  </si>
  <si>
    <t>激活/升级所需技能点</t>
    <phoneticPr fontId="5" type="noConversion"/>
  </si>
  <si>
    <t>激活/升级所需游戏币（铜币）</t>
    <phoneticPr fontId="5" type="noConversion"/>
  </si>
  <si>
    <t>暴击伤害倍率</t>
    <phoneticPr fontId="10" type="noConversion"/>
  </si>
  <si>
    <t>float-AttackAdd</t>
    <phoneticPr fontId="5" type="noConversion"/>
  </si>
  <si>
    <t>float-Crit</t>
    <phoneticPr fontId="5" type="noConversion"/>
  </si>
  <si>
    <t>float-Press</t>
    <phoneticPr fontId="5" type="noConversion"/>
  </si>
  <si>
    <t>float-Curse</t>
    <phoneticPr fontId="5" type="noConversion"/>
  </si>
  <si>
    <t>float-CritDamageRate</t>
    <phoneticPr fontId="10" type="noConversion"/>
  </si>
  <si>
    <t>float-ActivatePoint</t>
    <phoneticPr fontId="5" type="noConversion"/>
  </si>
  <si>
    <t>float-ActivateCoin</t>
    <phoneticPr fontId="5" type="noConversion"/>
  </si>
  <si>
    <t>int-ActivateHeroLevel</t>
    <phoneticPr fontId="5" type="noConversion"/>
  </si>
  <si>
    <t>需要英雄等级</t>
    <phoneticPr fontId="5" type="noConversion"/>
  </si>
  <si>
    <t>暴击</t>
    <phoneticPr fontId="5" type="noConversion"/>
  </si>
  <si>
    <t>攻击</t>
    <phoneticPr fontId="5" type="noConversion"/>
  </si>
  <si>
    <t>升下一级需要的金钱</t>
    <phoneticPr fontId="5" type="noConversion"/>
  </si>
  <si>
    <t>升下一级需要的技能点</t>
    <phoneticPr fontId="5" type="noConversion"/>
  </si>
  <si>
    <t>升下一级需要的等级</t>
    <phoneticPr fontId="5" type="noConversion"/>
  </si>
  <si>
    <t>int-UpdatePassStar</t>
    <phoneticPr fontId="5" type="noConversion"/>
  </si>
  <si>
    <t>需要闯关星数</t>
    <phoneticPr fontId="5" type="noConversion"/>
  </si>
  <si>
    <t>升一下级需要</t>
    <phoneticPr fontId="5" type="noConversion"/>
  </si>
  <si>
    <t>int-Mpdefault</t>
    <phoneticPr fontId="5" type="noConversion"/>
  </si>
  <si>
    <t>MP初始值</t>
    <phoneticPr fontId="5" type="noConversion"/>
  </si>
  <si>
    <t>int-bulletdefault</t>
    <phoneticPr fontId="5" type="noConversion"/>
  </si>
  <si>
    <t>弹药初始值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</si>
</sst>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theme="2"/>
      <name val="宋体"/>
      <family val="3"/>
      <charset val="134"/>
      <scheme val="minor"/>
    </font>
    <font>
      <b/>
      <sz val="9"/>
      <color rgb="FF33339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indexed="30"/>
      <name val="宋体"/>
      <family val="3"/>
      <charset val="134"/>
    </font>
    <font>
      <sz val="9"/>
      <name val="宋体"/>
      <family val="3"/>
      <charset val="134"/>
    </font>
    <font>
      <b/>
      <sz val="9"/>
      <color indexed="9"/>
      <name val="宋体"/>
      <family val="3"/>
      <charset val="134"/>
    </font>
    <font>
      <b/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9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/>
    <xf numFmtId="0" fontId="8" fillId="2" borderId="3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11" fillId="6" borderId="1" xfId="0" applyNumberFormat="1" applyFont="1" applyFill="1" applyBorder="1" applyAlignment="1">
      <alignment horizontal="center"/>
    </xf>
    <xf numFmtId="0" fontId="12" fillId="0" borderId="1" xfId="0" applyNumberFormat="1" applyFont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9" fillId="0" borderId="1" xfId="0" applyNumberFormat="1" applyFont="1" applyBorder="1" applyAlignment="1">
      <alignment horizontal="center"/>
    </xf>
    <xf numFmtId="0" fontId="9" fillId="0" borderId="5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6" fillId="7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center" vertical="top"/>
    </xf>
    <xf numFmtId="0" fontId="8" fillId="7" borderId="2" xfId="0" applyFont="1" applyFill="1" applyBorder="1" applyAlignment="1">
      <alignment horizontal="center" vertical="top"/>
    </xf>
    <xf numFmtId="0" fontId="8" fillId="8" borderId="1" xfId="0" applyFont="1" applyFill="1" applyBorder="1" applyAlignment="1">
      <alignment horizontal="center" vertical="top"/>
    </xf>
    <xf numFmtId="0" fontId="9" fillId="8" borderId="1" xfId="0" applyNumberFormat="1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 vertical="top"/>
    </xf>
  </cellXfs>
  <cellStyles count="29">
    <cellStyle name="常规" xfId="0" builtinId="0"/>
    <cellStyle name="常规 2" xfId="1"/>
    <cellStyle name="常规 2 2" xfId="2"/>
    <cellStyle name="常规 2 2 2" xfId="4"/>
    <cellStyle name="常规 2 2 2 2" xfId="15"/>
    <cellStyle name="常规 2 2 2 2 2" xfId="28"/>
    <cellStyle name="常规 2 2 2 3" xfId="10"/>
    <cellStyle name="常规 2 2 2 4" xfId="23"/>
    <cellStyle name="常规 2 2 3" xfId="6"/>
    <cellStyle name="常规 2 2 3 2" xfId="14"/>
    <cellStyle name="常规 2 2 3 2 2" xfId="27"/>
    <cellStyle name="常规 2 2 3 3" xfId="22"/>
    <cellStyle name="常规 2 2 4" xfId="12"/>
    <cellStyle name="常规 2 2 4 2" xfId="25"/>
    <cellStyle name="常规 2 2 4 3" xfId="18"/>
    <cellStyle name="常规 2 2 5" xfId="8"/>
    <cellStyle name="常规 2 2 5 2" xfId="20"/>
    <cellStyle name="常规 2 2 6" xfId="17"/>
    <cellStyle name="常规 2 3" xfId="3"/>
    <cellStyle name="常规 2 3 2" xfId="13"/>
    <cellStyle name="常规 2 3 2 2" xfId="26"/>
    <cellStyle name="常规 2 3 3" xfId="9"/>
    <cellStyle name="常规 2 3 4" xfId="21"/>
    <cellStyle name="常规 2 4" xfId="5"/>
    <cellStyle name="常规 2 4 2" xfId="11"/>
    <cellStyle name="常规 2 4 3" xfId="24"/>
    <cellStyle name="常规 2 5" xfId="7"/>
    <cellStyle name="常规 2 5 2" xfId="19"/>
    <cellStyle name="常规 2 6" xfId="16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"/>
  <sheetViews>
    <sheetView tabSelected="1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B15" sqref="B15"/>
    </sheetView>
  </sheetViews>
  <sheetFormatPr defaultRowHeight="11.25" x14ac:dyDescent="0.15"/>
  <cols>
    <col min="1" max="1" width="6.75" style="5" bestFit="1" customWidth="1"/>
    <col min="2" max="2" width="15.125" style="6" bestFit="1" customWidth="1"/>
    <col min="3" max="3" width="10.25" style="6" hidden="1" customWidth="1"/>
    <col min="4" max="5" width="11.25" style="6" hidden="1" customWidth="1"/>
    <col min="6" max="6" width="17.75" style="6" hidden="1" customWidth="1"/>
    <col min="7" max="7" width="25" style="6" hidden="1" customWidth="1"/>
    <col min="8" max="8" width="18" style="6" hidden="1" customWidth="1"/>
    <col min="9" max="9" width="24.875" style="6" hidden="1" customWidth="1"/>
    <col min="10" max="10" width="20" style="6" hidden="1" customWidth="1"/>
    <col min="11" max="11" width="18.625" style="6" customWidth="1"/>
    <col min="12" max="12" width="20" style="21" bestFit="1" customWidth="1"/>
    <col min="13" max="13" width="13.125" style="6" bestFit="1" customWidth="1"/>
    <col min="14" max="14" width="20" style="6" customWidth="1"/>
    <col min="15" max="16384" width="9" style="6"/>
  </cols>
  <sheetData>
    <row r="1" spans="1:14" s="3" customFormat="1" x14ac:dyDescent="0.15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17</v>
      </c>
      <c r="G1" s="3" t="s">
        <v>18</v>
      </c>
      <c r="H1" s="3" t="s">
        <v>1</v>
      </c>
      <c r="I1" s="3" t="s">
        <v>2</v>
      </c>
      <c r="J1" s="7" t="s">
        <v>16</v>
      </c>
      <c r="K1" s="3" t="s">
        <v>19</v>
      </c>
      <c r="L1" s="19" t="s">
        <v>26</v>
      </c>
      <c r="M1" s="3" t="s">
        <v>29</v>
      </c>
      <c r="N1" s="3" t="s">
        <v>31</v>
      </c>
    </row>
    <row r="2" spans="1:14" s="4" customFormat="1" x14ac:dyDescent="0.15">
      <c r="B2" s="4" t="s">
        <v>3</v>
      </c>
      <c r="C2" s="4" t="s">
        <v>4</v>
      </c>
      <c r="D2" s="4" t="s">
        <v>5</v>
      </c>
      <c r="E2" s="4" t="s">
        <v>6</v>
      </c>
      <c r="F2" s="4" t="s">
        <v>9</v>
      </c>
      <c r="G2" s="4" t="s">
        <v>10</v>
      </c>
      <c r="H2" s="4" t="s">
        <v>7</v>
      </c>
      <c r="I2" s="4" t="s">
        <v>8</v>
      </c>
      <c r="J2" s="8" t="s">
        <v>11</v>
      </c>
      <c r="K2" s="4" t="s">
        <v>20</v>
      </c>
      <c r="L2" s="20" t="s">
        <v>27</v>
      </c>
      <c r="M2" s="4" t="s">
        <v>30</v>
      </c>
      <c r="N2" s="4" t="s">
        <v>32</v>
      </c>
    </row>
    <row r="3" spans="1:14" s="2" customFormat="1" x14ac:dyDescent="0.15">
      <c r="F3" s="2" t="s">
        <v>24</v>
      </c>
      <c r="G3" s="2" t="s">
        <v>23</v>
      </c>
      <c r="K3" s="2" t="s">
        <v>25</v>
      </c>
      <c r="L3" s="20" t="s">
        <v>28</v>
      </c>
    </row>
    <row r="4" spans="1:14" x14ac:dyDescent="0.15">
      <c r="A4" s="12">
        <v>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</v>
      </c>
      <c r="K4" s="15">
        <v>0</v>
      </c>
      <c r="L4" s="21">
        <v>0</v>
      </c>
      <c r="M4" s="6">
        <v>5</v>
      </c>
      <c r="N4" s="6">
        <v>5</v>
      </c>
    </row>
    <row r="5" spans="1:14" x14ac:dyDescent="0.15">
      <c r="A5" s="12">
        <v>1</v>
      </c>
      <c r="B5" s="10">
        <v>40</v>
      </c>
      <c r="C5" s="10">
        <v>9.6000000000000014</v>
      </c>
      <c r="D5" s="10">
        <v>9.6000000000000014</v>
      </c>
      <c r="E5" s="10">
        <v>9.6000000000000014</v>
      </c>
      <c r="F5" s="10">
        <v>0</v>
      </c>
      <c r="G5" s="10">
        <v>500</v>
      </c>
      <c r="H5" s="10">
        <v>1</v>
      </c>
      <c r="I5" s="10">
        <v>1</v>
      </c>
      <c r="J5" s="10">
        <v>2</v>
      </c>
      <c r="K5" s="15">
        <v>10</v>
      </c>
      <c r="L5" s="21">
        <v>10</v>
      </c>
      <c r="M5" s="6">
        <v>10</v>
      </c>
      <c r="N5" s="6">
        <v>5</v>
      </c>
    </row>
    <row r="6" spans="1:14" x14ac:dyDescent="0.15">
      <c r="A6" s="12">
        <v>2</v>
      </c>
      <c r="B6" s="10">
        <v>101</v>
      </c>
      <c r="C6" s="10">
        <v>9.6000000000000014</v>
      </c>
      <c r="D6" s="10">
        <v>9.6000000000000014</v>
      </c>
      <c r="E6" s="10">
        <v>9.6000000000000014</v>
      </c>
      <c r="F6" s="10">
        <v>0</v>
      </c>
      <c r="G6" s="10">
        <v>1000</v>
      </c>
      <c r="H6" s="10">
        <v>1</v>
      </c>
      <c r="I6" s="10">
        <v>1</v>
      </c>
      <c r="J6" s="10">
        <v>2</v>
      </c>
      <c r="K6" s="15">
        <v>15</v>
      </c>
      <c r="L6" s="21">
        <v>15</v>
      </c>
      <c r="M6" s="6">
        <v>15</v>
      </c>
      <c r="N6" s="6">
        <v>5</v>
      </c>
    </row>
    <row r="7" spans="1:14" x14ac:dyDescent="0.15">
      <c r="A7" s="12">
        <v>3</v>
      </c>
      <c r="B7" s="10">
        <v>214</v>
      </c>
      <c r="C7" s="10">
        <v>14.400000000000002</v>
      </c>
      <c r="D7" s="10">
        <v>14.400000000000002</v>
      </c>
      <c r="E7" s="10">
        <v>14.400000000000002</v>
      </c>
      <c r="F7" s="10">
        <v>0</v>
      </c>
      <c r="G7" s="10">
        <v>1500</v>
      </c>
      <c r="H7" s="10">
        <v>1</v>
      </c>
      <c r="I7" s="10">
        <v>1</v>
      </c>
      <c r="J7" s="10">
        <v>2</v>
      </c>
      <c r="K7" s="15">
        <v>20</v>
      </c>
      <c r="L7" s="21">
        <v>20</v>
      </c>
      <c r="M7" s="6">
        <v>20</v>
      </c>
      <c r="N7" s="6">
        <v>5</v>
      </c>
    </row>
    <row r="8" spans="1:14" x14ac:dyDescent="0.15">
      <c r="A8" s="12">
        <v>4</v>
      </c>
      <c r="B8" s="10">
        <v>378</v>
      </c>
      <c r="C8" s="10">
        <v>19.200000000000003</v>
      </c>
      <c r="D8" s="10">
        <v>19.200000000000003</v>
      </c>
      <c r="E8" s="10">
        <v>19.200000000000003</v>
      </c>
      <c r="F8" s="10">
        <v>0</v>
      </c>
      <c r="G8" s="10">
        <v>3000</v>
      </c>
      <c r="H8" s="10">
        <v>1</v>
      </c>
      <c r="I8" s="10">
        <v>1</v>
      </c>
      <c r="J8" s="10">
        <v>2</v>
      </c>
      <c r="K8" s="15">
        <v>25</v>
      </c>
      <c r="L8" s="21">
        <v>25</v>
      </c>
      <c r="M8" s="6">
        <v>25</v>
      </c>
      <c r="N8" s="6">
        <v>5</v>
      </c>
    </row>
    <row r="9" spans="1:14" x14ac:dyDescent="0.15">
      <c r="A9" s="12">
        <v>5</v>
      </c>
      <c r="B9" s="10">
        <v>485</v>
      </c>
      <c r="C9" s="10">
        <v>28.800000000000004</v>
      </c>
      <c r="D9" s="10">
        <v>28.800000000000004</v>
      </c>
      <c r="E9" s="10">
        <v>28.800000000000004</v>
      </c>
      <c r="F9" s="10">
        <v>0</v>
      </c>
      <c r="G9" s="10">
        <v>6000</v>
      </c>
      <c r="H9" s="10">
        <v>1</v>
      </c>
      <c r="I9" s="10">
        <v>1</v>
      </c>
      <c r="J9" s="10">
        <v>2</v>
      </c>
      <c r="K9" s="15">
        <v>30</v>
      </c>
      <c r="L9" s="21">
        <v>30</v>
      </c>
      <c r="M9" s="6">
        <v>30</v>
      </c>
      <c r="N9" s="6">
        <v>5</v>
      </c>
    </row>
    <row r="10" spans="1:14" x14ac:dyDescent="0.15">
      <c r="A10" s="12">
        <v>6</v>
      </c>
      <c r="B10" s="10">
        <v>622</v>
      </c>
      <c r="C10" s="10">
        <v>38.400000000000006</v>
      </c>
      <c r="D10" s="10">
        <v>38.400000000000006</v>
      </c>
      <c r="E10" s="10">
        <v>38.400000000000006</v>
      </c>
      <c r="F10" s="10">
        <v>0</v>
      </c>
      <c r="G10" s="10">
        <v>9000</v>
      </c>
      <c r="H10" s="10">
        <v>1</v>
      </c>
      <c r="I10" s="10">
        <v>1</v>
      </c>
      <c r="J10" s="10">
        <v>2</v>
      </c>
      <c r="K10" s="15">
        <v>35</v>
      </c>
      <c r="L10" s="21">
        <v>35</v>
      </c>
      <c r="M10" s="6">
        <v>35</v>
      </c>
      <c r="N10" s="6">
        <v>5</v>
      </c>
    </row>
    <row r="11" spans="1:14" x14ac:dyDescent="0.15">
      <c r="A11" s="12">
        <v>7</v>
      </c>
      <c r="B11" s="10">
        <v>1064</v>
      </c>
      <c r="C11" s="10">
        <v>52.800000000000004</v>
      </c>
      <c r="D11" s="10">
        <v>52.800000000000004</v>
      </c>
      <c r="E11" s="10">
        <v>52.800000000000004</v>
      </c>
      <c r="F11" s="10">
        <v>0</v>
      </c>
      <c r="G11" s="10">
        <v>18000</v>
      </c>
      <c r="H11" s="10">
        <v>1</v>
      </c>
      <c r="I11" s="10">
        <v>1</v>
      </c>
      <c r="J11" s="10">
        <v>2</v>
      </c>
      <c r="K11" s="15">
        <v>40</v>
      </c>
      <c r="L11" s="21">
        <v>40</v>
      </c>
      <c r="M11" s="6">
        <v>40</v>
      </c>
      <c r="N11" s="6">
        <v>5</v>
      </c>
    </row>
    <row r="12" spans="1:14" x14ac:dyDescent="0.15">
      <c r="A12" s="12">
        <v>8</v>
      </c>
      <c r="B12" s="10">
        <v>1403</v>
      </c>
      <c r="C12" s="10">
        <v>67.200000000000017</v>
      </c>
      <c r="D12" s="10">
        <v>67.200000000000017</v>
      </c>
      <c r="E12" s="10">
        <v>67.200000000000017</v>
      </c>
      <c r="F12" s="10">
        <v>0</v>
      </c>
      <c r="G12" s="10">
        <v>36000</v>
      </c>
      <c r="H12" s="10">
        <v>1</v>
      </c>
      <c r="I12" s="10">
        <v>1</v>
      </c>
      <c r="J12" s="10">
        <v>2</v>
      </c>
      <c r="K12" s="15">
        <v>45</v>
      </c>
      <c r="L12" s="21">
        <v>45</v>
      </c>
      <c r="M12" s="6">
        <v>45</v>
      </c>
      <c r="N12" s="6">
        <v>5</v>
      </c>
    </row>
    <row r="13" spans="1:14" x14ac:dyDescent="0.15">
      <c r="A13" s="12">
        <v>9</v>
      </c>
      <c r="B13" s="10">
        <v>2126</v>
      </c>
      <c r="C13" s="10">
        <v>86.40000000000002</v>
      </c>
      <c r="D13" s="10">
        <v>86.40000000000002</v>
      </c>
      <c r="E13" s="10">
        <v>86.40000000000002</v>
      </c>
      <c r="F13" s="10">
        <v>0</v>
      </c>
      <c r="G13" s="10">
        <v>54000</v>
      </c>
      <c r="H13" s="10">
        <v>1</v>
      </c>
      <c r="I13" s="10">
        <v>1</v>
      </c>
      <c r="J13" s="10">
        <v>2</v>
      </c>
      <c r="K13" s="15">
        <v>50</v>
      </c>
      <c r="L13" s="21">
        <v>50</v>
      </c>
      <c r="M13" s="6">
        <v>50</v>
      </c>
      <c r="N13" s="6">
        <v>5</v>
      </c>
    </row>
    <row r="14" spans="1:14" x14ac:dyDescent="0.15">
      <c r="A14" s="12">
        <v>10</v>
      </c>
      <c r="B14" s="10">
        <v>2614</v>
      </c>
      <c r="C14" s="10">
        <v>105.60000000000001</v>
      </c>
      <c r="D14" s="10">
        <v>105.60000000000001</v>
      </c>
      <c r="E14" s="10">
        <v>105.60000000000001</v>
      </c>
      <c r="F14" s="10">
        <v>0</v>
      </c>
      <c r="G14" s="10">
        <v>72000</v>
      </c>
      <c r="H14" s="10">
        <v>1</v>
      </c>
      <c r="I14" s="10">
        <v>1</v>
      </c>
      <c r="J14" s="10">
        <v>2</v>
      </c>
      <c r="K14" s="15">
        <v>55</v>
      </c>
      <c r="L14" s="21">
        <v>55</v>
      </c>
      <c r="M14" s="6">
        <v>55</v>
      </c>
      <c r="N14" s="6">
        <v>5</v>
      </c>
    </row>
    <row r="15" spans="1:14" x14ac:dyDescent="0.15">
      <c r="A15" s="12">
        <v>11</v>
      </c>
      <c r="B15" s="6">
        <v>3048</v>
      </c>
      <c r="C15" s="10">
        <v>129.60000000000002</v>
      </c>
      <c r="D15" s="10">
        <v>129.60000000000002</v>
      </c>
      <c r="E15" s="10">
        <v>129.60000000000002</v>
      </c>
      <c r="F15" s="10">
        <v>0</v>
      </c>
      <c r="G15" s="10">
        <v>90000</v>
      </c>
      <c r="H15" s="10">
        <v>1</v>
      </c>
      <c r="I15" s="10">
        <v>1</v>
      </c>
      <c r="J15" s="10">
        <v>2</v>
      </c>
      <c r="K15" s="15">
        <v>60</v>
      </c>
      <c r="L15" s="21">
        <v>60</v>
      </c>
      <c r="M15" s="6">
        <v>60</v>
      </c>
      <c r="N15" s="6">
        <v>5</v>
      </c>
    </row>
    <row r="16" spans="1:14" s="24" customFormat="1" x14ac:dyDescent="0.15">
      <c r="A16" s="22">
        <v>12</v>
      </c>
      <c r="B16" s="23">
        <v>19975.04</v>
      </c>
      <c r="C16" s="23">
        <v>153.60000000000002</v>
      </c>
      <c r="D16" s="23">
        <v>153.60000000000002</v>
      </c>
      <c r="E16" s="23">
        <v>153.60000000000002</v>
      </c>
      <c r="F16" s="23">
        <v>0</v>
      </c>
      <c r="G16" s="23">
        <v>108000</v>
      </c>
      <c r="H16" s="23">
        <v>1</v>
      </c>
      <c r="I16" s="23">
        <v>1</v>
      </c>
      <c r="J16" s="23">
        <v>2</v>
      </c>
      <c r="K16" s="22">
        <v>65</v>
      </c>
      <c r="L16" s="24">
        <v>65</v>
      </c>
      <c r="M16" s="24">
        <v>65</v>
      </c>
      <c r="N16" s="24">
        <v>5</v>
      </c>
    </row>
    <row r="17" spans="1:14" x14ac:dyDescent="0.15">
      <c r="A17" s="12">
        <v>13</v>
      </c>
      <c r="B17" s="10">
        <v>24413.120000000003</v>
      </c>
      <c r="C17" s="10">
        <v>182.40000000000003</v>
      </c>
      <c r="D17" s="10">
        <v>182.40000000000003</v>
      </c>
      <c r="E17" s="10">
        <v>182.40000000000003</v>
      </c>
      <c r="F17" s="10">
        <v>0</v>
      </c>
      <c r="G17" s="10">
        <v>126000</v>
      </c>
      <c r="H17" s="10">
        <v>1</v>
      </c>
      <c r="I17" s="10">
        <v>1</v>
      </c>
      <c r="J17" s="10">
        <v>2</v>
      </c>
      <c r="K17" s="15">
        <v>70</v>
      </c>
      <c r="L17" s="21">
        <v>70</v>
      </c>
      <c r="M17" s="6">
        <v>70</v>
      </c>
      <c r="N17" s="6">
        <v>5</v>
      </c>
    </row>
    <row r="18" spans="1:14" x14ac:dyDescent="0.15">
      <c r="A18" s="12">
        <v>14</v>
      </c>
      <c r="B18" s="10">
        <v>28748.160000000003</v>
      </c>
      <c r="C18" s="10">
        <v>211.20000000000002</v>
      </c>
      <c r="D18" s="10">
        <v>211.20000000000002</v>
      </c>
      <c r="E18" s="10">
        <v>211.20000000000002</v>
      </c>
      <c r="F18" s="10">
        <v>0</v>
      </c>
      <c r="G18" s="10">
        <v>144000</v>
      </c>
      <c r="H18" s="10">
        <v>1</v>
      </c>
      <c r="I18" s="10">
        <v>1</v>
      </c>
      <c r="J18" s="10">
        <v>2</v>
      </c>
      <c r="K18" s="15">
        <v>75</v>
      </c>
      <c r="L18" s="21">
        <v>75</v>
      </c>
      <c r="M18" s="6">
        <v>75</v>
      </c>
      <c r="N18" s="6">
        <v>5</v>
      </c>
    </row>
    <row r="19" spans="1:14" x14ac:dyDescent="0.15">
      <c r="A19" s="12">
        <v>15</v>
      </c>
      <c r="B19" s="10">
        <v>33311.360000000001</v>
      </c>
      <c r="C19" s="10">
        <v>249.60000000000002</v>
      </c>
      <c r="D19" s="10">
        <v>249.60000000000002</v>
      </c>
      <c r="E19" s="10">
        <v>249.60000000000002</v>
      </c>
      <c r="F19" s="10">
        <v>0</v>
      </c>
      <c r="G19" s="10">
        <v>162000</v>
      </c>
      <c r="H19" s="10">
        <v>1</v>
      </c>
      <c r="I19" s="10">
        <v>1</v>
      </c>
      <c r="J19" s="10">
        <v>2</v>
      </c>
      <c r="K19" s="15">
        <v>80</v>
      </c>
      <c r="L19" s="21">
        <v>80</v>
      </c>
      <c r="M19" s="6">
        <v>80</v>
      </c>
      <c r="N19" s="6">
        <v>5</v>
      </c>
    </row>
    <row r="20" spans="1:14" x14ac:dyDescent="0.15">
      <c r="A20" s="12">
        <v>16</v>
      </c>
      <c r="B20" s="10">
        <v>38787.200000000004</v>
      </c>
      <c r="C20" s="10">
        <v>288.00000000000006</v>
      </c>
      <c r="D20" s="10">
        <v>288.00000000000006</v>
      </c>
      <c r="E20" s="10">
        <v>288.00000000000006</v>
      </c>
      <c r="F20" s="10">
        <v>0</v>
      </c>
      <c r="G20" s="10">
        <v>180000</v>
      </c>
      <c r="H20" s="10">
        <v>1</v>
      </c>
      <c r="I20" s="10">
        <v>1</v>
      </c>
      <c r="J20" s="10">
        <v>2</v>
      </c>
      <c r="K20" s="15">
        <v>85</v>
      </c>
      <c r="L20" s="21">
        <v>85</v>
      </c>
      <c r="M20" s="6">
        <v>85</v>
      </c>
      <c r="N20" s="6">
        <v>5</v>
      </c>
    </row>
    <row r="21" spans="1:14" x14ac:dyDescent="0.15">
      <c r="A21" s="12">
        <v>17</v>
      </c>
      <c r="B21" s="10">
        <v>46644.000000000007</v>
      </c>
      <c r="C21" s="10">
        <v>336.00000000000006</v>
      </c>
      <c r="D21" s="10">
        <v>336.00000000000006</v>
      </c>
      <c r="E21" s="10">
        <v>336.00000000000006</v>
      </c>
      <c r="F21" s="10">
        <v>0</v>
      </c>
      <c r="G21" s="10">
        <v>198000</v>
      </c>
      <c r="H21" s="10">
        <v>1</v>
      </c>
      <c r="I21" s="10">
        <v>1</v>
      </c>
      <c r="J21" s="10">
        <v>2</v>
      </c>
      <c r="K21" s="15">
        <v>90</v>
      </c>
      <c r="L21" s="21">
        <v>90</v>
      </c>
      <c r="M21" s="6">
        <v>90</v>
      </c>
      <c r="N21" s="6">
        <v>5</v>
      </c>
    </row>
    <row r="22" spans="1:14" x14ac:dyDescent="0.15">
      <c r="A22" s="12">
        <v>18</v>
      </c>
      <c r="B22" s="10">
        <v>54059.200000000012</v>
      </c>
      <c r="C22" s="10">
        <v>384.00000000000006</v>
      </c>
      <c r="D22" s="10">
        <v>384.00000000000006</v>
      </c>
      <c r="E22" s="10">
        <v>384.00000000000006</v>
      </c>
      <c r="F22" s="10">
        <v>0</v>
      </c>
      <c r="G22" s="10">
        <v>216000</v>
      </c>
      <c r="H22" s="10">
        <v>1</v>
      </c>
      <c r="I22" s="10">
        <v>1</v>
      </c>
      <c r="J22" s="10">
        <v>2</v>
      </c>
      <c r="K22" s="15">
        <v>95</v>
      </c>
      <c r="L22" s="21">
        <v>95</v>
      </c>
      <c r="M22" s="6">
        <v>95</v>
      </c>
      <c r="N22" s="6">
        <v>5</v>
      </c>
    </row>
    <row r="23" spans="1:14" x14ac:dyDescent="0.15">
      <c r="A23" s="12">
        <v>19</v>
      </c>
      <c r="B23" s="10">
        <v>61833.200000000012</v>
      </c>
      <c r="C23" s="10">
        <v>446.40000000000003</v>
      </c>
      <c r="D23" s="10">
        <v>446.40000000000003</v>
      </c>
      <c r="E23" s="10">
        <v>446.40000000000003</v>
      </c>
      <c r="F23" s="10">
        <v>0</v>
      </c>
      <c r="G23" s="10">
        <v>234000</v>
      </c>
      <c r="H23" s="10">
        <v>1</v>
      </c>
      <c r="I23" s="10">
        <v>1</v>
      </c>
      <c r="J23" s="10">
        <v>2</v>
      </c>
      <c r="K23" s="15">
        <v>100</v>
      </c>
      <c r="L23" s="21">
        <v>100</v>
      </c>
      <c r="M23" s="6">
        <v>100</v>
      </c>
      <c r="N23" s="6">
        <v>5</v>
      </c>
    </row>
    <row r="24" spans="1:14" x14ac:dyDescent="0.15">
      <c r="A24" s="12">
        <v>20</v>
      </c>
      <c r="B24" s="10">
        <v>71520.800000000017</v>
      </c>
      <c r="C24" s="10">
        <v>508.80000000000007</v>
      </c>
      <c r="D24" s="10">
        <v>508.80000000000007</v>
      </c>
      <c r="E24" s="10">
        <v>508.80000000000007</v>
      </c>
      <c r="F24" s="10">
        <v>0</v>
      </c>
      <c r="G24" s="10">
        <v>252000</v>
      </c>
      <c r="H24" s="10">
        <v>1</v>
      </c>
      <c r="I24" s="10">
        <v>1</v>
      </c>
      <c r="J24" s="10">
        <v>2</v>
      </c>
      <c r="K24" s="15">
        <v>105</v>
      </c>
      <c r="L24" s="21">
        <v>105</v>
      </c>
      <c r="M24" s="6">
        <v>105</v>
      </c>
      <c r="N24" s="6">
        <v>5</v>
      </c>
    </row>
    <row r="25" spans="1:14" x14ac:dyDescent="0.15">
      <c r="A25" s="12">
        <v>21</v>
      </c>
      <c r="B25" s="10">
        <v>81686.800000000017</v>
      </c>
      <c r="C25" s="10">
        <v>590.40000000000009</v>
      </c>
      <c r="D25" s="10">
        <v>590.40000000000009</v>
      </c>
      <c r="E25" s="10">
        <v>590.40000000000009</v>
      </c>
      <c r="F25" s="10">
        <v>0</v>
      </c>
      <c r="G25" s="10">
        <v>270000</v>
      </c>
      <c r="H25" s="10">
        <v>1</v>
      </c>
      <c r="I25" s="10">
        <v>1</v>
      </c>
      <c r="J25" s="10">
        <v>2</v>
      </c>
      <c r="K25" s="15">
        <v>110</v>
      </c>
      <c r="L25" s="21">
        <v>110</v>
      </c>
      <c r="M25" s="6">
        <v>110</v>
      </c>
      <c r="N25" s="6">
        <v>5</v>
      </c>
    </row>
    <row r="26" spans="1:14" x14ac:dyDescent="0.15">
      <c r="A26" s="12">
        <v>22</v>
      </c>
      <c r="B26" s="10">
        <v>94244.800000000017</v>
      </c>
      <c r="C26" s="10">
        <v>672.00000000000011</v>
      </c>
      <c r="D26" s="10">
        <v>672.00000000000011</v>
      </c>
      <c r="E26" s="10">
        <v>672.00000000000011</v>
      </c>
      <c r="F26" s="10">
        <v>0</v>
      </c>
      <c r="G26" s="10">
        <v>288000</v>
      </c>
      <c r="H26" s="10">
        <v>1</v>
      </c>
      <c r="I26" s="10">
        <v>1</v>
      </c>
      <c r="J26" s="10">
        <v>2</v>
      </c>
      <c r="K26" s="15">
        <v>115</v>
      </c>
      <c r="L26" s="21">
        <v>115</v>
      </c>
      <c r="M26" s="6">
        <v>115</v>
      </c>
      <c r="N26" s="6">
        <v>5</v>
      </c>
    </row>
    <row r="27" spans="1:14" x14ac:dyDescent="0.15">
      <c r="A27" s="12">
        <v>23</v>
      </c>
      <c r="B27" s="10">
        <v>107400.80000000002</v>
      </c>
      <c r="C27" s="10">
        <v>777.60000000000014</v>
      </c>
      <c r="D27" s="10">
        <v>777.60000000000014</v>
      </c>
      <c r="E27" s="10">
        <v>777.60000000000014</v>
      </c>
      <c r="F27" s="10">
        <v>0</v>
      </c>
      <c r="G27" s="10">
        <v>306000</v>
      </c>
      <c r="H27" s="10">
        <v>1</v>
      </c>
      <c r="I27" s="10">
        <v>1</v>
      </c>
      <c r="J27" s="10">
        <v>2</v>
      </c>
      <c r="K27" s="15">
        <v>120</v>
      </c>
      <c r="L27" s="21">
        <v>120</v>
      </c>
      <c r="M27" s="6">
        <v>120</v>
      </c>
      <c r="N27" s="6">
        <v>5</v>
      </c>
    </row>
    <row r="28" spans="1:14" x14ac:dyDescent="0.15">
      <c r="A28" s="12">
        <v>24</v>
      </c>
      <c r="B28" s="10">
        <v>123905.60000000002</v>
      </c>
      <c r="C28" s="10">
        <v>883.20000000000016</v>
      </c>
      <c r="D28" s="10">
        <v>883.20000000000016</v>
      </c>
      <c r="E28" s="10">
        <v>883.20000000000016</v>
      </c>
      <c r="F28" s="10">
        <v>0</v>
      </c>
      <c r="G28" s="10">
        <v>0</v>
      </c>
      <c r="H28" s="10">
        <v>1</v>
      </c>
      <c r="I28" s="10">
        <v>1</v>
      </c>
      <c r="J28" s="10">
        <v>2</v>
      </c>
      <c r="K28" s="15">
        <v>0</v>
      </c>
      <c r="L28" s="21">
        <v>125</v>
      </c>
      <c r="M28" s="6">
        <v>125</v>
      </c>
      <c r="N28" s="6">
        <v>5</v>
      </c>
    </row>
    <row r="29" spans="1:14" x14ac:dyDescent="0.15">
      <c r="A29" s="13"/>
      <c r="B29" s="11"/>
      <c r="C29" s="11"/>
      <c r="D29" s="11"/>
      <c r="E29" s="11"/>
      <c r="F29" s="11"/>
      <c r="G29" s="11"/>
      <c r="H29" s="11"/>
      <c r="I29" s="11"/>
      <c r="J29" s="11"/>
      <c r="K29" s="14"/>
    </row>
    <row r="30" spans="1:14" x14ac:dyDescent="0.15">
      <c r="A30" s="12"/>
      <c r="B30" s="10"/>
      <c r="C30" s="10"/>
      <c r="D30" s="10"/>
      <c r="E30" s="10"/>
      <c r="F30" s="10"/>
      <c r="G30" s="10"/>
      <c r="H30" s="10"/>
      <c r="I30" s="10"/>
      <c r="J30" s="10"/>
    </row>
    <row r="31" spans="1:14" x14ac:dyDescent="0.15">
      <c r="A31" s="12"/>
      <c r="B31" s="10"/>
      <c r="C31" s="10"/>
      <c r="D31" s="10"/>
      <c r="E31" s="10"/>
      <c r="F31" s="10"/>
      <c r="G31" s="10"/>
      <c r="H31" s="10"/>
      <c r="I31" s="10"/>
      <c r="J31" s="10"/>
    </row>
    <row r="32" spans="1:14" x14ac:dyDescent="0.15">
      <c r="A32" s="12"/>
      <c r="B32" s="10"/>
      <c r="C32" s="10"/>
      <c r="D32" s="10"/>
      <c r="E32" s="10"/>
      <c r="F32" s="10"/>
      <c r="G32" s="10"/>
      <c r="H32" s="10"/>
      <c r="I32" s="10"/>
      <c r="J32" s="10"/>
    </row>
    <row r="33" spans="1:10" x14ac:dyDescent="0.15">
      <c r="A33" s="12"/>
      <c r="B33" s="10"/>
      <c r="C33" s="10"/>
      <c r="D33" s="10"/>
      <c r="E33" s="10"/>
      <c r="F33" s="10"/>
      <c r="G33" s="10"/>
      <c r="H33" s="10"/>
      <c r="I33" s="10"/>
      <c r="J33" s="10"/>
    </row>
    <row r="34" spans="1:10" x14ac:dyDescent="0.15">
      <c r="A34" s="12"/>
      <c r="B34" s="10"/>
      <c r="C34" s="10"/>
      <c r="D34" s="10"/>
      <c r="E34" s="10"/>
      <c r="F34" s="10"/>
      <c r="G34" s="10"/>
      <c r="H34" s="10"/>
      <c r="I34" s="10"/>
      <c r="J34" s="10"/>
    </row>
    <row r="35" spans="1:10" x14ac:dyDescent="0.15">
      <c r="A35" s="12"/>
      <c r="B35" s="10"/>
      <c r="C35" s="10"/>
      <c r="D35" s="10"/>
      <c r="E35" s="10"/>
      <c r="F35" s="10"/>
      <c r="G35" s="10"/>
      <c r="H35" s="10"/>
      <c r="I35" s="10"/>
      <c r="J35" s="10"/>
    </row>
    <row r="36" spans="1:10" x14ac:dyDescent="0.15">
      <c r="A36" s="12"/>
      <c r="B36" s="10"/>
      <c r="C36" s="10"/>
      <c r="D36" s="10"/>
      <c r="E36" s="10"/>
      <c r="F36" s="10"/>
      <c r="G36" s="10"/>
      <c r="H36" s="10"/>
      <c r="I36" s="10"/>
      <c r="J36" s="10"/>
    </row>
    <row r="37" spans="1:10" x14ac:dyDescent="0.15">
      <c r="A37" s="12"/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15">
      <c r="A38" s="12"/>
      <c r="B38" s="10"/>
      <c r="C38" s="10"/>
      <c r="D38" s="10"/>
      <c r="E38" s="10"/>
      <c r="F38" s="10"/>
      <c r="G38" s="10"/>
      <c r="H38" s="10"/>
      <c r="I38" s="10"/>
      <c r="J38" s="10"/>
    </row>
    <row r="39" spans="1:10" x14ac:dyDescent="0.15">
      <c r="A39" s="12"/>
      <c r="B39" s="10"/>
      <c r="C39" s="10"/>
      <c r="D39" s="10"/>
      <c r="E39" s="10"/>
      <c r="F39" s="10"/>
      <c r="G39" s="10"/>
      <c r="H39" s="10"/>
      <c r="I39" s="10"/>
      <c r="J39" s="10"/>
    </row>
    <row r="40" spans="1:10" x14ac:dyDescent="0.15">
      <c r="A40" s="12"/>
      <c r="B40" s="10"/>
      <c r="C40" s="10"/>
      <c r="D40" s="10"/>
      <c r="E40" s="10"/>
      <c r="F40" s="10"/>
      <c r="G40" s="10"/>
      <c r="H40" s="10"/>
      <c r="I40" s="10"/>
      <c r="J40" s="10"/>
    </row>
    <row r="41" spans="1:10" x14ac:dyDescent="0.15">
      <c r="A41" s="12"/>
      <c r="B41" s="10"/>
      <c r="C41" s="10"/>
      <c r="D41" s="10"/>
      <c r="E41" s="10"/>
      <c r="F41" s="10"/>
      <c r="G41" s="10"/>
      <c r="H41" s="10"/>
      <c r="I41" s="10"/>
      <c r="J41" s="10"/>
    </row>
    <row r="42" spans="1:10" x14ac:dyDescent="0.15">
      <c r="A42" s="12"/>
      <c r="B42" s="10"/>
      <c r="C42" s="10"/>
      <c r="D42" s="10"/>
      <c r="E42" s="10"/>
      <c r="F42" s="10"/>
      <c r="G42" s="10"/>
      <c r="H42" s="10"/>
      <c r="I42" s="10"/>
      <c r="J42" s="10"/>
    </row>
    <row r="43" spans="1:10" x14ac:dyDescent="0.15">
      <c r="A43" s="12"/>
      <c r="B43" s="10"/>
      <c r="C43" s="10"/>
      <c r="D43" s="10"/>
      <c r="E43" s="10"/>
      <c r="F43" s="10"/>
      <c r="G43" s="10"/>
      <c r="H43" s="10"/>
      <c r="I43" s="10"/>
      <c r="J43" s="10"/>
    </row>
    <row r="44" spans="1:10" x14ac:dyDescent="0.15">
      <c r="A44" s="12"/>
      <c r="B44" s="10"/>
      <c r="C44" s="10"/>
      <c r="D44" s="10"/>
      <c r="E44" s="10"/>
      <c r="F44" s="10"/>
      <c r="G44" s="10"/>
      <c r="H44" s="10"/>
      <c r="I44" s="10"/>
      <c r="J44" s="10"/>
    </row>
    <row r="45" spans="1:10" x14ac:dyDescent="0.15">
      <c r="A45" s="12"/>
      <c r="B45" s="10"/>
      <c r="C45" s="10"/>
      <c r="D45" s="10"/>
      <c r="E45" s="10"/>
      <c r="F45" s="10"/>
      <c r="G45" s="10"/>
      <c r="H45" s="10"/>
      <c r="I45" s="10"/>
      <c r="J45" s="10"/>
    </row>
    <row r="46" spans="1:10" x14ac:dyDescent="0.15">
      <c r="A46" s="12"/>
      <c r="B46" s="10"/>
      <c r="C46" s="10"/>
      <c r="D46" s="10"/>
      <c r="E46" s="10"/>
      <c r="F46" s="10"/>
      <c r="G46" s="10"/>
      <c r="H46" s="10"/>
      <c r="I46" s="10"/>
      <c r="J46" s="10"/>
    </row>
    <row r="47" spans="1:10" x14ac:dyDescent="0.15">
      <c r="A47" s="12"/>
      <c r="B47" s="10"/>
      <c r="C47" s="10"/>
      <c r="D47" s="10"/>
      <c r="E47" s="10"/>
      <c r="F47" s="10"/>
      <c r="G47" s="10"/>
      <c r="H47" s="10"/>
      <c r="I47" s="10"/>
      <c r="J47" s="10"/>
    </row>
    <row r="48" spans="1:10" x14ac:dyDescent="0.15">
      <c r="A48" s="12"/>
      <c r="B48" s="10"/>
      <c r="C48" s="10"/>
      <c r="D48" s="10"/>
      <c r="E48" s="10"/>
      <c r="F48" s="10"/>
      <c r="G48" s="10"/>
      <c r="H48" s="10"/>
      <c r="I48" s="10"/>
      <c r="J48" s="10"/>
    </row>
    <row r="49" spans="1:10" x14ac:dyDescent="0.15">
      <c r="A49" s="12"/>
      <c r="B49" s="10"/>
      <c r="C49" s="10"/>
      <c r="D49" s="10"/>
      <c r="E49" s="10"/>
      <c r="F49" s="10"/>
      <c r="G49" s="10"/>
      <c r="H49" s="10"/>
      <c r="I49" s="10"/>
      <c r="J49" s="10"/>
    </row>
    <row r="50" spans="1:10" x14ac:dyDescent="0.15">
      <c r="A50" s="12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15">
      <c r="A51" s="12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15">
      <c r="A52" s="12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15">
      <c r="A53" s="12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15">
      <c r="A54" s="12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15">
      <c r="A55" s="12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15">
      <c r="A56" s="12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15">
      <c r="A57" s="12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15">
      <c r="A58" s="12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15">
      <c r="A59" s="12"/>
      <c r="B59" s="10"/>
      <c r="C59" s="10"/>
      <c r="D59" s="10"/>
      <c r="E59" s="10"/>
      <c r="F59" s="10"/>
      <c r="G59" s="10"/>
      <c r="H59" s="10"/>
      <c r="I59" s="10"/>
      <c r="J59" s="10"/>
    </row>
    <row r="60" spans="1:10" x14ac:dyDescent="0.15">
      <c r="A60" s="12"/>
      <c r="B60" s="10"/>
      <c r="C60" s="10"/>
      <c r="D60" s="10"/>
      <c r="E60" s="10"/>
      <c r="F60" s="10"/>
      <c r="G60" s="10"/>
      <c r="H60" s="10"/>
      <c r="I60" s="10"/>
      <c r="J60" s="10"/>
    </row>
    <row r="61" spans="1:10" x14ac:dyDescent="0.15">
      <c r="A61" s="12"/>
      <c r="B61" s="10"/>
      <c r="C61" s="10"/>
      <c r="D61" s="10"/>
      <c r="E61" s="10"/>
      <c r="F61" s="10"/>
      <c r="G61" s="10"/>
      <c r="H61" s="10"/>
      <c r="I61" s="10"/>
      <c r="J61" s="10"/>
    </row>
    <row r="62" spans="1:10" x14ac:dyDescent="0.15">
      <c r="A62" s="12"/>
      <c r="B62" s="10"/>
      <c r="C62" s="10"/>
      <c r="D62" s="10"/>
      <c r="E62" s="10"/>
      <c r="F62" s="10"/>
      <c r="G62" s="10"/>
      <c r="H62" s="10"/>
      <c r="I62" s="10"/>
      <c r="J62" s="10"/>
    </row>
    <row r="63" spans="1:10" x14ac:dyDescent="0.15">
      <c r="A63" s="12"/>
      <c r="B63" s="10"/>
      <c r="C63" s="10"/>
      <c r="D63" s="10"/>
      <c r="E63" s="10"/>
      <c r="F63" s="10"/>
      <c r="G63" s="10"/>
      <c r="H63" s="10"/>
      <c r="I63" s="10"/>
      <c r="J63" s="10"/>
    </row>
    <row r="64" spans="1:10" x14ac:dyDescent="0.15">
      <c r="A64" s="12"/>
      <c r="B64" s="10"/>
      <c r="C64" s="10"/>
      <c r="D64" s="10"/>
      <c r="E64" s="10"/>
      <c r="F64" s="10"/>
      <c r="G64" s="10"/>
      <c r="H64" s="10"/>
      <c r="I64" s="10"/>
      <c r="J64" s="10"/>
    </row>
    <row r="65" spans="1:10" x14ac:dyDescent="0.15">
      <c r="A65" s="12"/>
      <c r="B65" s="10"/>
      <c r="C65" s="10"/>
      <c r="D65" s="10"/>
      <c r="E65" s="10"/>
      <c r="F65" s="10"/>
      <c r="G65" s="10"/>
      <c r="H65" s="10"/>
      <c r="I65" s="10"/>
      <c r="J65" s="10"/>
    </row>
    <row r="66" spans="1:10" x14ac:dyDescent="0.15">
      <c r="A66" s="12"/>
      <c r="B66" s="10"/>
      <c r="C66" s="10"/>
      <c r="D66" s="10"/>
      <c r="E66" s="10"/>
      <c r="F66" s="10"/>
      <c r="G66" s="10"/>
      <c r="H66" s="10"/>
      <c r="I66" s="10"/>
      <c r="J66" s="10"/>
    </row>
    <row r="67" spans="1:10" x14ac:dyDescent="0.15">
      <c r="A67" s="12"/>
      <c r="B67" s="10"/>
      <c r="C67" s="10"/>
      <c r="D67" s="10"/>
      <c r="E67" s="10"/>
      <c r="F67" s="10"/>
      <c r="G67" s="10"/>
      <c r="H67" s="10"/>
      <c r="I67" s="10"/>
      <c r="J67" s="10"/>
    </row>
    <row r="68" spans="1:10" x14ac:dyDescent="0.15">
      <c r="A68" s="12"/>
      <c r="B68" s="10"/>
      <c r="C68" s="10"/>
      <c r="D68" s="10"/>
      <c r="E68" s="10"/>
      <c r="F68" s="10"/>
      <c r="G68" s="10"/>
      <c r="H68" s="10"/>
      <c r="I68" s="10"/>
      <c r="J68" s="10"/>
    </row>
    <row r="69" spans="1:10" x14ac:dyDescent="0.15">
      <c r="A69" s="12"/>
      <c r="B69" s="10"/>
      <c r="C69" s="10"/>
      <c r="D69" s="10"/>
      <c r="E69" s="10"/>
      <c r="F69" s="10"/>
      <c r="G69" s="10"/>
      <c r="H69" s="10"/>
      <c r="I69" s="10"/>
      <c r="J69" s="10"/>
    </row>
    <row r="70" spans="1:10" x14ac:dyDescent="0.15">
      <c r="A70" s="12"/>
      <c r="B70" s="10"/>
      <c r="C70" s="10"/>
      <c r="D70" s="10"/>
      <c r="E70" s="10"/>
      <c r="F70" s="10"/>
      <c r="G70" s="10"/>
      <c r="H70" s="10"/>
      <c r="I70" s="10"/>
      <c r="J70" s="10"/>
    </row>
    <row r="71" spans="1:10" x14ac:dyDescent="0.15">
      <c r="A71" s="12"/>
      <c r="B71" s="10"/>
      <c r="C71" s="10"/>
      <c r="D71" s="10"/>
      <c r="E71" s="10"/>
      <c r="F71" s="10"/>
      <c r="G71" s="10"/>
      <c r="H71" s="10"/>
      <c r="I71" s="10"/>
      <c r="J71" s="10"/>
    </row>
    <row r="72" spans="1:10" x14ac:dyDescent="0.15">
      <c r="A72" s="12"/>
      <c r="B72" s="10"/>
      <c r="C72" s="10"/>
      <c r="D72" s="10"/>
      <c r="E72" s="10"/>
      <c r="F72" s="10"/>
      <c r="G72" s="10"/>
      <c r="H72" s="10"/>
      <c r="I72" s="10"/>
      <c r="J72" s="10"/>
    </row>
    <row r="73" spans="1:10" x14ac:dyDescent="0.15">
      <c r="A73" s="12"/>
      <c r="B73" s="10"/>
      <c r="C73" s="10"/>
      <c r="D73" s="10"/>
      <c r="E73" s="10"/>
      <c r="F73" s="10"/>
      <c r="G73" s="10"/>
      <c r="H73" s="10"/>
      <c r="I73" s="10"/>
      <c r="J73" s="10"/>
    </row>
    <row r="74" spans="1:10" x14ac:dyDescent="0.15">
      <c r="A74" s="12"/>
      <c r="B74" s="10"/>
      <c r="C74" s="10"/>
      <c r="D74" s="10"/>
      <c r="E74" s="10"/>
      <c r="F74" s="10"/>
      <c r="G74" s="10"/>
      <c r="H74" s="10"/>
      <c r="I74" s="10"/>
      <c r="J74" s="10"/>
    </row>
    <row r="75" spans="1:10" x14ac:dyDescent="0.15">
      <c r="A75" s="12"/>
      <c r="B75" s="10"/>
      <c r="C75" s="10"/>
      <c r="D75" s="10"/>
      <c r="E75" s="10"/>
      <c r="F75" s="10"/>
      <c r="G75" s="10"/>
      <c r="H75" s="10"/>
      <c r="I75" s="10"/>
      <c r="J75" s="10"/>
    </row>
    <row r="76" spans="1:10" x14ac:dyDescent="0.15">
      <c r="A76" s="12"/>
      <c r="B76" s="10"/>
      <c r="C76" s="10"/>
      <c r="D76" s="10"/>
      <c r="E76" s="10"/>
      <c r="F76" s="10"/>
      <c r="G76" s="10"/>
      <c r="H76" s="10"/>
      <c r="I76" s="10"/>
      <c r="J76" s="10"/>
    </row>
    <row r="77" spans="1:10" x14ac:dyDescent="0.15">
      <c r="A77" s="12"/>
      <c r="B77" s="10"/>
      <c r="C77" s="10"/>
      <c r="D77" s="10"/>
      <c r="E77" s="10"/>
      <c r="F77" s="10"/>
      <c r="G77" s="10"/>
      <c r="H77" s="10"/>
      <c r="I77" s="10"/>
      <c r="J77" s="10"/>
    </row>
    <row r="78" spans="1:10" x14ac:dyDescent="0.15">
      <c r="A78" s="12"/>
      <c r="B78" s="10"/>
      <c r="C78" s="10"/>
      <c r="D78" s="10"/>
      <c r="E78" s="10"/>
      <c r="F78" s="10"/>
      <c r="G78" s="10"/>
      <c r="H78" s="10"/>
      <c r="I78" s="10"/>
      <c r="J78" s="10"/>
    </row>
    <row r="79" spans="1:10" x14ac:dyDescent="0.15">
      <c r="A79" s="12"/>
      <c r="B79" s="10"/>
      <c r="C79" s="10"/>
      <c r="D79" s="10"/>
      <c r="E79" s="10"/>
      <c r="F79" s="10"/>
      <c r="G79" s="10"/>
      <c r="H79" s="10"/>
      <c r="I79" s="10"/>
      <c r="J79" s="10"/>
    </row>
    <row r="80" spans="1:10" x14ac:dyDescent="0.15">
      <c r="A80" s="12"/>
      <c r="B80" s="10"/>
      <c r="C80" s="10"/>
      <c r="D80" s="10"/>
      <c r="E80" s="10"/>
      <c r="F80" s="10"/>
      <c r="G80" s="10"/>
      <c r="H80" s="10"/>
      <c r="I80" s="10"/>
      <c r="J80" s="10"/>
    </row>
    <row r="81" spans="1:10" x14ac:dyDescent="0.15">
      <c r="A81" s="12"/>
      <c r="B81" s="10"/>
      <c r="C81" s="10"/>
      <c r="D81" s="10"/>
      <c r="E81" s="10"/>
      <c r="F81" s="10"/>
      <c r="G81" s="10"/>
      <c r="H81" s="10"/>
      <c r="I81" s="10"/>
      <c r="J81" s="10"/>
    </row>
    <row r="82" spans="1:10" x14ac:dyDescent="0.15">
      <c r="A82" s="12"/>
      <c r="B82" s="10"/>
      <c r="C82" s="10"/>
      <c r="D82" s="10"/>
      <c r="E82" s="10"/>
      <c r="F82" s="10"/>
      <c r="G82" s="10"/>
      <c r="H82" s="10"/>
      <c r="I82" s="10"/>
      <c r="J82" s="10"/>
    </row>
    <row r="83" spans="1:10" x14ac:dyDescent="0.15">
      <c r="A83" s="12"/>
      <c r="B83" s="10"/>
      <c r="C83" s="10"/>
      <c r="D83" s="10"/>
      <c r="E83" s="10"/>
      <c r="F83" s="10"/>
      <c r="G83" s="10"/>
      <c r="H83" s="10"/>
      <c r="I83" s="10"/>
      <c r="J83" s="10"/>
    </row>
    <row r="84" spans="1:10" x14ac:dyDescent="0.15">
      <c r="A84" s="12"/>
      <c r="B84" s="10"/>
      <c r="C84" s="10"/>
      <c r="D84" s="10"/>
      <c r="E84" s="10"/>
      <c r="F84" s="10"/>
      <c r="G84" s="10"/>
      <c r="H84" s="10"/>
      <c r="I84" s="10"/>
      <c r="J84" s="10"/>
    </row>
    <row r="85" spans="1:10" x14ac:dyDescent="0.15">
      <c r="A85" s="12"/>
      <c r="B85" s="10"/>
      <c r="C85" s="10"/>
      <c r="D85" s="10"/>
      <c r="E85" s="10"/>
      <c r="F85" s="10"/>
      <c r="G85" s="10"/>
      <c r="H85" s="10"/>
      <c r="I85" s="10"/>
      <c r="J85" s="10"/>
    </row>
    <row r="86" spans="1:10" x14ac:dyDescent="0.15">
      <c r="A86" s="12"/>
      <c r="B86" s="10"/>
      <c r="C86" s="10"/>
      <c r="D86" s="10"/>
      <c r="E86" s="10"/>
      <c r="F86" s="10"/>
      <c r="G86" s="10"/>
      <c r="H86" s="10"/>
      <c r="I86" s="10"/>
      <c r="J86" s="10"/>
    </row>
    <row r="87" spans="1:10" x14ac:dyDescent="0.15">
      <c r="A87" s="12"/>
      <c r="B87" s="10"/>
      <c r="C87" s="10"/>
      <c r="D87" s="10"/>
      <c r="E87" s="10"/>
      <c r="F87" s="10"/>
      <c r="G87" s="10"/>
      <c r="H87" s="10"/>
      <c r="I87" s="10"/>
      <c r="J87" s="10"/>
    </row>
    <row r="88" spans="1:10" x14ac:dyDescent="0.15">
      <c r="A88" s="12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15">
      <c r="A89" s="12"/>
      <c r="B89" s="10"/>
      <c r="C89" s="10"/>
      <c r="D89" s="10"/>
      <c r="E89" s="10"/>
      <c r="F89" s="10"/>
      <c r="G89" s="10"/>
      <c r="H89" s="10"/>
      <c r="I89" s="10"/>
      <c r="J89" s="10"/>
    </row>
    <row r="90" spans="1:10" x14ac:dyDescent="0.15">
      <c r="A90" s="12"/>
      <c r="B90" s="10"/>
      <c r="C90" s="10"/>
      <c r="D90" s="10"/>
      <c r="E90" s="10"/>
      <c r="F90" s="10"/>
      <c r="G90" s="10"/>
      <c r="H90" s="10"/>
      <c r="I90" s="10"/>
      <c r="J90" s="10"/>
    </row>
    <row r="91" spans="1:10" x14ac:dyDescent="0.15">
      <c r="A91" s="12"/>
      <c r="B91" s="10"/>
      <c r="C91" s="10"/>
      <c r="D91" s="10"/>
      <c r="E91" s="10"/>
      <c r="F91" s="10"/>
      <c r="G91" s="10"/>
      <c r="H91" s="10"/>
      <c r="I91" s="10"/>
      <c r="J91" s="10"/>
    </row>
    <row r="92" spans="1:10" x14ac:dyDescent="0.15">
      <c r="A92" s="12"/>
      <c r="B92" s="10"/>
      <c r="C92" s="10"/>
      <c r="D92" s="10"/>
      <c r="E92" s="10"/>
      <c r="F92" s="10"/>
      <c r="G92" s="10"/>
      <c r="H92" s="10"/>
      <c r="I92" s="10"/>
      <c r="J92" s="10"/>
    </row>
    <row r="93" spans="1:10" x14ac:dyDescent="0.15">
      <c r="A93" s="12"/>
      <c r="B93" s="10"/>
      <c r="C93" s="10"/>
      <c r="D93" s="10"/>
      <c r="E93" s="10"/>
      <c r="F93" s="10"/>
      <c r="G93" s="10"/>
      <c r="H93" s="10"/>
      <c r="I93" s="10"/>
      <c r="J93" s="10"/>
    </row>
    <row r="94" spans="1:10" x14ac:dyDescent="0.15">
      <c r="A94" s="12"/>
      <c r="B94" s="10"/>
      <c r="C94" s="10"/>
      <c r="D94" s="10"/>
      <c r="E94" s="10"/>
      <c r="F94" s="10"/>
      <c r="G94" s="10"/>
      <c r="H94" s="10"/>
      <c r="I94" s="10"/>
      <c r="J94" s="10"/>
    </row>
    <row r="95" spans="1:10" x14ac:dyDescent="0.15">
      <c r="A95" s="12"/>
      <c r="B95" s="10"/>
      <c r="C95" s="10"/>
      <c r="D95" s="10"/>
      <c r="E95" s="10"/>
      <c r="F95" s="10"/>
      <c r="G95" s="10"/>
      <c r="H95" s="10"/>
      <c r="I95" s="10"/>
      <c r="J95" s="10"/>
    </row>
    <row r="96" spans="1:10" x14ac:dyDescent="0.15">
      <c r="A96" s="12"/>
      <c r="B96" s="10"/>
      <c r="C96" s="10"/>
      <c r="D96" s="10"/>
      <c r="E96" s="10"/>
      <c r="F96" s="10"/>
      <c r="G96" s="10"/>
      <c r="H96" s="10"/>
      <c r="I96" s="10"/>
      <c r="J96" s="10"/>
    </row>
    <row r="97" spans="1:10" x14ac:dyDescent="0.15">
      <c r="A97" s="12"/>
      <c r="B97" s="10"/>
      <c r="C97" s="10"/>
      <c r="D97" s="10"/>
      <c r="E97" s="10"/>
      <c r="F97" s="10"/>
      <c r="G97" s="10"/>
      <c r="H97" s="10"/>
      <c r="I97" s="10"/>
      <c r="J97" s="10"/>
    </row>
    <row r="98" spans="1:10" x14ac:dyDescent="0.15">
      <c r="A98" s="12"/>
      <c r="B98" s="10"/>
      <c r="C98" s="10"/>
      <c r="D98" s="10"/>
      <c r="E98" s="10"/>
      <c r="F98" s="10"/>
      <c r="G98" s="10"/>
      <c r="H98" s="10"/>
      <c r="I98" s="10"/>
      <c r="J98" s="10"/>
    </row>
    <row r="99" spans="1:10" x14ac:dyDescent="0.15">
      <c r="A99" s="12"/>
      <c r="B99" s="10"/>
      <c r="C99" s="10"/>
      <c r="D99" s="10"/>
      <c r="E99" s="10"/>
      <c r="F99" s="10"/>
      <c r="G99" s="10"/>
      <c r="H99" s="10"/>
      <c r="I99" s="10"/>
      <c r="J99" s="10"/>
    </row>
    <row r="100" spans="1:10" x14ac:dyDescent="0.15">
      <c r="A100" s="12"/>
      <c r="B100" s="10"/>
      <c r="C100" s="10"/>
      <c r="D100" s="10"/>
      <c r="E100" s="10"/>
      <c r="F100" s="10"/>
      <c r="G100" s="10"/>
      <c r="H100" s="10"/>
      <c r="I100" s="10"/>
      <c r="J100" s="10"/>
    </row>
    <row r="101" spans="1:10" x14ac:dyDescent="0.15">
      <c r="A101" s="12"/>
      <c r="B101" s="10"/>
      <c r="C101" s="10"/>
      <c r="D101" s="10"/>
      <c r="E101" s="10"/>
      <c r="F101" s="10"/>
      <c r="G101" s="10"/>
      <c r="H101" s="10"/>
      <c r="I101" s="10"/>
      <c r="J101" s="10"/>
    </row>
    <row r="102" spans="1:10" x14ac:dyDescent="0.15">
      <c r="A102" s="12"/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 x14ac:dyDescent="0.15">
      <c r="A103" s="12"/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1:10" x14ac:dyDescent="0.15">
      <c r="A104" s="12"/>
      <c r="B104" s="10"/>
      <c r="C104" s="10"/>
      <c r="D104" s="10"/>
      <c r="E104" s="10"/>
      <c r="F104" s="10"/>
      <c r="G104" s="10"/>
      <c r="H104" s="10"/>
      <c r="I104" s="10"/>
      <c r="J104" s="10"/>
    </row>
    <row r="105" spans="1:10" x14ac:dyDescent="0.15">
      <c r="A105" s="12"/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0" x14ac:dyDescent="0.15">
      <c r="A106" s="12"/>
      <c r="B106" s="10"/>
      <c r="C106" s="10"/>
      <c r="D106" s="10"/>
      <c r="E106" s="10"/>
      <c r="F106" s="10"/>
      <c r="G106" s="10"/>
      <c r="H106" s="10"/>
      <c r="I106" s="10"/>
      <c r="J106" s="10"/>
    </row>
    <row r="107" spans="1:10" x14ac:dyDescent="0.15">
      <c r="A107" s="12"/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1:10" x14ac:dyDescent="0.15">
      <c r="A108" s="12"/>
      <c r="B108" s="10"/>
      <c r="C108" s="10"/>
      <c r="D108" s="10"/>
      <c r="E108" s="10"/>
      <c r="F108" s="10"/>
      <c r="G108" s="10"/>
      <c r="H108" s="10"/>
      <c r="I108" s="10"/>
      <c r="J108" s="10"/>
    </row>
    <row r="109" spans="1:10" x14ac:dyDescent="0.15">
      <c r="A109" s="12"/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1:10" x14ac:dyDescent="0.15">
      <c r="A110" s="12"/>
      <c r="B110" s="10"/>
      <c r="C110" s="10"/>
      <c r="D110" s="10"/>
      <c r="E110" s="10"/>
      <c r="F110" s="10"/>
      <c r="G110" s="10"/>
      <c r="H110" s="10"/>
      <c r="I110" s="10"/>
      <c r="J110" s="10"/>
    </row>
    <row r="111" spans="1:10" x14ac:dyDescent="0.15">
      <c r="A111" s="12"/>
      <c r="B111" s="10"/>
      <c r="C111" s="10"/>
      <c r="D111" s="10"/>
      <c r="E111" s="10"/>
      <c r="F111" s="10"/>
      <c r="G111" s="10"/>
      <c r="H111" s="10"/>
      <c r="I111" s="10"/>
      <c r="J111" s="10"/>
    </row>
    <row r="112" spans="1:10" x14ac:dyDescent="0.15">
      <c r="A112" s="12"/>
      <c r="B112" s="10"/>
      <c r="C112" s="10"/>
      <c r="D112" s="10"/>
      <c r="E112" s="10"/>
      <c r="F112" s="10"/>
      <c r="G112" s="10"/>
      <c r="H112" s="10"/>
      <c r="I112" s="10"/>
      <c r="J112" s="10"/>
    </row>
    <row r="113" spans="1:10" x14ac:dyDescent="0.15">
      <c r="A113" s="12"/>
      <c r="B113" s="10"/>
      <c r="C113" s="10"/>
      <c r="D113" s="10"/>
      <c r="E113" s="10"/>
      <c r="F113" s="10"/>
      <c r="G113" s="10"/>
      <c r="H113" s="10"/>
      <c r="I113" s="10"/>
      <c r="J113" s="10"/>
    </row>
    <row r="114" spans="1:10" x14ac:dyDescent="0.15">
      <c r="A114" s="12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x14ac:dyDescent="0.15">
      <c r="A115" s="12"/>
      <c r="B115" s="10"/>
      <c r="C115" s="10"/>
      <c r="D115" s="10"/>
      <c r="E115" s="10"/>
      <c r="F115" s="10"/>
      <c r="G115" s="10"/>
      <c r="H115" s="10"/>
      <c r="I115" s="10"/>
      <c r="J115" s="10"/>
    </row>
    <row r="116" spans="1:10" x14ac:dyDescent="0.15">
      <c r="A116" s="12"/>
      <c r="B116" s="10"/>
      <c r="C116" s="10"/>
      <c r="D116" s="10"/>
      <c r="E116" s="10"/>
      <c r="F116" s="10"/>
      <c r="G116" s="10"/>
      <c r="H116" s="10"/>
      <c r="I116" s="10"/>
      <c r="J116" s="10"/>
    </row>
    <row r="117" spans="1:10" x14ac:dyDescent="0.15">
      <c r="A117" s="12"/>
      <c r="B117" s="10"/>
      <c r="C117" s="10"/>
      <c r="D117" s="10"/>
      <c r="E117" s="10"/>
      <c r="F117" s="10"/>
      <c r="G117" s="10"/>
      <c r="H117" s="10"/>
      <c r="I117" s="10"/>
      <c r="J117" s="10"/>
    </row>
    <row r="118" spans="1:10" x14ac:dyDescent="0.15">
      <c r="A118" s="12"/>
      <c r="B118" s="10"/>
      <c r="C118" s="10"/>
      <c r="D118" s="10"/>
      <c r="E118" s="10"/>
      <c r="F118" s="10"/>
      <c r="G118" s="10"/>
      <c r="H118" s="10"/>
      <c r="I118" s="10"/>
      <c r="J118" s="10"/>
    </row>
    <row r="119" spans="1:10" x14ac:dyDescent="0.15">
      <c r="A119" s="12"/>
      <c r="B119" s="10"/>
      <c r="C119" s="10"/>
      <c r="D119" s="10"/>
      <c r="E119" s="10"/>
      <c r="F119" s="10"/>
      <c r="G119" s="10"/>
      <c r="H119" s="10"/>
      <c r="I119" s="10"/>
      <c r="J119" s="10"/>
    </row>
    <row r="120" spans="1:10" x14ac:dyDescent="0.15">
      <c r="A120" s="12"/>
      <c r="B120" s="10"/>
      <c r="C120" s="10"/>
      <c r="D120" s="10"/>
      <c r="E120" s="10"/>
      <c r="F120" s="10"/>
      <c r="G120" s="10"/>
      <c r="H120" s="10"/>
      <c r="I120" s="10"/>
      <c r="J120" s="10"/>
    </row>
    <row r="121" spans="1:10" x14ac:dyDescent="0.15">
      <c r="A121" s="12"/>
      <c r="B121" s="10"/>
      <c r="C121" s="10"/>
      <c r="D121" s="10"/>
      <c r="E121" s="10"/>
      <c r="F121" s="10"/>
      <c r="G121" s="10"/>
      <c r="H121" s="10"/>
      <c r="I121" s="10"/>
      <c r="J121" s="10"/>
    </row>
    <row r="122" spans="1:10" x14ac:dyDescent="0.15">
      <c r="A122" s="12"/>
      <c r="B122" s="10"/>
      <c r="C122" s="10"/>
      <c r="D122" s="10"/>
      <c r="E122" s="10"/>
      <c r="F122" s="10"/>
      <c r="G122" s="10"/>
      <c r="H122" s="10"/>
      <c r="I122" s="10"/>
      <c r="J122" s="10"/>
    </row>
    <row r="123" spans="1:10" x14ac:dyDescent="0.15">
      <c r="A123" s="12"/>
      <c r="B123" s="10"/>
      <c r="C123" s="10"/>
      <c r="D123" s="10"/>
      <c r="E123" s="10"/>
      <c r="F123" s="10"/>
      <c r="G123" s="10"/>
      <c r="H123" s="10"/>
      <c r="I123" s="10"/>
      <c r="J123" s="10"/>
    </row>
    <row r="124" spans="1:10" x14ac:dyDescent="0.15">
      <c r="A124" s="12"/>
      <c r="B124" s="10"/>
      <c r="C124" s="10"/>
      <c r="D124" s="10"/>
      <c r="E124" s="10"/>
      <c r="F124" s="10"/>
      <c r="G124" s="10"/>
      <c r="H124" s="10"/>
      <c r="I124" s="10"/>
      <c r="J124" s="10"/>
    </row>
    <row r="125" spans="1:10" x14ac:dyDescent="0.15">
      <c r="A125" s="1"/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1:10" x14ac:dyDescent="0.15">
      <c r="A126" s="9"/>
      <c r="B126" s="10"/>
      <c r="C126" s="10"/>
      <c r="D126" s="10"/>
      <c r="E126" s="10"/>
      <c r="F126" s="10"/>
      <c r="G126" s="10"/>
      <c r="H126" s="10"/>
      <c r="I126" s="10"/>
      <c r="J126" s="10"/>
    </row>
    <row r="127" spans="1:10" x14ac:dyDescent="0.15">
      <c r="B127" s="10"/>
      <c r="C127" s="10"/>
      <c r="D127" s="10"/>
      <c r="E127" s="10"/>
      <c r="F127" s="10"/>
      <c r="G127" s="10"/>
      <c r="H127" s="10"/>
      <c r="I127" s="10"/>
      <c r="J127" s="10"/>
    </row>
    <row r="128" spans="1:10" x14ac:dyDescent="0.15">
      <c r="A128" s="9"/>
      <c r="B128" s="10"/>
      <c r="C128" s="10"/>
      <c r="D128" s="10"/>
      <c r="E128" s="10"/>
      <c r="F128" s="10"/>
      <c r="G128" s="10"/>
      <c r="H128" s="10"/>
      <c r="I128" s="10"/>
      <c r="J128" s="10"/>
    </row>
    <row r="129" spans="1:10" x14ac:dyDescent="0.15">
      <c r="B129" s="10"/>
      <c r="C129" s="10"/>
      <c r="D129" s="10"/>
      <c r="E129" s="10"/>
      <c r="F129" s="10"/>
      <c r="G129" s="10"/>
      <c r="H129" s="10"/>
      <c r="I129" s="10"/>
      <c r="J129" s="10"/>
    </row>
    <row r="130" spans="1:10" x14ac:dyDescent="0.15">
      <c r="A130" s="9"/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0" x14ac:dyDescent="0.15">
      <c r="B131" s="10"/>
      <c r="C131" s="10"/>
      <c r="D131" s="10"/>
      <c r="E131" s="10"/>
      <c r="F131" s="10"/>
      <c r="G131" s="10"/>
      <c r="H131" s="10"/>
      <c r="I131" s="10"/>
      <c r="J131" s="10"/>
    </row>
    <row r="132" spans="1:10" x14ac:dyDescent="0.15">
      <c r="A132" s="9"/>
      <c r="B132" s="10"/>
      <c r="C132" s="10"/>
      <c r="D132" s="10"/>
      <c r="E132" s="10"/>
      <c r="F132" s="10"/>
      <c r="G132" s="10"/>
      <c r="H132" s="10"/>
      <c r="I132" s="10"/>
      <c r="J132" s="10"/>
    </row>
    <row r="133" spans="1:10" x14ac:dyDescent="0.15">
      <c r="B133" s="10"/>
      <c r="C133" s="10"/>
      <c r="D133" s="10"/>
      <c r="E133" s="10"/>
      <c r="F133" s="10"/>
      <c r="G133" s="10"/>
      <c r="H133" s="10"/>
      <c r="I133" s="10"/>
      <c r="J133" s="10"/>
    </row>
    <row r="134" spans="1:10" x14ac:dyDescent="0.15">
      <c r="A134" s="9"/>
      <c r="B134" s="10"/>
      <c r="C134" s="10"/>
      <c r="D134" s="10"/>
      <c r="E134" s="10"/>
      <c r="F134" s="10"/>
      <c r="G134" s="10"/>
      <c r="H134" s="10"/>
      <c r="I134" s="10"/>
      <c r="J134" s="10"/>
    </row>
    <row r="135" spans="1:10" x14ac:dyDescent="0.15">
      <c r="B135" s="10"/>
      <c r="C135" s="10"/>
      <c r="D135" s="10"/>
      <c r="E135" s="10"/>
      <c r="F135" s="10"/>
      <c r="G135" s="10"/>
      <c r="H135" s="10"/>
      <c r="I135" s="10"/>
      <c r="J135" s="10"/>
    </row>
    <row r="136" spans="1:10" x14ac:dyDescent="0.15">
      <c r="A136" s="9"/>
      <c r="B136" s="10"/>
      <c r="C136" s="10"/>
      <c r="D136" s="10"/>
      <c r="E136" s="10"/>
      <c r="F136" s="10"/>
      <c r="G136" s="10"/>
      <c r="H136" s="10"/>
      <c r="I136" s="10"/>
      <c r="J136" s="10"/>
    </row>
    <row r="137" spans="1:10" x14ac:dyDescent="0.15">
      <c r="B137" s="10"/>
      <c r="C137" s="10"/>
      <c r="D137" s="10"/>
      <c r="E137" s="10"/>
      <c r="F137" s="10"/>
      <c r="G137" s="10"/>
      <c r="H137" s="10"/>
      <c r="I137" s="10"/>
      <c r="J137" s="10"/>
    </row>
    <row r="138" spans="1:10" x14ac:dyDescent="0.15">
      <c r="A138" s="9"/>
      <c r="B138" s="10"/>
      <c r="C138" s="10"/>
      <c r="D138" s="10"/>
      <c r="E138" s="10"/>
      <c r="F138" s="10"/>
      <c r="G138" s="10"/>
      <c r="H138" s="10"/>
      <c r="I138" s="10"/>
      <c r="J138" s="10"/>
    </row>
    <row r="139" spans="1:10" x14ac:dyDescent="0.15">
      <c r="B139" s="10"/>
      <c r="C139" s="10"/>
      <c r="D139" s="10"/>
      <c r="E139" s="10"/>
      <c r="F139" s="10"/>
      <c r="G139" s="10"/>
      <c r="H139" s="10"/>
      <c r="I139" s="10"/>
      <c r="J139" s="10"/>
    </row>
    <row r="140" spans="1:10" x14ac:dyDescent="0.15">
      <c r="A140" s="9"/>
      <c r="B140" s="10"/>
      <c r="C140" s="10"/>
      <c r="D140" s="10"/>
      <c r="E140" s="10"/>
      <c r="F140" s="10"/>
      <c r="G140" s="10"/>
      <c r="H140" s="10"/>
      <c r="I140" s="10"/>
      <c r="J140" s="10"/>
    </row>
    <row r="141" spans="1:10" x14ac:dyDescent="0.15">
      <c r="B141" s="10"/>
      <c r="C141" s="10"/>
      <c r="D141" s="10"/>
      <c r="E141" s="10"/>
      <c r="F141" s="10"/>
      <c r="G141" s="10"/>
      <c r="H141" s="10"/>
      <c r="I141" s="10"/>
      <c r="J141" s="10"/>
    </row>
    <row r="142" spans="1:10" x14ac:dyDescent="0.15">
      <c r="A142" s="9"/>
      <c r="B142" s="10"/>
      <c r="C142" s="10"/>
      <c r="D142" s="10"/>
      <c r="E142" s="10"/>
      <c r="F142" s="10"/>
      <c r="G142" s="10"/>
      <c r="H142" s="10"/>
      <c r="I142" s="10"/>
      <c r="J142" s="10"/>
    </row>
    <row r="143" spans="1:10" x14ac:dyDescent="0.15">
      <c r="B143" s="10"/>
      <c r="C143" s="10"/>
      <c r="D143" s="10"/>
      <c r="E143" s="10"/>
      <c r="F143" s="10"/>
      <c r="G143" s="10"/>
      <c r="H143" s="10"/>
      <c r="I143" s="10"/>
      <c r="J143" s="10"/>
    </row>
    <row r="144" spans="1:10" x14ac:dyDescent="0.15">
      <c r="A144" s="9"/>
      <c r="B144" s="10"/>
      <c r="C144" s="10"/>
      <c r="D144" s="10"/>
      <c r="E144" s="10"/>
      <c r="F144" s="10"/>
      <c r="G144" s="10"/>
      <c r="H144" s="10"/>
      <c r="I144" s="10"/>
      <c r="J144" s="10"/>
    </row>
    <row r="145" spans="1:10" x14ac:dyDescent="0.15">
      <c r="B145" s="10"/>
      <c r="C145" s="10"/>
      <c r="D145" s="10"/>
      <c r="E145" s="10"/>
      <c r="F145" s="10"/>
      <c r="G145" s="10"/>
      <c r="H145" s="10"/>
      <c r="I145" s="10"/>
      <c r="J145" s="10"/>
    </row>
    <row r="146" spans="1:10" x14ac:dyDescent="0.15">
      <c r="A146" s="9"/>
      <c r="B146" s="10"/>
      <c r="C146" s="10"/>
      <c r="D146" s="10"/>
      <c r="E146" s="10"/>
      <c r="F146" s="10"/>
      <c r="G146" s="10"/>
      <c r="H146" s="10"/>
      <c r="I146" s="10"/>
      <c r="J146" s="10"/>
    </row>
    <row r="147" spans="1:10" x14ac:dyDescent="0.15">
      <c r="B147" s="10"/>
      <c r="C147" s="10"/>
      <c r="D147" s="10"/>
      <c r="E147" s="10"/>
      <c r="F147" s="10"/>
      <c r="G147" s="10"/>
      <c r="H147" s="10"/>
      <c r="I147" s="10"/>
      <c r="J147" s="10"/>
    </row>
    <row r="148" spans="1:10" x14ac:dyDescent="0.15">
      <c r="A148" s="9"/>
      <c r="B148" s="10"/>
      <c r="C148" s="10"/>
      <c r="D148" s="10"/>
      <c r="E148" s="10"/>
      <c r="F148" s="10"/>
      <c r="G148" s="10"/>
      <c r="H148" s="10"/>
      <c r="I148" s="10"/>
      <c r="J148" s="10"/>
    </row>
    <row r="149" spans="1:10" x14ac:dyDescent="0.15">
      <c r="B149" s="10"/>
      <c r="C149" s="10"/>
      <c r="D149" s="10"/>
      <c r="E149" s="10"/>
      <c r="F149" s="10"/>
      <c r="G149" s="10"/>
      <c r="H149" s="10"/>
      <c r="I149" s="10"/>
      <c r="J149" s="10"/>
    </row>
    <row r="150" spans="1:10" x14ac:dyDescent="0.15">
      <c r="A150" s="9"/>
      <c r="B150" s="10"/>
      <c r="C150" s="10"/>
      <c r="D150" s="10"/>
      <c r="E150" s="10"/>
      <c r="F150" s="10"/>
      <c r="G150" s="10"/>
      <c r="H150" s="10"/>
      <c r="I150" s="10"/>
      <c r="J150" s="10"/>
    </row>
    <row r="151" spans="1:10" x14ac:dyDescent="0.15">
      <c r="B151" s="10"/>
      <c r="C151" s="10"/>
      <c r="D151" s="10"/>
      <c r="E151" s="10"/>
      <c r="F151" s="10"/>
      <c r="G151" s="10"/>
      <c r="H151" s="10"/>
      <c r="I151" s="10"/>
      <c r="J151" s="10"/>
    </row>
    <row r="152" spans="1:10" x14ac:dyDescent="0.15">
      <c r="A152" s="9"/>
      <c r="B152" s="10"/>
      <c r="C152" s="10"/>
      <c r="D152" s="10"/>
      <c r="E152" s="10"/>
      <c r="F152" s="10"/>
      <c r="G152" s="10"/>
      <c r="H152" s="10"/>
      <c r="I152" s="10"/>
      <c r="J152" s="10"/>
    </row>
    <row r="153" spans="1:10" x14ac:dyDescent="0.15">
      <c r="B153" s="10"/>
      <c r="C153" s="10"/>
      <c r="D153" s="10"/>
      <c r="E153" s="10"/>
      <c r="F153" s="10"/>
      <c r="G153" s="10"/>
      <c r="H153" s="10"/>
      <c r="I153" s="10"/>
      <c r="J153" s="10"/>
    </row>
    <row r="154" spans="1:10" x14ac:dyDescent="0.15">
      <c r="A154" s="9"/>
      <c r="B154" s="10"/>
      <c r="C154" s="10"/>
      <c r="D154" s="10"/>
      <c r="E154" s="10"/>
      <c r="F154" s="10"/>
      <c r="G154" s="10"/>
      <c r="H154" s="10"/>
      <c r="I154" s="10"/>
      <c r="J154" s="10"/>
    </row>
    <row r="155" spans="1:10" x14ac:dyDescent="0.15">
      <c r="B155" s="10"/>
      <c r="C155" s="10"/>
      <c r="D155" s="10"/>
      <c r="E155" s="10"/>
      <c r="F155" s="10"/>
      <c r="G155" s="10"/>
      <c r="H155" s="10"/>
      <c r="I155" s="10"/>
      <c r="J155" s="10"/>
    </row>
    <row r="156" spans="1:10" x14ac:dyDescent="0.15">
      <c r="A156" s="9"/>
      <c r="B156" s="10"/>
      <c r="C156" s="10"/>
      <c r="D156" s="10"/>
      <c r="E156" s="10"/>
      <c r="F156" s="10"/>
      <c r="G156" s="10"/>
      <c r="H156" s="10"/>
      <c r="I156" s="10"/>
      <c r="J156" s="10"/>
    </row>
    <row r="157" spans="1:10" x14ac:dyDescent="0.15">
      <c r="B157" s="10"/>
      <c r="C157" s="10"/>
      <c r="D157" s="10"/>
      <c r="E157" s="10"/>
      <c r="F157" s="10"/>
      <c r="G157" s="10"/>
      <c r="H157" s="10"/>
      <c r="I157" s="10"/>
      <c r="J157" s="10"/>
    </row>
    <row r="158" spans="1:10" x14ac:dyDescent="0.15">
      <c r="A158" s="9"/>
      <c r="B158" s="10"/>
      <c r="C158" s="10"/>
      <c r="D158" s="10"/>
      <c r="E158" s="10"/>
      <c r="F158" s="10"/>
      <c r="G158" s="10"/>
      <c r="H158" s="10"/>
      <c r="I158" s="10"/>
      <c r="J158" s="10"/>
    </row>
    <row r="159" spans="1:10" x14ac:dyDescent="0.15">
      <c r="B159" s="10"/>
      <c r="C159" s="10"/>
      <c r="D159" s="10"/>
      <c r="E159" s="10"/>
      <c r="F159" s="10"/>
      <c r="G159" s="10"/>
      <c r="H159" s="10"/>
      <c r="I159" s="10"/>
      <c r="J159" s="10"/>
    </row>
    <row r="160" spans="1:10" x14ac:dyDescent="0.15">
      <c r="A160" s="9"/>
      <c r="B160" s="10"/>
      <c r="C160" s="10"/>
      <c r="D160" s="10"/>
      <c r="E160" s="10"/>
      <c r="F160" s="10"/>
      <c r="G160" s="10"/>
      <c r="H160" s="10"/>
      <c r="I160" s="10"/>
      <c r="J160" s="10"/>
    </row>
    <row r="161" spans="1:10" x14ac:dyDescent="0.15">
      <c r="B161" s="10"/>
      <c r="C161" s="10"/>
      <c r="D161" s="10"/>
      <c r="E161" s="10"/>
      <c r="F161" s="10"/>
      <c r="G161" s="10"/>
      <c r="H161" s="10"/>
      <c r="I161" s="10"/>
      <c r="J161" s="10"/>
    </row>
    <row r="162" spans="1:10" x14ac:dyDescent="0.15">
      <c r="A162" s="9"/>
      <c r="B162" s="10"/>
      <c r="C162" s="10"/>
      <c r="D162" s="10"/>
      <c r="E162" s="10"/>
      <c r="F162" s="10"/>
      <c r="G162" s="10"/>
      <c r="H162" s="10"/>
      <c r="I162" s="10"/>
      <c r="J162" s="10"/>
    </row>
    <row r="163" spans="1:10" x14ac:dyDescent="0.15">
      <c r="B163" s="10"/>
      <c r="C163" s="10"/>
      <c r="D163" s="10"/>
      <c r="E163" s="10"/>
      <c r="F163" s="10"/>
      <c r="G163" s="10"/>
      <c r="H163" s="10"/>
      <c r="I163" s="10"/>
      <c r="J163" s="10"/>
    </row>
    <row r="164" spans="1:10" x14ac:dyDescent="0.15">
      <c r="A164" s="9"/>
      <c r="B164" s="10"/>
      <c r="C164" s="10"/>
      <c r="D164" s="10"/>
      <c r="E164" s="10"/>
      <c r="F164" s="10"/>
      <c r="G164" s="10"/>
      <c r="H164" s="10"/>
      <c r="I164" s="10"/>
      <c r="J164" s="10"/>
    </row>
    <row r="165" spans="1:10" x14ac:dyDescent="0.15">
      <c r="B165" s="10"/>
      <c r="C165" s="10"/>
      <c r="D165" s="10"/>
      <c r="E165" s="10"/>
      <c r="F165" s="10"/>
      <c r="G165" s="10"/>
      <c r="H165" s="10"/>
      <c r="I165" s="10"/>
      <c r="J165" s="10"/>
    </row>
    <row r="166" spans="1:10" x14ac:dyDescent="0.15">
      <c r="A166" s="9"/>
      <c r="B166" s="10"/>
      <c r="C166" s="10"/>
      <c r="D166" s="10"/>
      <c r="E166" s="10"/>
      <c r="F166" s="10"/>
      <c r="G166" s="10"/>
      <c r="H166" s="10"/>
      <c r="I166" s="10"/>
      <c r="J166" s="10"/>
    </row>
    <row r="167" spans="1:10" x14ac:dyDescent="0.15">
      <c r="B167" s="10"/>
      <c r="C167" s="10"/>
      <c r="D167" s="10"/>
      <c r="E167" s="10"/>
      <c r="F167" s="10"/>
      <c r="G167" s="10"/>
      <c r="H167" s="10"/>
      <c r="I167" s="10"/>
      <c r="J167" s="10"/>
    </row>
    <row r="168" spans="1:10" x14ac:dyDescent="0.15">
      <c r="A168" s="9"/>
      <c r="B168" s="10"/>
      <c r="C168" s="10"/>
      <c r="D168" s="10"/>
      <c r="E168" s="10"/>
      <c r="F168" s="10"/>
      <c r="G168" s="10"/>
      <c r="H168" s="10"/>
      <c r="I168" s="10"/>
      <c r="J168" s="10"/>
    </row>
    <row r="169" spans="1:10" x14ac:dyDescent="0.15">
      <c r="B169" s="10"/>
      <c r="C169" s="10"/>
      <c r="D169" s="10"/>
      <c r="E169" s="10"/>
      <c r="F169" s="10"/>
      <c r="G169" s="10"/>
      <c r="H169" s="10"/>
      <c r="I169" s="10"/>
      <c r="J169" s="10"/>
    </row>
    <row r="170" spans="1:10" x14ac:dyDescent="0.15">
      <c r="A170" s="9"/>
      <c r="B170" s="10"/>
      <c r="C170" s="10"/>
      <c r="D170" s="10"/>
      <c r="E170" s="10"/>
      <c r="F170" s="10"/>
      <c r="G170" s="10"/>
      <c r="H170" s="10"/>
      <c r="I170" s="10"/>
      <c r="J170" s="10"/>
    </row>
    <row r="171" spans="1:10" x14ac:dyDescent="0.15"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0" x14ac:dyDescent="0.15">
      <c r="A172" s="9"/>
      <c r="B172" s="10"/>
      <c r="C172" s="10"/>
      <c r="D172" s="10"/>
      <c r="E172" s="10"/>
      <c r="F172" s="10"/>
      <c r="G172" s="10"/>
      <c r="H172" s="10"/>
      <c r="I172" s="10"/>
      <c r="J172" s="10"/>
    </row>
    <row r="173" spans="1:10" x14ac:dyDescent="0.15">
      <c r="B173" s="10"/>
      <c r="C173" s="10"/>
      <c r="D173" s="10"/>
      <c r="E173" s="10"/>
      <c r="F173" s="10"/>
      <c r="G173" s="10"/>
      <c r="H173" s="10"/>
      <c r="I173" s="10"/>
      <c r="J173" s="10"/>
    </row>
    <row r="174" spans="1:10" x14ac:dyDescent="0.15">
      <c r="A174" s="9"/>
      <c r="B174" s="10"/>
      <c r="C174" s="10"/>
      <c r="D174" s="10"/>
      <c r="E174" s="10"/>
      <c r="F174" s="10"/>
      <c r="G174" s="10"/>
      <c r="H174" s="10"/>
      <c r="I174" s="10"/>
      <c r="J174" s="10"/>
    </row>
    <row r="175" spans="1:10" x14ac:dyDescent="0.15">
      <c r="B175" s="10"/>
      <c r="C175" s="10"/>
      <c r="D175" s="10"/>
      <c r="E175" s="10"/>
      <c r="F175" s="10"/>
      <c r="G175" s="10"/>
      <c r="H175" s="10"/>
      <c r="I175" s="10"/>
      <c r="J175" s="10"/>
    </row>
    <row r="176" spans="1:10" x14ac:dyDescent="0.15">
      <c r="A176" s="9"/>
      <c r="B176" s="10"/>
      <c r="C176" s="10"/>
      <c r="D176" s="10"/>
      <c r="E176" s="10"/>
      <c r="F176" s="10"/>
      <c r="G176" s="10"/>
      <c r="H176" s="10"/>
      <c r="I176" s="10"/>
      <c r="J176" s="10"/>
    </row>
    <row r="177" spans="1:10" x14ac:dyDescent="0.15">
      <c r="B177" s="10"/>
      <c r="C177" s="10"/>
      <c r="D177" s="10"/>
      <c r="E177" s="10"/>
      <c r="F177" s="10"/>
      <c r="G177" s="10"/>
      <c r="H177" s="10"/>
      <c r="I177" s="10"/>
      <c r="J177" s="10"/>
    </row>
    <row r="178" spans="1:10" x14ac:dyDescent="0.15">
      <c r="A178" s="9"/>
      <c r="B178" s="10"/>
      <c r="C178" s="10"/>
      <c r="D178" s="10"/>
      <c r="E178" s="10"/>
      <c r="F178" s="10"/>
      <c r="G178" s="10"/>
      <c r="H178" s="10"/>
      <c r="I178" s="10"/>
      <c r="J178" s="10"/>
    </row>
    <row r="179" spans="1:10" x14ac:dyDescent="0.15">
      <c r="B179" s="10"/>
      <c r="C179" s="10"/>
      <c r="D179" s="10"/>
      <c r="E179" s="10"/>
      <c r="F179" s="10"/>
      <c r="G179" s="10"/>
      <c r="H179" s="10"/>
      <c r="I179" s="10"/>
      <c r="J179" s="10"/>
    </row>
    <row r="180" spans="1:10" x14ac:dyDescent="0.15">
      <c r="A180" s="9"/>
      <c r="B180" s="10"/>
      <c r="C180" s="10"/>
      <c r="D180" s="10"/>
      <c r="E180" s="10"/>
      <c r="F180" s="10"/>
      <c r="G180" s="10"/>
      <c r="H180" s="10"/>
      <c r="I180" s="10"/>
      <c r="J180" s="10"/>
    </row>
    <row r="181" spans="1:10" x14ac:dyDescent="0.15">
      <c r="B181" s="10"/>
      <c r="C181" s="10"/>
      <c r="D181" s="10"/>
      <c r="E181" s="10"/>
      <c r="F181" s="10"/>
      <c r="G181" s="10"/>
      <c r="H181" s="10"/>
      <c r="I181" s="10"/>
      <c r="J181" s="10"/>
    </row>
    <row r="182" spans="1:10" x14ac:dyDescent="0.15">
      <c r="A182" s="9"/>
      <c r="B182" s="10"/>
      <c r="C182" s="10"/>
      <c r="D182" s="10"/>
      <c r="E182" s="10"/>
      <c r="F182" s="10"/>
      <c r="G182" s="10"/>
      <c r="H182" s="10"/>
      <c r="I182" s="10"/>
      <c r="J182" s="10"/>
    </row>
    <row r="183" spans="1:10" x14ac:dyDescent="0.15">
      <c r="B183" s="10"/>
      <c r="C183" s="10"/>
      <c r="D183" s="10"/>
      <c r="E183" s="10"/>
      <c r="F183" s="10"/>
      <c r="G183" s="10"/>
      <c r="H183" s="10"/>
      <c r="I183" s="10"/>
      <c r="J183" s="10"/>
    </row>
    <row r="184" spans="1:10" x14ac:dyDescent="0.15">
      <c r="A184" s="9"/>
      <c r="B184" s="10"/>
      <c r="C184" s="10"/>
      <c r="D184" s="10"/>
      <c r="E184" s="10"/>
      <c r="F184" s="10"/>
      <c r="G184" s="10"/>
      <c r="H184" s="10"/>
      <c r="I184" s="10"/>
      <c r="J184" s="10"/>
    </row>
    <row r="185" spans="1:10" x14ac:dyDescent="0.15">
      <c r="B185" s="10"/>
      <c r="C185" s="10"/>
      <c r="D185" s="10"/>
      <c r="E185" s="10"/>
      <c r="F185" s="10"/>
      <c r="G185" s="10"/>
      <c r="H185" s="10"/>
      <c r="I185" s="10"/>
      <c r="J185" s="10"/>
    </row>
    <row r="186" spans="1:10" x14ac:dyDescent="0.15">
      <c r="A186" s="9"/>
      <c r="B186" s="10"/>
      <c r="C186" s="10"/>
      <c r="D186" s="10"/>
      <c r="E186" s="10"/>
      <c r="F186" s="10"/>
      <c r="G186" s="10"/>
      <c r="H186" s="10"/>
      <c r="I186" s="10"/>
      <c r="J186" s="10"/>
    </row>
    <row r="187" spans="1:10" x14ac:dyDescent="0.15">
      <c r="B187" s="10"/>
      <c r="C187" s="10"/>
      <c r="D187" s="10"/>
      <c r="E187" s="10"/>
      <c r="F187" s="10"/>
      <c r="G187" s="10"/>
      <c r="H187" s="10"/>
      <c r="I187" s="10"/>
      <c r="J187" s="10"/>
    </row>
    <row r="188" spans="1:10" x14ac:dyDescent="0.15">
      <c r="A188" s="9"/>
      <c r="B188" s="10"/>
      <c r="C188" s="10"/>
      <c r="D188" s="10"/>
      <c r="E188" s="10"/>
      <c r="F188" s="10"/>
      <c r="G188" s="10"/>
      <c r="H188" s="10"/>
      <c r="I188" s="10"/>
      <c r="J188" s="10"/>
    </row>
    <row r="189" spans="1:10" x14ac:dyDescent="0.15">
      <c r="B189" s="10"/>
      <c r="C189" s="10"/>
      <c r="D189" s="10"/>
      <c r="E189" s="10"/>
      <c r="F189" s="10"/>
      <c r="G189" s="10"/>
      <c r="H189" s="10"/>
      <c r="I189" s="10"/>
      <c r="J189" s="10"/>
    </row>
    <row r="190" spans="1:10" x14ac:dyDescent="0.15">
      <c r="A190" s="9"/>
      <c r="B190" s="10"/>
      <c r="C190" s="10"/>
      <c r="D190" s="10"/>
      <c r="E190" s="10"/>
      <c r="F190" s="10"/>
      <c r="G190" s="10"/>
      <c r="H190" s="10"/>
      <c r="I190" s="10"/>
      <c r="J190" s="10"/>
    </row>
    <row r="191" spans="1:10" x14ac:dyDescent="0.15">
      <c r="B191" s="10"/>
      <c r="C191" s="10"/>
      <c r="D191" s="10"/>
      <c r="E191" s="10"/>
      <c r="F191" s="10"/>
      <c r="G191" s="10"/>
      <c r="H191" s="10"/>
      <c r="I191" s="10"/>
      <c r="J191" s="10"/>
    </row>
    <row r="192" spans="1:10" x14ac:dyDescent="0.15">
      <c r="A192" s="9"/>
      <c r="B192" s="10"/>
      <c r="C192" s="10"/>
      <c r="D192" s="10"/>
      <c r="E192" s="10"/>
      <c r="F192" s="10"/>
      <c r="G192" s="10"/>
      <c r="H192" s="10"/>
      <c r="I192" s="10"/>
      <c r="J192" s="10"/>
    </row>
    <row r="193" spans="1:10" x14ac:dyDescent="0.15">
      <c r="B193" s="10"/>
      <c r="C193" s="10"/>
      <c r="D193" s="10"/>
      <c r="E193" s="10"/>
      <c r="F193" s="10"/>
      <c r="G193" s="10"/>
      <c r="H193" s="10"/>
      <c r="I193" s="10"/>
      <c r="J193" s="10"/>
    </row>
    <row r="194" spans="1:10" x14ac:dyDescent="0.15">
      <c r="A194" s="9"/>
      <c r="B194" s="10"/>
      <c r="C194" s="10"/>
      <c r="D194" s="10"/>
      <c r="E194" s="10"/>
      <c r="F194" s="10"/>
      <c r="G194" s="10"/>
      <c r="H194" s="10"/>
      <c r="I194" s="10"/>
      <c r="J194" s="10"/>
    </row>
    <row r="195" spans="1:10" x14ac:dyDescent="0.15">
      <c r="B195" s="10"/>
      <c r="C195" s="10"/>
      <c r="D195" s="10"/>
      <c r="E195" s="10"/>
      <c r="F195" s="10"/>
      <c r="G195" s="10"/>
      <c r="H195" s="10"/>
      <c r="I195" s="10"/>
      <c r="J195" s="10"/>
    </row>
    <row r="196" spans="1:10" x14ac:dyDescent="0.15">
      <c r="A196" s="9"/>
      <c r="B196" s="10"/>
      <c r="C196" s="10"/>
      <c r="D196" s="10"/>
      <c r="E196" s="10"/>
      <c r="F196" s="10"/>
      <c r="G196" s="10"/>
      <c r="H196" s="10"/>
      <c r="I196" s="10"/>
      <c r="J196" s="10"/>
    </row>
    <row r="197" spans="1:10" x14ac:dyDescent="0.15">
      <c r="B197" s="10"/>
      <c r="C197" s="10"/>
      <c r="D197" s="10"/>
      <c r="E197" s="10"/>
      <c r="F197" s="10"/>
      <c r="G197" s="10"/>
      <c r="H197" s="10"/>
      <c r="I197" s="10"/>
      <c r="J197" s="10"/>
    </row>
    <row r="198" spans="1:10" x14ac:dyDescent="0.15">
      <c r="A198" s="9"/>
      <c r="B198" s="10"/>
      <c r="C198" s="10"/>
      <c r="D198" s="10"/>
      <c r="E198" s="10"/>
      <c r="F198" s="10"/>
      <c r="G198" s="10"/>
      <c r="H198" s="10"/>
      <c r="I198" s="10"/>
      <c r="J198" s="10"/>
    </row>
    <row r="199" spans="1:10" x14ac:dyDescent="0.15">
      <c r="B199" s="10"/>
      <c r="C199" s="10"/>
      <c r="D199" s="10"/>
      <c r="E199" s="10"/>
      <c r="F199" s="10"/>
      <c r="G199" s="10"/>
      <c r="H199" s="10"/>
      <c r="I199" s="10"/>
      <c r="J199" s="10"/>
    </row>
    <row r="200" spans="1:10" x14ac:dyDescent="0.15">
      <c r="A200" s="9"/>
      <c r="B200" s="10"/>
      <c r="C200" s="10"/>
      <c r="D200" s="10"/>
      <c r="E200" s="10"/>
      <c r="F200" s="10"/>
      <c r="G200" s="10"/>
      <c r="H200" s="10"/>
      <c r="I200" s="10"/>
      <c r="J200" s="10"/>
    </row>
    <row r="201" spans="1:10" x14ac:dyDescent="0.15">
      <c r="B201" s="10"/>
      <c r="C201" s="10"/>
      <c r="D201" s="10"/>
      <c r="E201" s="10"/>
      <c r="F201" s="10"/>
      <c r="G201" s="10"/>
      <c r="H201" s="10"/>
      <c r="I201" s="10"/>
      <c r="J201" s="10"/>
    </row>
    <row r="202" spans="1:10" x14ac:dyDescent="0.15">
      <c r="A202" s="9"/>
      <c r="B202" s="10"/>
      <c r="C202" s="10"/>
      <c r="D202" s="10"/>
      <c r="E202" s="10"/>
      <c r="F202" s="10"/>
      <c r="G202" s="10"/>
      <c r="H202" s="10"/>
      <c r="I202" s="10"/>
      <c r="J202" s="10"/>
    </row>
    <row r="203" spans="1:10" x14ac:dyDescent="0.15">
      <c r="B203" s="10"/>
      <c r="C203" s="10"/>
      <c r="D203" s="10"/>
      <c r="E203" s="10"/>
      <c r="F203" s="10"/>
      <c r="G203" s="10"/>
      <c r="H203" s="10"/>
      <c r="I203" s="10"/>
      <c r="J203" s="10"/>
    </row>
    <row r="204" spans="1:10" x14ac:dyDescent="0.15">
      <c r="A204" s="9"/>
      <c r="B204" s="10"/>
      <c r="C204" s="10"/>
      <c r="D204" s="10"/>
      <c r="E204" s="10"/>
      <c r="F204" s="10"/>
      <c r="G204" s="10"/>
      <c r="H204" s="10"/>
      <c r="I204" s="10"/>
      <c r="J204" s="10"/>
    </row>
    <row r="205" spans="1:10" x14ac:dyDescent="0.15">
      <c r="B205" s="10"/>
      <c r="C205" s="10"/>
      <c r="D205" s="10"/>
      <c r="E205" s="10"/>
      <c r="F205" s="10"/>
      <c r="G205" s="10"/>
      <c r="H205" s="10"/>
      <c r="I205" s="10"/>
      <c r="J205" s="10"/>
    </row>
    <row r="206" spans="1:10" x14ac:dyDescent="0.15">
      <c r="A206" s="9"/>
      <c r="B206" s="10"/>
      <c r="C206" s="10"/>
      <c r="D206" s="10"/>
      <c r="E206" s="10"/>
      <c r="F206" s="10"/>
      <c r="G206" s="10"/>
      <c r="H206" s="10"/>
      <c r="I206" s="10"/>
      <c r="J206" s="10"/>
    </row>
    <row r="207" spans="1:10" x14ac:dyDescent="0.15">
      <c r="B207" s="10"/>
      <c r="C207" s="10"/>
      <c r="D207" s="10"/>
      <c r="E207" s="10"/>
      <c r="F207" s="10"/>
      <c r="G207" s="10"/>
      <c r="H207" s="10"/>
      <c r="I207" s="10"/>
      <c r="J207" s="10"/>
    </row>
    <row r="208" spans="1:10" x14ac:dyDescent="0.15">
      <c r="A208" s="9"/>
      <c r="B208" s="10"/>
      <c r="C208" s="10"/>
      <c r="D208" s="10"/>
      <c r="E208" s="10"/>
      <c r="F208" s="10"/>
      <c r="G208" s="10"/>
      <c r="H208" s="10"/>
      <c r="I208" s="10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1"/>
  <sheetViews>
    <sheetView workbookViewId="0">
      <selection activeCell="B2" sqref="B2:E25"/>
    </sheetView>
  </sheetViews>
  <sheetFormatPr defaultRowHeight="13.5" x14ac:dyDescent="0.15"/>
  <sheetData>
    <row r="1" spans="1:20" x14ac:dyDescent="0.15">
      <c r="A1" s="12">
        <v>0</v>
      </c>
      <c r="B1" s="10">
        <v>0</v>
      </c>
      <c r="C1" s="10">
        <v>0</v>
      </c>
      <c r="D1" s="10">
        <v>0</v>
      </c>
      <c r="E1" s="10">
        <v>0</v>
      </c>
      <c r="F1" s="10">
        <v>5</v>
      </c>
      <c r="G1" s="10">
        <v>50000</v>
      </c>
      <c r="H1" s="10">
        <v>0</v>
      </c>
      <c r="I1" s="10">
        <v>0</v>
      </c>
      <c r="J1" s="10">
        <v>2</v>
      </c>
      <c r="S1" t="s">
        <v>21</v>
      </c>
      <c r="T1" t="s">
        <v>22</v>
      </c>
    </row>
    <row r="2" spans="1:20" x14ac:dyDescent="0.15">
      <c r="A2">
        <v>1</v>
      </c>
      <c r="B2" s="10">
        <f>VLOOKUP($A2,$Q:$T,4,)</f>
        <v>41.2</v>
      </c>
      <c r="C2" s="10">
        <f>VLOOKUP($A2,$Q:$T,3,)</f>
        <v>9.6000000000000014</v>
      </c>
      <c r="D2" s="10">
        <f t="shared" ref="D2:E17" si="0">VLOOKUP($A2,$Q:$T,3,)</f>
        <v>9.6000000000000014</v>
      </c>
      <c r="E2" s="10">
        <f t="shared" si="0"/>
        <v>9.6000000000000014</v>
      </c>
      <c r="F2" s="10">
        <v>50</v>
      </c>
      <c r="G2" s="10">
        <v>500000</v>
      </c>
      <c r="H2" s="10">
        <v>5</v>
      </c>
      <c r="I2" s="10">
        <v>6</v>
      </c>
      <c r="J2" s="10">
        <v>2</v>
      </c>
      <c r="Q2" s="16">
        <v>1</v>
      </c>
      <c r="R2" s="17">
        <v>8.0000000000000018</v>
      </c>
      <c r="S2">
        <f>R2*1.2</f>
        <v>9.6000000000000014</v>
      </c>
      <c r="T2">
        <v>41.2</v>
      </c>
    </row>
    <row r="3" spans="1:20" x14ac:dyDescent="0.15">
      <c r="A3" s="12">
        <v>5</v>
      </c>
      <c r="B3" s="10">
        <f t="shared" ref="B3:B25" si="1">VLOOKUP(A3,$Q:$T,4,)</f>
        <v>100.94</v>
      </c>
      <c r="C3" s="10">
        <f t="shared" ref="C3:E25" si="2">VLOOKUP($A3,$Q:$T,3,)</f>
        <v>9.6000000000000014</v>
      </c>
      <c r="D3" s="10">
        <f t="shared" si="0"/>
        <v>9.6000000000000014</v>
      </c>
      <c r="E3" s="10">
        <f t="shared" si="0"/>
        <v>9.6000000000000014</v>
      </c>
      <c r="F3" s="10">
        <v>100</v>
      </c>
      <c r="G3" s="10">
        <v>1000000</v>
      </c>
      <c r="H3" s="10">
        <v>10</v>
      </c>
      <c r="I3" s="10">
        <v>11</v>
      </c>
      <c r="J3" s="10">
        <v>2</v>
      </c>
      <c r="Q3" s="16">
        <v>2</v>
      </c>
      <c r="R3" s="17">
        <f>R2</f>
        <v>8.0000000000000018</v>
      </c>
      <c r="S3">
        <f t="shared" ref="S3:S66" si="3">R3*1.2</f>
        <v>9.6000000000000014</v>
      </c>
      <c r="T3">
        <v>45.32</v>
      </c>
    </row>
    <row r="4" spans="1:20" x14ac:dyDescent="0.15">
      <c r="A4" s="12">
        <v>10</v>
      </c>
      <c r="B4" s="10">
        <f t="shared" si="1"/>
        <v>136.99</v>
      </c>
      <c r="C4" s="10">
        <f t="shared" si="2"/>
        <v>14.400000000000002</v>
      </c>
      <c r="D4" s="10">
        <f t="shared" si="0"/>
        <v>14.400000000000002</v>
      </c>
      <c r="E4" s="10">
        <f t="shared" si="0"/>
        <v>14.400000000000002</v>
      </c>
      <c r="F4" s="10">
        <v>150</v>
      </c>
      <c r="G4" s="10">
        <v>1500000</v>
      </c>
      <c r="H4" s="10">
        <v>15</v>
      </c>
      <c r="I4" s="10">
        <v>16</v>
      </c>
      <c r="J4" s="10">
        <v>2</v>
      </c>
      <c r="Q4" s="16">
        <v>3</v>
      </c>
      <c r="R4" s="17">
        <f t="shared" ref="R4:R6" si="4">R3</f>
        <v>8.0000000000000018</v>
      </c>
      <c r="S4">
        <f t="shared" si="3"/>
        <v>9.6000000000000014</v>
      </c>
      <c r="T4">
        <v>49.440000000000005</v>
      </c>
    </row>
    <row r="5" spans="1:20" x14ac:dyDescent="0.15">
      <c r="A5" s="12">
        <v>15</v>
      </c>
      <c r="B5" s="10">
        <f t="shared" si="1"/>
        <v>801.3599999999999</v>
      </c>
      <c r="C5" s="10">
        <f t="shared" si="2"/>
        <v>19.200000000000003</v>
      </c>
      <c r="D5" s="10">
        <f t="shared" si="0"/>
        <v>19.200000000000003</v>
      </c>
      <c r="E5" s="10">
        <f t="shared" si="0"/>
        <v>19.200000000000003</v>
      </c>
      <c r="F5" s="10">
        <v>200</v>
      </c>
      <c r="G5" s="10">
        <v>2000000</v>
      </c>
      <c r="H5" s="10">
        <v>20</v>
      </c>
      <c r="I5" s="10">
        <v>21</v>
      </c>
      <c r="J5" s="10">
        <v>2</v>
      </c>
      <c r="Q5" s="16">
        <v>4</v>
      </c>
      <c r="R5" s="17">
        <f t="shared" si="4"/>
        <v>8.0000000000000018</v>
      </c>
      <c r="S5">
        <f t="shared" si="3"/>
        <v>9.6000000000000014</v>
      </c>
      <c r="T5">
        <v>53.56</v>
      </c>
    </row>
    <row r="6" spans="1:20" x14ac:dyDescent="0.15">
      <c r="A6" s="12">
        <v>20</v>
      </c>
      <c r="B6" s="10">
        <f t="shared" si="1"/>
        <v>1723.6800000000003</v>
      </c>
      <c r="C6" s="10">
        <f t="shared" si="2"/>
        <v>28.800000000000004</v>
      </c>
      <c r="D6" s="10">
        <f t="shared" si="0"/>
        <v>28.800000000000004</v>
      </c>
      <c r="E6" s="10">
        <f t="shared" si="0"/>
        <v>28.800000000000004</v>
      </c>
      <c r="F6" s="10">
        <v>250</v>
      </c>
      <c r="G6" s="10">
        <v>2500000</v>
      </c>
      <c r="H6" s="10">
        <v>25</v>
      </c>
      <c r="I6" s="10">
        <v>26</v>
      </c>
      <c r="J6" s="10">
        <v>2</v>
      </c>
      <c r="Q6" s="16">
        <v>5</v>
      </c>
      <c r="R6" s="17">
        <f t="shared" si="4"/>
        <v>8.0000000000000018</v>
      </c>
      <c r="S6">
        <f t="shared" si="3"/>
        <v>9.6000000000000014</v>
      </c>
      <c r="T6">
        <v>100.94</v>
      </c>
    </row>
    <row r="7" spans="1:20" x14ac:dyDescent="0.15">
      <c r="A7" s="12">
        <v>25</v>
      </c>
      <c r="B7" s="10">
        <f t="shared" si="1"/>
        <v>2358.7200000000003</v>
      </c>
      <c r="C7" s="10">
        <f t="shared" si="2"/>
        <v>38.400000000000006</v>
      </c>
      <c r="D7" s="10">
        <f t="shared" si="0"/>
        <v>38.400000000000006</v>
      </c>
      <c r="E7" s="10">
        <f t="shared" si="0"/>
        <v>38.400000000000006</v>
      </c>
      <c r="F7" s="10">
        <v>300</v>
      </c>
      <c r="G7" s="10">
        <v>3000000</v>
      </c>
      <c r="H7" s="10">
        <v>30</v>
      </c>
      <c r="I7" s="10">
        <v>31</v>
      </c>
      <c r="J7" s="10">
        <v>2</v>
      </c>
      <c r="Q7" s="16">
        <v>6</v>
      </c>
      <c r="R7" s="18">
        <v>12.000000000000002</v>
      </c>
      <c r="S7">
        <f t="shared" si="3"/>
        <v>14.400000000000002</v>
      </c>
      <c r="T7">
        <v>108.14999999999999</v>
      </c>
    </row>
    <row r="8" spans="1:20" x14ac:dyDescent="0.15">
      <c r="A8" s="12">
        <v>30</v>
      </c>
      <c r="B8" s="10">
        <f t="shared" si="1"/>
        <v>4486.3200000000006</v>
      </c>
      <c r="C8" s="10">
        <f t="shared" si="2"/>
        <v>52.800000000000004</v>
      </c>
      <c r="D8" s="10">
        <f t="shared" si="0"/>
        <v>52.800000000000004</v>
      </c>
      <c r="E8" s="10">
        <f t="shared" si="0"/>
        <v>52.800000000000004</v>
      </c>
      <c r="F8" s="10">
        <v>350</v>
      </c>
      <c r="G8" s="10">
        <v>3500000</v>
      </c>
      <c r="H8" s="10">
        <v>35</v>
      </c>
      <c r="I8" s="10">
        <v>36</v>
      </c>
      <c r="J8" s="10">
        <v>2</v>
      </c>
      <c r="Q8" s="16">
        <v>7</v>
      </c>
      <c r="R8" s="17">
        <f>R7</f>
        <v>12.000000000000002</v>
      </c>
      <c r="S8">
        <f t="shared" si="3"/>
        <v>14.400000000000002</v>
      </c>
      <c r="T8">
        <v>115.36</v>
      </c>
    </row>
    <row r="9" spans="1:20" x14ac:dyDescent="0.15">
      <c r="A9" s="12">
        <v>35</v>
      </c>
      <c r="B9" s="10">
        <f t="shared" si="1"/>
        <v>5758.56</v>
      </c>
      <c r="C9" s="10">
        <f t="shared" si="2"/>
        <v>67.200000000000017</v>
      </c>
      <c r="D9" s="10">
        <f t="shared" si="0"/>
        <v>67.200000000000017</v>
      </c>
      <c r="E9" s="10">
        <f t="shared" si="0"/>
        <v>67.200000000000017</v>
      </c>
      <c r="F9" s="10">
        <v>400</v>
      </c>
      <c r="G9" s="10">
        <v>4000000</v>
      </c>
      <c r="H9" s="10">
        <v>40</v>
      </c>
      <c r="I9" s="10">
        <v>41</v>
      </c>
      <c r="J9" s="10">
        <v>2</v>
      </c>
      <c r="Q9" s="16">
        <v>8</v>
      </c>
      <c r="R9" s="17">
        <f t="shared" ref="R9:R11" si="5">R8</f>
        <v>12.000000000000002</v>
      </c>
      <c r="S9">
        <f t="shared" si="3"/>
        <v>14.400000000000002</v>
      </c>
      <c r="T9">
        <v>122.57</v>
      </c>
    </row>
    <row r="10" spans="1:20" x14ac:dyDescent="0.15">
      <c r="A10" s="12">
        <v>40</v>
      </c>
      <c r="B10" s="10">
        <f t="shared" si="1"/>
        <v>10328.64</v>
      </c>
      <c r="C10" s="10">
        <f t="shared" si="2"/>
        <v>86.40000000000002</v>
      </c>
      <c r="D10" s="10">
        <f t="shared" si="0"/>
        <v>86.40000000000002</v>
      </c>
      <c r="E10" s="10">
        <f t="shared" si="0"/>
        <v>86.40000000000002</v>
      </c>
      <c r="F10" s="10">
        <v>450</v>
      </c>
      <c r="G10" s="10">
        <v>4500000</v>
      </c>
      <c r="H10" s="10">
        <v>45</v>
      </c>
      <c r="I10" s="10">
        <v>46</v>
      </c>
      <c r="J10" s="10">
        <v>2</v>
      </c>
      <c r="Q10" s="16">
        <v>9</v>
      </c>
      <c r="R10" s="17">
        <f t="shared" si="5"/>
        <v>12.000000000000002</v>
      </c>
      <c r="S10">
        <f t="shared" si="3"/>
        <v>14.400000000000002</v>
      </c>
      <c r="T10">
        <v>129.78</v>
      </c>
    </row>
    <row r="11" spans="1:20" x14ac:dyDescent="0.15">
      <c r="A11" s="12">
        <v>45</v>
      </c>
      <c r="B11" s="10">
        <f t="shared" si="1"/>
        <v>12667.199999999999</v>
      </c>
      <c r="C11" s="10">
        <f t="shared" si="2"/>
        <v>105.60000000000001</v>
      </c>
      <c r="D11" s="10">
        <f t="shared" si="0"/>
        <v>105.60000000000001</v>
      </c>
      <c r="E11" s="10">
        <f t="shared" si="0"/>
        <v>105.60000000000001</v>
      </c>
      <c r="F11" s="10">
        <v>500</v>
      </c>
      <c r="G11" s="10">
        <v>5000000</v>
      </c>
      <c r="H11" s="10">
        <v>50</v>
      </c>
      <c r="I11" s="10">
        <v>51</v>
      </c>
      <c r="J11" s="10">
        <v>2</v>
      </c>
      <c r="Q11" s="16">
        <v>10</v>
      </c>
      <c r="R11" s="17">
        <f t="shared" si="5"/>
        <v>12.000000000000002</v>
      </c>
      <c r="S11">
        <f t="shared" si="3"/>
        <v>14.400000000000002</v>
      </c>
      <c r="T11">
        <v>136.99</v>
      </c>
    </row>
    <row r="12" spans="1:20" x14ac:dyDescent="0.15">
      <c r="A12" s="12">
        <v>50</v>
      </c>
      <c r="B12" s="10">
        <f t="shared" si="1"/>
        <v>15971.200000000003</v>
      </c>
      <c r="C12" s="10">
        <f t="shared" si="2"/>
        <v>129.60000000000002</v>
      </c>
      <c r="D12" s="10">
        <f t="shared" si="0"/>
        <v>129.60000000000002</v>
      </c>
      <c r="E12" s="10">
        <f t="shared" si="0"/>
        <v>129.60000000000002</v>
      </c>
      <c r="F12" s="10">
        <v>550</v>
      </c>
      <c r="G12" s="10">
        <v>5500000</v>
      </c>
      <c r="H12" s="10">
        <v>55</v>
      </c>
      <c r="I12" s="10">
        <v>56</v>
      </c>
      <c r="J12" s="10">
        <v>2</v>
      </c>
      <c r="Q12" s="16">
        <v>11</v>
      </c>
      <c r="R12" s="18">
        <v>16.000000000000004</v>
      </c>
      <c r="S12">
        <f t="shared" si="3"/>
        <v>19.200000000000003</v>
      </c>
      <c r="T12">
        <v>350.2</v>
      </c>
    </row>
    <row r="13" spans="1:20" x14ac:dyDescent="0.15">
      <c r="A13" s="12">
        <v>55</v>
      </c>
      <c r="B13" s="10">
        <f t="shared" si="1"/>
        <v>19975.04</v>
      </c>
      <c r="C13" s="10">
        <f t="shared" si="2"/>
        <v>153.60000000000002</v>
      </c>
      <c r="D13" s="10">
        <f t="shared" si="0"/>
        <v>153.60000000000002</v>
      </c>
      <c r="E13" s="10">
        <f t="shared" si="0"/>
        <v>153.60000000000002</v>
      </c>
      <c r="F13" s="10">
        <v>600</v>
      </c>
      <c r="G13" s="10">
        <v>6000000</v>
      </c>
      <c r="H13" s="10">
        <v>60</v>
      </c>
      <c r="I13" s="10">
        <v>61</v>
      </c>
      <c r="J13" s="10">
        <v>2</v>
      </c>
      <c r="Q13" s="16">
        <v>12</v>
      </c>
      <c r="R13" s="17">
        <f>R12</f>
        <v>16.000000000000004</v>
      </c>
      <c r="S13">
        <f t="shared" si="3"/>
        <v>19.200000000000003</v>
      </c>
      <c r="T13">
        <v>385.21999999999997</v>
      </c>
    </row>
    <row r="14" spans="1:20" x14ac:dyDescent="0.15">
      <c r="A14" s="12">
        <v>60</v>
      </c>
      <c r="B14" s="10">
        <f t="shared" si="1"/>
        <v>24413.120000000003</v>
      </c>
      <c r="C14" s="10">
        <f t="shared" si="2"/>
        <v>182.40000000000003</v>
      </c>
      <c r="D14" s="10">
        <f t="shared" si="0"/>
        <v>182.40000000000003</v>
      </c>
      <c r="E14" s="10">
        <f t="shared" si="0"/>
        <v>182.40000000000003</v>
      </c>
      <c r="F14" s="10">
        <v>650</v>
      </c>
      <c r="G14" s="10">
        <v>6500000</v>
      </c>
      <c r="H14" s="10">
        <v>65</v>
      </c>
      <c r="I14" s="10">
        <v>66</v>
      </c>
      <c r="J14" s="10">
        <v>2</v>
      </c>
      <c r="Q14" s="16">
        <v>13</v>
      </c>
      <c r="R14" s="17">
        <f t="shared" ref="R14:R16" si="6">R13</f>
        <v>16.000000000000004</v>
      </c>
      <c r="S14">
        <f t="shared" si="3"/>
        <v>19.200000000000003</v>
      </c>
      <c r="T14">
        <v>420.23999999999995</v>
      </c>
    </row>
    <row r="15" spans="1:20" x14ac:dyDescent="0.15">
      <c r="A15" s="12">
        <v>65</v>
      </c>
      <c r="B15" s="10">
        <f t="shared" si="1"/>
        <v>28748.160000000003</v>
      </c>
      <c r="C15" s="10">
        <f t="shared" si="2"/>
        <v>211.20000000000002</v>
      </c>
      <c r="D15" s="10">
        <f t="shared" si="0"/>
        <v>211.20000000000002</v>
      </c>
      <c r="E15" s="10">
        <f t="shared" si="0"/>
        <v>211.20000000000002</v>
      </c>
      <c r="F15" s="10">
        <v>700</v>
      </c>
      <c r="G15" s="10">
        <v>7000000</v>
      </c>
      <c r="H15" s="10">
        <v>70</v>
      </c>
      <c r="I15" s="10">
        <v>71</v>
      </c>
      <c r="J15" s="10">
        <v>2</v>
      </c>
      <c r="Q15" s="16">
        <v>14</v>
      </c>
      <c r="R15" s="17">
        <f t="shared" si="6"/>
        <v>16.000000000000004</v>
      </c>
      <c r="S15">
        <f t="shared" si="3"/>
        <v>19.200000000000003</v>
      </c>
      <c r="T15">
        <v>455.26</v>
      </c>
    </row>
    <row r="16" spans="1:20" x14ac:dyDescent="0.15">
      <c r="A16" s="12">
        <v>70</v>
      </c>
      <c r="B16" s="10">
        <f t="shared" si="1"/>
        <v>33311.360000000001</v>
      </c>
      <c r="C16" s="10">
        <f t="shared" si="2"/>
        <v>249.60000000000002</v>
      </c>
      <c r="D16" s="10">
        <f t="shared" si="0"/>
        <v>249.60000000000002</v>
      </c>
      <c r="E16" s="10">
        <f t="shared" si="0"/>
        <v>249.60000000000002</v>
      </c>
      <c r="F16" s="10">
        <v>750</v>
      </c>
      <c r="G16" s="10">
        <v>7500000</v>
      </c>
      <c r="H16" s="10">
        <v>75</v>
      </c>
      <c r="I16" s="10">
        <v>76</v>
      </c>
      <c r="J16" s="10">
        <v>2</v>
      </c>
      <c r="Q16" s="16">
        <v>15</v>
      </c>
      <c r="R16" s="17">
        <f t="shared" si="6"/>
        <v>16.000000000000004</v>
      </c>
      <c r="S16">
        <f t="shared" si="3"/>
        <v>19.200000000000003</v>
      </c>
      <c r="T16">
        <v>801.3599999999999</v>
      </c>
    </row>
    <row r="17" spans="1:20" x14ac:dyDescent="0.15">
      <c r="A17" s="12">
        <v>75</v>
      </c>
      <c r="B17" s="10">
        <f t="shared" si="1"/>
        <v>38787.200000000004</v>
      </c>
      <c r="C17" s="10">
        <f t="shared" si="2"/>
        <v>288.00000000000006</v>
      </c>
      <c r="D17" s="10">
        <f t="shared" si="0"/>
        <v>288.00000000000006</v>
      </c>
      <c r="E17" s="10">
        <f t="shared" si="0"/>
        <v>288.00000000000006</v>
      </c>
      <c r="F17" s="10">
        <v>800</v>
      </c>
      <c r="G17" s="10">
        <v>8000000</v>
      </c>
      <c r="H17" s="10">
        <v>80</v>
      </c>
      <c r="I17" s="10">
        <v>81</v>
      </c>
      <c r="J17" s="10">
        <v>2</v>
      </c>
      <c r="Q17" s="16">
        <v>16</v>
      </c>
      <c r="R17" s="18">
        <v>24.000000000000004</v>
      </c>
      <c r="S17">
        <f t="shared" si="3"/>
        <v>28.800000000000004</v>
      </c>
      <c r="T17">
        <v>858.59999999999991</v>
      </c>
    </row>
    <row r="18" spans="1:20" x14ac:dyDescent="0.15">
      <c r="A18" s="12">
        <v>80</v>
      </c>
      <c r="B18" s="10">
        <f t="shared" si="1"/>
        <v>46644.000000000007</v>
      </c>
      <c r="C18" s="10">
        <f t="shared" si="2"/>
        <v>336.00000000000006</v>
      </c>
      <c r="D18" s="10">
        <f t="shared" si="2"/>
        <v>336.00000000000006</v>
      </c>
      <c r="E18" s="10">
        <f t="shared" si="2"/>
        <v>336.00000000000006</v>
      </c>
      <c r="F18" s="10">
        <v>850</v>
      </c>
      <c r="G18" s="10">
        <v>8500000</v>
      </c>
      <c r="H18" s="10">
        <v>85</v>
      </c>
      <c r="I18" s="10">
        <v>86</v>
      </c>
      <c r="J18" s="10">
        <v>2</v>
      </c>
      <c r="Q18" s="16">
        <v>17</v>
      </c>
      <c r="R18" s="17">
        <f>R17</f>
        <v>24.000000000000004</v>
      </c>
      <c r="S18">
        <f t="shared" si="3"/>
        <v>28.800000000000004</v>
      </c>
      <c r="T18">
        <v>915.83999999999992</v>
      </c>
    </row>
    <row r="19" spans="1:20" x14ac:dyDescent="0.15">
      <c r="A19" s="12">
        <v>85</v>
      </c>
      <c r="B19" s="10">
        <f t="shared" si="1"/>
        <v>54059.200000000012</v>
      </c>
      <c r="C19" s="10">
        <f t="shared" si="2"/>
        <v>384.00000000000006</v>
      </c>
      <c r="D19" s="10">
        <f t="shared" si="2"/>
        <v>384.00000000000006</v>
      </c>
      <c r="E19" s="10">
        <f t="shared" si="2"/>
        <v>384.00000000000006</v>
      </c>
      <c r="F19" s="10">
        <v>900</v>
      </c>
      <c r="G19" s="10">
        <v>9000000</v>
      </c>
      <c r="H19" s="10">
        <v>90</v>
      </c>
      <c r="I19" s="10">
        <v>91</v>
      </c>
      <c r="J19" s="10">
        <v>2</v>
      </c>
      <c r="Q19" s="16">
        <v>18</v>
      </c>
      <c r="R19" s="17">
        <f t="shared" ref="R19:R21" si="7">R18</f>
        <v>24.000000000000004</v>
      </c>
      <c r="S19">
        <f t="shared" si="3"/>
        <v>28.800000000000004</v>
      </c>
      <c r="T19">
        <v>973.07999999999993</v>
      </c>
    </row>
    <row r="20" spans="1:20" x14ac:dyDescent="0.15">
      <c r="A20" s="12">
        <v>90</v>
      </c>
      <c r="B20" s="10">
        <f t="shared" si="1"/>
        <v>61833.200000000012</v>
      </c>
      <c r="C20" s="10">
        <f t="shared" si="2"/>
        <v>446.40000000000003</v>
      </c>
      <c r="D20" s="10">
        <f t="shared" si="2"/>
        <v>446.40000000000003</v>
      </c>
      <c r="E20" s="10">
        <f t="shared" si="2"/>
        <v>446.40000000000003</v>
      </c>
      <c r="F20" s="10">
        <v>950</v>
      </c>
      <c r="G20" s="10">
        <v>9500000</v>
      </c>
      <c r="H20" s="10">
        <v>95</v>
      </c>
      <c r="I20" s="10">
        <v>96</v>
      </c>
      <c r="J20" s="10">
        <v>2</v>
      </c>
      <c r="Q20" s="16">
        <v>19</v>
      </c>
      <c r="R20" s="17">
        <f t="shared" si="7"/>
        <v>24.000000000000004</v>
      </c>
      <c r="S20">
        <f t="shared" si="3"/>
        <v>28.800000000000004</v>
      </c>
      <c r="T20">
        <v>1030.32</v>
      </c>
    </row>
    <row r="21" spans="1:20" x14ac:dyDescent="0.15">
      <c r="A21" s="12">
        <v>95</v>
      </c>
      <c r="B21" s="10">
        <f t="shared" si="1"/>
        <v>71520.800000000017</v>
      </c>
      <c r="C21" s="10">
        <f t="shared" si="2"/>
        <v>508.80000000000007</v>
      </c>
      <c r="D21" s="10">
        <f t="shared" si="2"/>
        <v>508.80000000000007</v>
      </c>
      <c r="E21" s="10">
        <f t="shared" si="2"/>
        <v>508.80000000000007</v>
      </c>
      <c r="F21" s="10">
        <v>1000</v>
      </c>
      <c r="G21" s="10">
        <v>10000000</v>
      </c>
      <c r="H21" s="10">
        <v>100</v>
      </c>
      <c r="I21" s="10">
        <v>101</v>
      </c>
      <c r="J21" s="10">
        <v>2</v>
      </c>
      <c r="Q21" s="16">
        <v>20</v>
      </c>
      <c r="R21" s="17">
        <f t="shared" si="7"/>
        <v>24.000000000000004</v>
      </c>
      <c r="S21">
        <f t="shared" si="3"/>
        <v>28.800000000000004</v>
      </c>
      <c r="T21">
        <v>1723.6800000000003</v>
      </c>
    </row>
    <row r="22" spans="1:20" x14ac:dyDescent="0.15">
      <c r="A22" s="12">
        <v>100</v>
      </c>
      <c r="B22" s="10">
        <f t="shared" si="1"/>
        <v>81686.800000000017</v>
      </c>
      <c r="C22" s="10">
        <f t="shared" si="2"/>
        <v>590.40000000000009</v>
      </c>
      <c r="D22" s="10">
        <f t="shared" si="2"/>
        <v>590.40000000000009</v>
      </c>
      <c r="E22" s="10">
        <f t="shared" si="2"/>
        <v>590.40000000000009</v>
      </c>
      <c r="F22" s="10">
        <v>1050</v>
      </c>
      <c r="G22" s="10">
        <v>10500000</v>
      </c>
      <c r="H22" s="10">
        <v>105</v>
      </c>
      <c r="I22" s="10">
        <v>106</v>
      </c>
      <c r="J22" s="10">
        <v>2</v>
      </c>
      <c r="Q22" s="16">
        <v>21</v>
      </c>
      <c r="R22" s="18">
        <v>32.000000000000007</v>
      </c>
      <c r="S22">
        <f t="shared" si="3"/>
        <v>38.400000000000006</v>
      </c>
      <c r="T22">
        <v>1814.4</v>
      </c>
    </row>
    <row r="23" spans="1:20" x14ac:dyDescent="0.15">
      <c r="A23" s="12">
        <v>105</v>
      </c>
      <c r="B23" s="10">
        <f t="shared" si="1"/>
        <v>94244.800000000017</v>
      </c>
      <c r="C23" s="10">
        <f t="shared" si="2"/>
        <v>672.00000000000011</v>
      </c>
      <c r="D23" s="10">
        <f t="shared" si="2"/>
        <v>672.00000000000011</v>
      </c>
      <c r="E23" s="10">
        <f t="shared" si="2"/>
        <v>672.00000000000011</v>
      </c>
      <c r="F23" s="10">
        <v>1100</v>
      </c>
      <c r="G23" s="10">
        <v>11000000</v>
      </c>
      <c r="H23" s="10">
        <v>110</v>
      </c>
      <c r="I23" s="10">
        <v>111</v>
      </c>
      <c r="J23" s="10">
        <v>2</v>
      </c>
      <c r="Q23" s="16">
        <v>22</v>
      </c>
      <c r="R23" s="17">
        <f>R22</f>
        <v>32.000000000000007</v>
      </c>
      <c r="S23">
        <f t="shared" si="3"/>
        <v>38.400000000000006</v>
      </c>
      <c r="T23">
        <v>1950.4800000000002</v>
      </c>
    </row>
    <row r="24" spans="1:20" x14ac:dyDescent="0.15">
      <c r="A24" s="12">
        <v>110</v>
      </c>
      <c r="B24" s="10">
        <f t="shared" si="1"/>
        <v>107400.80000000002</v>
      </c>
      <c r="C24" s="10">
        <f t="shared" si="2"/>
        <v>777.60000000000014</v>
      </c>
      <c r="D24" s="10">
        <f t="shared" si="2"/>
        <v>777.60000000000014</v>
      </c>
      <c r="E24" s="10">
        <f t="shared" si="2"/>
        <v>777.60000000000014</v>
      </c>
      <c r="F24" s="10">
        <v>1150</v>
      </c>
      <c r="G24" s="10">
        <v>11500000</v>
      </c>
      <c r="H24" s="10">
        <v>115</v>
      </c>
      <c r="I24" s="10">
        <v>116</v>
      </c>
      <c r="J24" s="10">
        <v>2</v>
      </c>
      <c r="Q24" s="16">
        <v>23</v>
      </c>
      <c r="R24" s="17">
        <f t="shared" ref="R24:R26" si="8">R23</f>
        <v>32.000000000000007</v>
      </c>
      <c r="S24">
        <f t="shared" si="3"/>
        <v>38.400000000000006</v>
      </c>
      <c r="T24">
        <v>2086.5600000000004</v>
      </c>
    </row>
    <row r="25" spans="1:20" x14ac:dyDescent="0.15">
      <c r="A25" s="12">
        <v>115</v>
      </c>
      <c r="B25" s="10">
        <f t="shared" si="1"/>
        <v>123905.60000000002</v>
      </c>
      <c r="C25" s="10">
        <f t="shared" si="2"/>
        <v>883.20000000000016</v>
      </c>
      <c r="D25" s="10">
        <f t="shared" si="2"/>
        <v>883.20000000000016</v>
      </c>
      <c r="E25" s="10">
        <f t="shared" si="2"/>
        <v>883.20000000000016</v>
      </c>
      <c r="F25" s="10">
        <v>1200</v>
      </c>
      <c r="G25" s="10">
        <v>12000000</v>
      </c>
      <c r="H25" s="10">
        <v>120</v>
      </c>
      <c r="I25" s="10">
        <v>121</v>
      </c>
      <c r="J25" s="10">
        <v>2</v>
      </c>
      <c r="Q25" s="16">
        <v>24</v>
      </c>
      <c r="R25" s="17">
        <f t="shared" si="8"/>
        <v>32.000000000000007</v>
      </c>
      <c r="S25">
        <f t="shared" si="3"/>
        <v>38.400000000000006</v>
      </c>
      <c r="T25">
        <v>2222.6400000000003</v>
      </c>
    </row>
    <row r="26" spans="1:20" x14ac:dyDescent="0.15">
      <c r="Q26" s="16">
        <v>25</v>
      </c>
      <c r="R26" s="17">
        <f t="shared" si="8"/>
        <v>32.000000000000007</v>
      </c>
      <c r="S26">
        <f t="shared" si="3"/>
        <v>38.400000000000006</v>
      </c>
      <c r="T26">
        <v>2358.7200000000003</v>
      </c>
    </row>
    <row r="27" spans="1:20" x14ac:dyDescent="0.15">
      <c r="Q27" s="16">
        <v>26</v>
      </c>
      <c r="R27" s="18">
        <v>44.000000000000007</v>
      </c>
      <c r="S27">
        <f t="shared" si="3"/>
        <v>52.800000000000004</v>
      </c>
      <c r="T27">
        <v>2494.8000000000002</v>
      </c>
    </row>
    <row r="28" spans="1:20" x14ac:dyDescent="0.15">
      <c r="Q28" s="16">
        <v>27</v>
      </c>
      <c r="R28" s="17">
        <f>R27</f>
        <v>44.000000000000007</v>
      </c>
      <c r="S28">
        <f t="shared" si="3"/>
        <v>52.800000000000004</v>
      </c>
      <c r="T28">
        <v>2630.88</v>
      </c>
    </row>
    <row r="29" spans="1:20" x14ac:dyDescent="0.15">
      <c r="Q29" s="16">
        <v>28</v>
      </c>
      <c r="R29" s="17">
        <f t="shared" ref="R29:R31" si="9">R28</f>
        <v>44.000000000000007</v>
      </c>
      <c r="S29">
        <f t="shared" si="3"/>
        <v>52.800000000000004</v>
      </c>
      <c r="T29">
        <v>2766.9600000000005</v>
      </c>
    </row>
    <row r="30" spans="1:20" x14ac:dyDescent="0.15">
      <c r="Q30" s="16">
        <v>29</v>
      </c>
      <c r="R30" s="17">
        <f t="shared" si="9"/>
        <v>44.000000000000007</v>
      </c>
      <c r="S30">
        <f t="shared" si="3"/>
        <v>52.800000000000004</v>
      </c>
      <c r="T30">
        <v>2903.0400000000004</v>
      </c>
    </row>
    <row r="31" spans="1:20" x14ac:dyDescent="0.15">
      <c r="Q31" s="16">
        <v>30</v>
      </c>
      <c r="R31" s="17">
        <f t="shared" si="9"/>
        <v>44.000000000000007</v>
      </c>
      <c r="S31">
        <f t="shared" si="3"/>
        <v>52.800000000000004</v>
      </c>
      <c r="T31">
        <v>4486.3200000000006</v>
      </c>
    </row>
    <row r="32" spans="1:20" x14ac:dyDescent="0.15">
      <c r="Q32" s="16">
        <v>31</v>
      </c>
      <c r="R32" s="18">
        <v>56.000000000000014</v>
      </c>
      <c r="S32">
        <f t="shared" si="3"/>
        <v>67.200000000000017</v>
      </c>
      <c r="T32">
        <v>4687.2000000000007</v>
      </c>
    </row>
    <row r="33" spans="17:20" x14ac:dyDescent="0.15">
      <c r="Q33" s="16">
        <v>32</v>
      </c>
      <c r="R33" s="17">
        <f>R32</f>
        <v>56.000000000000014</v>
      </c>
      <c r="S33">
        <f t="shared" si="3"/>
        <v>67.200000000000017</v>
      </c>
      <c r="T33">
        <v>4955.0400000000009</v>
      </c>
    </row>
    <row r="34" spans="17:20" x14ac:dyDescent="0.15">
      <c r="Q34" s="16">
        <v>33</v>
      </c>
      <c r="R34" s="17">
        <f t="shared" ref="R34:R36" si="10">R33</f>
        <v>56.000000000000014</v>
      </c>
      <c r="S34">
        <f t="shared" si="3"/>
        <v>67.200000000000017</v>
      </c>
      <c r="T34">
        <v>5222.88</v>
      </c>
    </row>
    <row r="35" spans="17:20" x14ac:dyDescent="0.15">
      <c r="Q35" s="16">
        <v>34</v>
      </c>
      <c r="R35" s="17">
        <f t="shared" si="10"/>
        <v>56.000000000000014</v>
      </c>
      <c r="S35">
        <f t="shared" si="3"/>
        <v>67.200000000000017</v>
      </c>
      <c r="T35">
        <v>5490.72</v>
      </c>
    </row>
    <row r="36" spans="17:20" x14ac:dyDescent="0.15">
      <c r="Q36" s="16">
        <v>35</v>
      </c>
      <c r="R36" s="17">
        <f t="shared" si="10"/>
        <v>56.000000000000014</v>
      </c>
      <c r="S36">
        <f t="shared" si="3"/>
        <v>67.200000000000017</v>
      </c>
      <c r="T36">
        <v>5758.56</v>
      </c>
    </row>
    <row r="37" spans="17:20" x14ac:dyDescent="0.15">
      <c r="Q37" s="16">
        <v>36</v>
      </c>
      <c r="R37" s="18">
        <v>72.000000000000014</v>
      </c>
      <c r="S37">
        <f t="shared" si="3"/>
        <v>86.40000000000002</v>
      </c>
      <c r="T37">
        <v>6026.4000000000005</v>
      </c>
    </row>
    <row r="38" spans="17:20" x14ac:dyDescent="0.15">
      <c r="Q38" s="16">
        <v>37</v>
      </c>
      <c r="R38" s="17">
        <f>R37</f>
        <v>72.000000000000014</v>
      </c>
      <c r="S38">
        <f t="shared" si="3"/>
        <v>86.40000000000002</v>
      </c>
      <c r="T38">
        <v>6294.2400000000007</v>
      </c>
    </row>
    <row r="39" spans="17:20" x14ac:dyDescent="0.15">
      <c r="Q39" s="16">
        <v>38</v>
      </c>
      <c r="R39" s="17">
        <f t="shared" ref="R39:R41" si="11">R38</f>
        <v>72.000000000000014</v>
      </c>
      <c r="S39">
        <f t="shared" si="3"/>
        <v>86.40000000000002</v>
      </c>
      <c r="T39">
        <v>6562.0800000000008</v>
      </c>
    </row>
    <row r="40" spans="17:20" x14ac:dyDescent="0.15">
      <c r="Q40" s="16">
        <v>39</v>
      </c>
      <c r="R40" s="17">
        <f t="shared" si="11"/>
        <v>72.000000000000014</v>
      </c>
      <c r="S40">
        <f t="shared" si="3"/>
        <v>86.40000000000002</v>
      </c>
      <c r="T40">
        <v>6829.920000000001</v>
      </c>
    </row>
    <row r="41" spans="17:20" x14ac:dyDescent="0.15">
      <c r="Q41" s="16">
        <v>40</v>
      </c>
      <c r="R41" s="17">
        <f t="shared" si="11"/>
        <v>72.000000000000014</v>
      </c>
      <c r="S41">
        <f t="shared" si="3"/>
        <v>86.40000000000002</v>
      </c>
      <c r="T41">
        <v>10328.64</v>
      </c>
    </row>
    <row r="42" spans="17:20" x14ac:dyDescent="0.15">
      <c r="Q42" s="16">
        <v>41</v>
      </c>
      <c r="R42" s="18">
        <v>88.000000000000014</v>
      </c>
      <c r="S42">
        <f t="shared" si="3"/>
        <v>105.60000000000001</v>
      </c>
      <c r="T42">
        <v>10718.4</v>
      </c>
    </row>
    <row r="43" spans="17:20" x14ac:dyDescent="0.15">
      <c r="Q43" s="16">
        <v>42</v>
      </c>
      <c r="R43" s="17">
        <f>R42</f>
        <v>88.000000000000014</v>
      </c>
      <c r="S43">
        <f t="shared" si="3"/>
        <v>105.60000000000001</v>
      </c>
      <c r="T43">
        <v>11205.6</v>
      </c>
    </row>
    <row r="44" spans="17:20" x14ac:dyDescent="0.15">
      <c r="Q44" s="16">
        <v>43</v>
      </c>
      <c r="R44" s="17">
        <f t="shared" ref="R44:R46" si="12">R43</f>
        <v>88.000000000000014</v>
      </c>
      <c r="S44">
        <f t="shared" si="3"/>
        <v>105.60000000000001</v>
      </c>
      <c r="T44">
        <v>11692.8</v>
      </c>
    </row>
    <row r="45" spans="17:20" x14ac:dyDescent="0.15">
      <c r="Q45" s="16">
        <v>44</v>
      </c>
      <c r="R45" s="17">
        <f t="shared" si="12"/>
        <v>88.000000000000014</v>
      </c>
      <c r="S45">
        <f t="shared" si="3"/>
        <v>105.60000000000001</v>
      </c>
      <c r="T45">
        <v>12180</v>
      </c>
    </row>
    <row r="46" spans="17:20" x14ac:dyDescent="0.15">
      <c r="Q46" s="16">
        <v>45</v>
      </c>
      <c r="R46" s="17">
        <f t="shared" si="12"/>
        <v>88.000000000000014</v>
      </c>
      <c r="S46">
        <f t="shared" si="3"/>
        <v>105.60000000000001</v>
      </c>
      <c r="T46">
        <v>12667.199999999999</v>
      </c>
    </row>
    <row r="47" spans="17:20" x14ac:dyDescent="0.15">
      <c r="Q47" s="16">
        <v>46</v>
      </c>
      <c r="R47" s="18">
        <v>108.00000000000001</v>
      </c>
      <c r="S47">
        <f t="shared" si="3"/>
        <v>129.60000000000002</v>
      </c>
      <c r="T47">
        <v>13154.4</v>
      </c>
    </row>
    <row r="48" spans="17:20" x14ac:dyDescent="0.15">
      <c r="Q48" s="16">
        <v>47</v>
      </c>
      <c r="R48" s="17">
        <f>R47</f>
        <v>108.00000000000001</v>
      </c>
      <c r="S48">
        <f t="shared" si="3"/>
        <v>129.60000000000002</v>
      </c>
      <c r="T48">
        <v>13641.6</v>
      </c>
    </row>
    <row r="49" spans="17:20" x14ac:dyDescent="0.15">
      <c r="Q49" s="16">
        <v>48</v>
      </c>
      <c r="R49" s="17">
        <f t="shared" ref="R49:R51" si="13">R48</f>
        <v>108.00000000000001</v>
      </c>
      <c r="S49">
        <f t="shared" si="3"/>
        <v>129.60000000000002</v>
      </c>
      <c r="T49">
        <v>14128.8</v>
      </c>
    </row>
    <row r="50" spans="17:20" x14ac:dyDescent="0.15">
      <c r="Q50" s="16">
        <v>49</v>
      </c>
      <c r="R50" s="17">
        <f t="shared" si="13"/>
        <v>108.00000000000001</v>
      </c>
      <c r="S50">
        <f t="shared" si="3"/>
        <v>129.60000000000002</v>
      </c>
      <c r="T50">
        <v>14616</v>
      </c>
    </row>
    <row r="51" spans="17:20" x14ac:dyDescent="0.15">
      <c r="Q51" s="16">
        <v>50</v>
      </c>
      <c r="R51" s="17">
        <f t="shared" si="13"/>
        <v>108.00000000000001</v>
      </c>
      <c r="S51">
        <f t="shared" si="3"/>
        <v>129.60000000000002</v>
      </c>
      <c r="T51">
        <v>15971.200000000003</v>
      </c>
    </row>
    <row r="52" spans="17:20" x14ac:dyDescent="0.15">
      <c r="Q52" s="16">
        <v>51</v>
      </c>
      <c r="R52" s="18">
        <v>128.00000000000003</v>
      </c>
      <c r="S52">
        <f t="shared" si="3"/>
        <v>153.60000000000002</v>
      </c>
      <c r="T52">
        <v>16486.400000000001</v>
      </c>
    </row>
    <row r="53" spans="17:20" x14ac:dyDescent="0.15">
      <c r="Q53" s="16">
        <v>52</v>
      </c>
      <c r="R53" s="17">
        <f>R52</f>
        <v>128.00000000000003</v>
      </c>
      <c r="S53">
        <f t="shared" si="3"/>
        <v>153.60000000000002</v>
      </c>
      <c r="T53">
        <v>17104.640000000003</v>
      </c>
    </row>
    <row r="54" spans="17:20" x14ac:dyDescent="0.15">
      <c r="Q54" s="16">
        <v>53</v>
      </c>
      <c r="R54" s="17">
        <f t="shared" ref="R54:R56" si="14">R53</f>
        <v>128.00000000000003</v>
      </c>
      <c r="S54">
        <f t="shared" si="3"/>
        <v>153.60000000000002</v>
      </c>
      <c r="T54">
        <v>17722.880000000005</v>
      </c>
    </row>
    <row r="55" spans="17:20" x14ac:dyDescent="0.15">
      <c r="Q55" s="16">
        <v>54</v>
      </c>
      <c r="R55" s="17">
        <f t="shared" si="14"/>
        <v>128.00000000000003</v>
      </c>
      <c r="S55">
        <f t="shared" si="3"/>
        <v>153.60000000000002</v>
      </c>
      <c r="T55">
        <v>18341.120000000003</v>
      </c>
    </row>
    <row r="56" spans="17:20" x14ac:dyDescent="0.15">
      <c r="Q56" s="16">
        <v>55</v>
      </c>
      <c r="R56" s="17">
        <f t="shared" si="14"/>
        <v>128.00000000000003</v>
      </c>
      <c r="S56">
        <f t="shared" si="3"/>
        <v>153.60000000000002</v>
      </c>
      <c r="T56">
        <v>19975.04</v>
      </c>
    </row>
    <row r="57" spans="17:20" x14ac:dyDescent="0.15">
      <c r="Q57" s="16">
        <v>56</v>
      </c>
      <c r="R57" s="18">
        <v>152.00000000000003</v>
      </c>
      <c r="S57">
        <f t="shared" si="3"/>
        <v>182.40000000000003</v>
      </c>
      <c r="T57">
        <v>20626.400000000001</v>
      </c>
    </row>
    <row r="58" spans="17:20" x14ac:dyDescent="0.15">
      <c r="Q58" s="16">
        <v>57</v>
      </c>
      <c r="R58" s="17">
        <f>R57</f>
        <v>152.00000000000003</v>
      </c>
      <c r="S58">
        <f t="shared" si="3"/>
        <v>182.40000000000003</v>
      </c>
      <c r="T58">
        <v>21277.759999999998</v>
      </c>
    </row>
    <row r="59" spans="17:20" x14ac:dyDescent="0.15">
      <c r="Q59" s="16">
        <v>58</v>
      </c>
      <c r="R59" s="17">
        <f t="shared" ref="R59:R61" si="15">R58</f>
        <v>152.00000000000003</v>
      </c>
      <c r="S59">
        <f t="shared" si="3"/>
        <v>182.40000000000003</v>
      </c>
      <c r="T59">
        <v>21929.119999999999</v>
      </c>
    </row>
    <row r="60" spans="17:20" x14ac:dyDescent="0.15">
      <c r="Q60" s="16">
        <v>59</v>
      </c>
      <c r="R60" s="17">
        <f t="shared" si="15"/>
        <v>152.00000000000003</v>
      </c>
      <c r="S60">
        <f t="shared" si="3"/>
        <v>182.40000000000003</v>
      </c>
      <c r="T60">
        <v>22580.48</v>
      </c>
    </row>
    <row r="61" spans="17:20" x14ac:dyDescent="0.15">
      <c r="Q61" s="16">
        <v>60</v>
      </c>
      <c r="R61" s="17">
        <f t="shared" si="15"/>
        <v>152.00000000000003</v>
      </c>
      <c r="S61">
        <f t="shared" si="3"/>
        <v>182.40000000000003</v>
      </c>
      <c r="T61">
        <v>24413.120000000003</v>
      </c>
    </row>
    <row r="62" spans="17:20" x14ac:dyDescent="0.15">
      <c r="Q62" s="16">
        <v>61</v>
      </c>
      <c r="R62" s="18">
        <v>176.00000000000003</v>
      </c>
      <c r="S62">
        <f t="shared" si="3"/>
        <v>211.20000000000002</v>
      </c>
      <c r="T62">
        <v>25097.600000000002</v>
      </c>
    </row>
    <row r="63" spans="17:20" x14ac:dyDescent="0.15">
      <c r="Q63" s="16">
        <v>62</v>
      </c>
      <c r="R63" s="17">
        <f>R62</f>
        <v>176.00000000000003</v>
      </c>
      <c r="S63">
        <f t="shared" si="3"/>
        <v>211.20000000000002</v>
      </c>
      <c r="T63">
        <v>26010.240000000002</v>
      </c>
    </row>
    <row r="64" spans="17:20" x14ac:dyDescent="0.15">
      <c r="Q64" s="16">
        <v>63</v>
      </c>
      <c r="R64" s="17">
        <f t="shared" ref="R64:R66" si="16">R63</f>
        <v>176.00000000000003</v>
      </c>
      <c r="S64">
        <f t="shared" si="3"/>
        <v>211.20000000000002</v>
      </c>
      <c r="T64">
        <v>26922.880000000005</v>
      </c>
    </row>
    <row r="65" spans="17:20" x14ac:dyDescent="0.15">
      <c r="Q65" s="16">
        <v>64</v>
      </c>
      <c r="R65" s="17">
        <f t="shared" si="16"/>
        <v>176.00000000000003</v>
      </c>
      <c r="S65">
        <f t="shared" si="3"/>
        <v>211.20000000000002</v>
      </c>
      <c r="T65">
        <v>27835.520000000004</v>
      </c>
    </row>
    <row r="66" spans="17:20" x14ac:dyDescent="0.15">
      <c r="Q66" s="16">
        <v>65</v>
      </c>
      <c r="R66" s="17">
        <f t="shared" si="16"/>
        <v>176.00000000000003</v>
      </c>
      <c r="S66">
        <f t="shared" si="3"/>
        <v>211.20000000000002</v>
      </c>
      <c r="T66">
        <v>28748.160000000003</v>
      </c>
    </row>
    <row r="67" spans="17:20" x14ac:dyDescent="0.15">
      <c r="Q67" s="16">
        <v>66</v>
      </c>
      <c r="R67" s="18">
        <v>208.00000000000003</v>
      </c>
      <c r="S67">
        <f t="shared" ref="S67:S121" si="17">R67*1.2</f>
        <v>249.60000000000002</v>
      </c>
      <c r="T67">
        <v>29660.800000000003</v>
      </c>
    </row>
    <row r="68" spans="17:20" x14ac:dyDescent="0.15">
      <c r="Q68" s="16">
        <v>67</v>
      </c>
      <c r="R68" s="17">
        <f>R67</f>
        <v>208.00000000000003</v>
      </c>
      <c r="S68">
        <f t="shared" si="17"/>
        <v>249.60000000000002</v>
      </c>
      <c r="T68">
        <v>30573.440000000002</v>
      </c>
    </row>
    <row r="69" spans="17:20" x14ac:dyDescent="0.15">
      <c r="Q69" s="16">
        <v>68</v>
      </c>
      <c r="R69" s="17">
        <f t="shared" ref="R69:R71" si="18">R68</f>
        <v>208.00000000000003</v>
      </c>
      <c r="S69">
        <f t="shared" si="17"/>
        <v>249.60000000000002</v>
      </c>
      <c r="T69">
        <v>31486.080000000002</v>
      </c>
    </row>
    <row r="70" spans="17:20" x14ac:dyDescent="0.15">
      <c r="Q70" s="16">
        <v>69</v>
      </c>
      <c r="R70" s="17">
        <f t="shared" si="18"/>
        <v>208.00000000000003</v>
      </c>
      <c r="S70">
        <f t="shared" si="17"/>
        <v>249.60000000000002</v>
      </c>
      <c r="T70">
        <v>32398.720000000005</v>
      </c>
    </row>
    <row r="71" spans="17:20" x14ac:dyDescent="0.15">
      <c r="Q71" s="16">
        <v>70</v>
      </c>
      <c r="R71" s="17">
        <f t="shared" si="18"/>
        <v>208.00000000000003</v>
      </c>
      <c r="S71">
        <f t="shared" si="17"/>
        <v>249.60000000000002</v>
      </c>
      <c r="T71">
        <v>33311.360000000001</v>
      </c>
    </row>
    <row r="72" spans="17:20" x14ac:dyDescent="0.15">
      <c r="Q72" s="16">
        <v>71</v>
      </c>
      <c r="R72" s="18">
        <v>240.00000000000006</v>
      </c>
      <c r="S72">
        <f t="shared" si="17"/>
        <v>288.00000000000006</v>
      </c>
      <c r="T72">
        <v>34224.000000000007</v>
      </c>
    </row>
    <row r="73" spans="17:20" x14ac:dyDescent="0.15">
      <c r="Q73" s="16">
        <v>72</v>
      </c>
      <c r="R73" s="17">
        <f>R72</f>
        <v>240.00000000000006</v>
      </c>
      <c r="S73">
        <f t="shared" si="17"/>
        <v>288.00000000000006</v>
      </c>
      <c r="T73">
        <v>35364.800000000003</v>
      </c>
    </row>
    <row r="74" spans="17:20" x14ac:dyDescent="0.15">
      <c r="Q74" s="16">
        <v>73</v>
      </c>
      <c r="R74" s="17">
        <f t="shared" ref="R74:R76" si="19">R73</f>
        <v>240.00000000000006</v>
      </c>
      <c r="S74">
        <f t="shared" si="17"/>
        <v>288.00000000000006</v>
      </c>
      <c r="T74">
        <v>36505.600000000006</v>
      </c>
    </row>
    <row r="75" spans="17:20" x14ac:dyDescent="0.15">
      <c r="Q75" s="16">
        <v>74</v>
      </c>
      <c r="R75" s="17">
        <f t="shared" si="19"/>
        <v>240.00000000000006</v>
      </c>
      <c r="S75">
        <f t="shared" si="17"/>
        <v>288.00000000000006</v>
      </c>
      <c r="T75">
        <v>37646.400000000001</v>
      </c>
    </row>
    <row r="76" spans="17:20" x14ac:dyDescent="0.15">
      <c r="Q76" s="16">
        <v>75</v>
      </c>
      <c r="R76" s="17">
        <f t="shared" si="19"/>
        <v>240.00000000000006</v>
      </c>
      <c r="S76">
        <f t="shared" si="17"/>
        <v>288.00000000000006</v>
      </c>
      <c r="T76">
        <v>38787.200000000004</v>
      </c>
    </row>
    <row r="77" spans="17:20" x14ac:dyDescent="0.15">
      <c r="Q77" s="16">
        <v>76</v>
      </c>
      <c r="R77" s="18">
        <v>280.00000000000006</v>
      </c>
      <c r="S77">
        <f t="shared" si="17"/>
        <v>336.00000000000006</v>
      </c>
      <c r="T77">
        <v>39928.000000000007</v>
      </c>
    </row>
    <row r="78" spans="17:20" x14ac:dyDescent="0.15">
      <c r="Q78" s="16">
        <v>77</v>
      </c>
      <c r="R78" s="17">
        <f>R77</f>
        <v>280.00000000000006</v>
      </c>
      <c r="S78">
        <f t="shared" si="17"/>
        <v>336.00000000000006</v>
      </c>
      <c r="T78">
        <v>41068.800000000003</v>
      </c>
    </row>
    <row r="79" spans="17:20" x14ac:dyDescent="0.15">
      <c r="Q79" s="16">
        <v>78</v>
      </c>
      <c r="R79" s="17">
        <f t="shared" ref="R79:R81" si="20">R78</f>
        <v>280.00000000000006</v>
      </c>
      <c r="S79">
        <f t="shared" si="17"/>
        <v>336.00000000000006</v>
      </c>
      <c r="T79">
        <v>42209.600000000006</v>
      </c>
    </row>
    <row r="80" spans="17:20" x14ac:dyDescent="0.15">
      <c r="Q80" s="16">
        <v>79</v>
      </c>
      <c r="R80" s="17">
        <f t="shared" si="20"/>
        <v>280.00000000000006</v>
      </c>
      <c r="S80">
        <f t="shared" si="17"/>
        <v>336.00000000000006</v>
      </c>
      <c r="T80">
        <v>43350.400000000001</v>
      </c>
    </row>
    <row r="81" spans="17:20" x14ac:dyDescent="0.15">
      <c r="Q81" s="16">
        <v>80</v>
      </c>
      <c r="R81" s="17">
        <f t="shared" si="20"/>
        <v>280.00000000000006</v>
      </c>
      <c r="S81">
        <f t="shared" si="17"/>
        <v>336.00000000000006</v>
      </c>
      <c r="T81">
        <v>46644.000000000007</v>
      </c>
    </row>
    <row r="82" spans="17:20" x14ac:dyDescent="0.15">
      <c r="Q82" s="16">
        <v>81</v>
      </c>
      <c r="R82" s="18">
        <v>320.00000000000006</v>
      </c>
      <c r="S82">
        <f t="shared" si="17"/>
        <v>384.00000000000006</v>
      </c>
      <c r="T82">
        <v>47840.000000000007</v>
      </c>
    </row>
    <row r="83" spans="17:20" x14ac:dyDescent="0.15">
      <c r="Q83" s="16">
        <v>82</v>
      </c>
      <c r="R83" s="17">
        <f>R82</f>
        <v>320.00000000000006</v>
      </c>
      <c r="S83">
        <f t="shared" si="17"/>
        <v>384.00000000000006</v>
      </c>
      <c r="T83">
        <v>49394.80000000001</v>
      </c>
    </row>
    <row r="84" spans="17:20" x14ac:dyDescent="0.15">
      <c r="Q84" s="16">
        <v>83</v>
      </c>
      <c r="R84" s="17">
        <f t="shared" ref="R84:R86" si="21">R83</f>
        <v>320.00000000000006</v>
      </c>
      <c r="S84">
        <f t="shared" si="17"/>
        <v>384.00000000000006</v>
      </c>
      <c r="T84">
        <v>50949.600000000013</v>
      </c>
    </row>
    <row r="85" spans="17:20" x14ac:dyDescent="0.15">
      <c r="Q85" s="16">
        <v>84</v>
      </c>
      <c r="R85" s="17">
        <f t="shared" si="21"/>
        <v>320.00000000000006</v>
      </c>
      <c r="S85">
        <f t="shared" si="17"/>
        <v>384.00000000000006</v>
      </c>
      <c r="T85">
        <v>52504.400000000009</v>
      </c>
    </row>
    <row r="86" spans="17:20" x14ac:dyDescent="0.15">
      <c r="Q86" s="16">
        <v>85</v>
      </c>
      <c r="R86" s="17">
        <f t="shared" si="21"/>
        <v>320.00000000000006</v>
      </c>
      <c r="S86">
        <f t="shared" si="17"/>
        <v>384.00000000000006</v>
      </c>
      <c r="T86">
        <v>54059.200000000012</v>
      </c>
    </row>
    <row r="87" spans="17:20" x14ac:dyDescent="0.15">
      <c r="Q87" s="16">
        <v>86</v>
      </c>
      <c r="R87" s="18">
        <v>372.00000000000006</v>
      </c>
      <c r="S87">
        <f t="shared" si="17"/>
        <v>446.40000000000003</v>
      </c>
      <c r="T87">
        <v>55614.000000000015</v>
      </c>
    </row>
    <row r="88" spans="17:20" x14ac:dyDescent="0.15">
      <c r="Q88" s="16">
        <v>87</v>
      </c>
      <c r="R88" s="17">
        <f>R87</f>
        <v>372.00000000000006</v>
      </c>
      <c r="S88">
        <f t="shared" si="17"/>
        <v>446.40000000000003</v>
      </c>
      <c r="T88">
        <v>57168.80000000001</v>
      </c>
    </row>
    <row r="89" spans="17:20" x14ac:dyDescent="0.15">
      <c r="Q89" s="16">
        <v>88</v>
      </c>
      <c r="R89" s="17">
        <f t="shared" ref="R89:R91" si="22">R88</f>
        <v>372.00000000000006</v>
      </c>
      <c r="S89">
        <f t="shared" si="17"/>
        <v>446.40000000000003</v>
      </c>
      <c r="T89">
        <v>58723.600000000013</v>
      </c>
    </row>
    <row r="90" spans="17:20" x14ac:dyDescent="0.15">
      <c r="Q90" s="16">
        <v>89</v>
      </c>
      <c r="R90" s="17">
        <f t="shared" si="22"/>
        <v>372.00000000000006</v>
      </c>
      <c r="S90">
        <f t="shared" si="17"/>
        <v>446.40000000000003</v>
      </c>
      <c r="T90">
        <v>60278.400000000016</v>
      </c>
    </row>
    <row r="91" spans="17:20" x14ac:dyDescent="0.15">
      <c r="Q91" s="16">
        <v>90</v>
      </c>
      <c r="R91" s="17">
        <f t="shared" si="22"/>
        <v>372.00000000000006</v>
      </c>
      <c r="S91">
        <f t="shared" si="17"/>
        <v>446.40000000000003</v>
      </c>
      <c r="T91">
        <v>61833.200000000012</v>
      </c>
    </row>
    <row r="92" spans="17:20" x14ac:dyDescent="0.15">
      <c r="Q92" s="16">
        <v>91</v>
      </c>
      <c r="R92" s="18">
        <v>424.00000000000006</v>
      </c>
      <c r="S92">
        <f t="shared" si="17"/>
        <v>508.80000000000007</v>
      </c>
      <c r="T92">
        <v>63388.000000000015</v>
      </c>
    </row>
    <row r="93" spans="17:20" x14ac:dyDescent="0.15">
      <c r="Q93" s="16">
        <v>92</v>
      </c>
      <c r="R93" s="17">
        <f>R92</f>
        <v>424.00000000000006</v>
      </c>
      <c r="S93">
        <f t="shared" si="17"/>
        <v>508.80000000000007</v>
      </c>
      <c r="T93">
        <v>65421.200000000012</v>
      </c>
    </row>
    <row r="94" spans="17:20" x14ac:dyDescent="0.15">
      <c r="Q94" s="16">
        <v>93</v>
      </c>
      <c r="R94" s="17">
        <f t="shared" ref="R94:R96" si="23">R93</f>
        <v>424.00000000000006</v>
      </c>
      <c r="S94">
        <f t="shared" si="17"/>
        <v>508.80000000000007</v>
      </c>
      <c r="T94">
        <v>67454.400000000009</v>
      </c>
    </row>
    <row r="95" spans="17:20" x14ac:dyDescent="0.15">
      <c r="Q95" s="16">
        <v>94</v>
      </c>
      <c r="R95" s="17">
        <f t="shared" si="23"/>
        <v>424.00000000000006</v>
      </c>
      <c r="S95">
        <f t="shared" si="17"/>
        <v>508.80000000000007</v>
      </c>
      <c r="T95">
        <v>69487.60000000002</v>
      </c>
    </row>
    <row r="96" spans="17:20" x14ac:dyDescent="0.15">
      <c r="Q96" s="16">
        <v>95</v>
      </c>
      <c r="R96" s="17">
        <f t="shared" si="23"/>
        <v>424.00000000000006</v>
      </c>
      <c r="S96">
        <f t="shared" si="17"/>
        <v>508.80000000000007</v>
      </c>
      <c r="T96">
        <v>71520.800000000017</v>
      </c>
    </row>
    <row r="97" spans="17:20" x14ac:dyDescent="0.15">
      <c r="Q97" s="16">
        <v>96</v>
      </c>
      <c r="R97" s="18">
        <v>492.00000000000011</v>
      </c>
      <c r="S97">
        <f t="shared" si="17"/>
        <v>590.40000000000009</v>
      </c>
      <c r="T97">
        <v>73554.000000000015</v>
      </c>
    </row>
    <row r="98" spans="17:20" x14ac:dyDescent="0.15">
      <c r="Q98" s="16">
        <v>97</v>
      </c>
      <c r="R98" s="17">
        <f>R97</f>
        <v>492.00000000000011</v>
      </c>
      <c r="S98">
        <f t="shared" si="17"/>
        <v>590.40000000000009</v>
      </c>
      <c r="T98">
        <v>75587.200000000012</v>
      </c>
    </row>
    <row r="99" spans="17:20" x14ac:dyDescent="0.15">
      <c r="Q99" s="16">
        <v>98</v>
      </c>
      <c r="R99" s="17">
        <f t="shared" ref="R99:R101" si="24">R98</f>
        <v>492.00000000000011</v>
      </c>
      <c r="S99">
        <f t="shared" si="17"/>
        <v>590.40000000000009</v>
      </c>
      <c r="T99">
        <v>77620.400000000023</v>
      </c>
    </row>
    <row r="100" spans="17:20" x14ac:dyDescent="0.15">
      <c r="Q100" s="16">
        <v>99</v>
      </c>
      <c r="R100" s="17">
        <f t="shared" si="24"/>
        <v>492.00000000000011</v>
      </c>
      <c r="S100">
        <f t="shared" si="17"/>
        <v>590.40000000000009</v>
      </c>
      <c r="T100">
        <v>79653.60000000002</v>
      </c>
    </row>
    <row r="101" spans="17:20" x14ac:dyDescent="0.15">
      <c r="Q101" s="16">
        <v>100</v>
      </c>
      <c r="R101" s="17">
        <f t="shared" si="24"/>
        <v>492.00000000000011</v>
      </c>
      <c r="S101">
        <f t="shared" si="17"/>
        <v>590.40000000000009</v>
      </c>
      <c r="T101">
        <v>81686.800000000017</v>
      </c>
    </row>
    <row r="102" spans="17:20" x14ac:dyDescent="0.15">
      <c r="Q102" s="16">
        <v>101</v>
      </c>
      <c r="R102" s="18">
        <v>560.00000000000011</v>
      </c>
      <c r="S102">
        <f t="shared" si="17"/>
        <v>672.00000000000011</v>
      </c>
      <c r="T102">
        <v>83720.000000000015</v>
      </c>
    </row>
    <row r="103" spans="17:20" x14ac:dyDescent="0.15">
      <c r="Q103" s="16">
        <v>102</v>
      </c>
      <c r="R103" s="17">
        <f>R102</f>
        <v>560.00000000000011</v>
      </c>
      <c r="S103">
        <f t="shared" si="17"/>
        <v>672.00000000000011</v>
      </c>
      <c r="T103">
        <v>86351.200000000026</v>
      </c>
    </row>
    <row r="104" spans="17:20" x14ac:dyDescent="0.15">
      <c r="Q104" s="16">
        <v>103</v>
      </c>
      <c r="R104" s="17">
        <f t="shared" ref="R104:R106" si="25">R103</f>
        <v>560.00000000000011</v>
      </c>
      <c r="S104">
        <f t="shared" si="17"/>
        <v>672.00000000000011</v>
      </c>
      <c r="T104">
        <v>88982.400000000023</v>
      </c>
    </row>
    <row r="105" spans="17:20" x14ac:dyDescent="0.15">
      <c r="Q105" s="16">
        <v>104</v>
      </c>
      <c r="R105" s="17">
        <f t="shared" si="25"/>
        <v>560.00000000000011</v>
      </c>
      <c r="S105">
        <f t="shared" si="17"/>
        <v>672.00000000000011</v>
      </c>
      <c r="T105">
        <v>91613.60000000002</v>
      </c>
    </row>
    <row r="106" spans="17:20" x14ac:dyDescent="0.15">
      <c r="Q106" s="16">
        <v>105</v>
      </c>
      <c r="R106" s="17">
        <f t="shared" si="25"/>
        <v>560.00000000000011</v>
      </c>
      <c r="S106">
        <f t="shared" si="17"/>
        <v>672.00000000000011</v>
      </c>
      <c r="T106">
        <v>94244.800000000017</v>
      </c>
    </row>
    <row r="107" spans="17:20" x14ac:dyDescent="0.15">
      <c r="Q107" s="16">
        <v>106</v>
      </c>
      <c r="R107" s="18">
        <v>648.00000000000011</v>
      </c>
      <c r="S107">
        <f t="shared" si="17"/>
        <v>777.60000000000014</v>
      </c>
      <c r="T107">
        <v>96876.000000000015</v>
      </c>
    </row>
    <row r="108" spans="17:20" x14ac:dyDescent="0.15">
      <c r="Q108" s="16">
        <v>107</v>
      </c>
      <c r="R108" s="17">
        <f>R107</f>
        <v>648.00000000000011</v>
      </c>
      <c r="S108">
        <f t="shared" si="17"/>
        <v>777.60000000000014</v>
      </c>
      <c r="T108">
        <v>99507.200000000026</v>
      </c>
    </row>
    <row r="109" spans="17:20" x14ac:dyDescent="0.15">
      <c r="Q109" s="16">
        <v>108</v>
      </c>
      <c r="R109" s="17">
        <f t="shared" ref="R109:R111" si="26">R108</f>
        <v>648.00000000000011</v>
      </c>
      <c r="S109">
        <f t="shared" si="17"/>
        <v>777.60000000000014</v>
      </c>
      <c r="T109">
        <v>102138.40000000002</v>
      </c>
    </row>
    <row r="110" spans="17:20" x14ac:dyDescent="0.15">
      <c r="Q110" s="16">
        <v>109</v>
      </c>
      <c r="R110" s="17">
        <f t="shared" si="26"/>
        <v>648.00000000000011</v>
      </c>
      <c r="S110">
        <f t="shared" si="17"/>
        <v>777.60000000000014</v>
      </c>
      <c r="T110">
        <v>104769.60000000002</v>
      </c>
    </row>
    <row r="111" spans="17:20" x14ac:dyDescent="0.15">
      <c r="Q111" s="16">
        <v>110</v>
      </c>
      <c r="R111" s="17">
        <f t="shared" si="26"/>
        <v>648.00000000000011</v>
      </c>
      <c r="S111">
        <f t="shared" si="17"/>
        <v>777.60000000000014</v>
      </c>
      <c r="T111">
        <v>107400.80000000002</v>
      </c>
    </row>
    <row r="112" spans="17:20" x14ac:dyDescent="0.15">
      <c r="Q112" s="16">
        <v>111</v>
      </c>
      <c r="R112" s="18">
        <v>736.00000000000011</v>
      </c>
      <c r="S112">
        <f t="shared" si="17"/>
        <v>883.20000000000016</v>
      </c>
      <c r="T112">
        <v>110032.00000000003</v>
      </c>
    </row>
    <row r="113" spans="17:20" x14ac:dyDescent="0.15">
      <c r="Q113" s="16">
        <v>112</v>
      </c>
      <c r="R113" s="17">
        <f>R112</f>
        <v>736.00000000000011</v>
      </c>
      <c r="S113">
        <f t="shared" si="17"/>
        <v>883.20000000000016</v>
      </c>
      <c r="T113">
        <v>113500.40000000002</v>
      </c>
    </row>
    <row r="114" spans="17:20" x14ac:dyDescent="0.15">
      <c r="Q114" s="16">
        <v>113</v>
      </c>
      <c r="R114" s="17">
        <f t="shared" ref="R114:R116" si="27">R113</f>
        <v>736.00000000000011</v>
      </c>
      <c r="S114">
        <f t="shared" si="17"/>
        <v>883.20000000000016</v>
      </c>
      <c r="T114">
        <v>116968.80000000003</v>
      </c>
    </row>
    <row r="115" spans="17:20" x14ac:dyDescent="0.15">
      <c r="Q115" s="16">
        <v>114</v>
      </c>
      <c r="R115" s="17">
        <f t="shared" si="27"/>
        <v>736.00000000000011</v>
      </c>
      <c r="S115">
        <f t="shared" si="17"/>
        <v>883.20000000000016</v>
      </c>
      <c r="T115">
        <v>120437.20000000003</v>
      </c>
    </row>
    <row r="116" spans="17:20" x14ac:dyDescent="0.15">
      <c r="Q116" s="16">
        <v>115</v>
      </c>
      <c r="R116" s="17">
        <f t="shared" si="27"/>
        <v>736.00000000000011</v>
      </c>
      <c r="S116">
        <f t="shared" si="17"/>
        <v>883.20000000000016</v>
      </c>
      <c r="T116">
        <v>123905.60000000002</v>
      </c>
    </row>
    <row r="117" spans="17:20" x14ac:dyDescent="0.15">
      <c r="Q117" s="16">
        <v>116</v>
      </c>
      <c r="R117" s="18">
        <v>852.00000000000011</v>
      </c>
      <c r="S117">
        <f t="shared" si="17"/>
        <v>1022.4000000000001</v>
      </c>
      <c r="T117">
        <v>127374.00000000003</v>
      </c>
    </row>
    <row r="118" spans="17:20" x14ac:dyDescent="0.15">
      <c r="Q118" s="16">
        <v>117</v>
      </c>
      <c r="R118" s="17">
        <f>R117</f>
        <v>852.00000000000011</v>
      </c>
      <c r="S118">
        <f t="shared" si="17"/>
        <v>1022.4000000000001</v>
      </c>
      <c r="T118">
        <v>130842.40000000002</v>
      </c>
    </row>
    <row r="119" spans="17:20" x14ac:dyDescent="0.15">
      <c r="Q119" s="16">
        <v>118</v>
      </c>
      <c r="R119" s="17">
        <f t="shared" ref="R119:R121" si="28">R118</f>
        <v>852.00000000000011</v>
      </c>
      <c r="S119">
        <f t="shared" si="17"/>
        <v>1022.4000000000001</v>
      </c>
      <c r="T119">
        <v>134310.80000000002</v>
      </c>
    </row>
    <row r="120" spans="17:20" x14ac:dyDescent="0.15">
      <c r="Q120" s="16">
        <v>119</v>
      </c>
      <c r="R120" s="17">
        <f t="shared" si="28"/>
        <v>852.00000000000011</v>
      </c>
      <c r="S120">
        <f t="shared" si="17"/>
        <v>1022.4000000000001</v>
      </c>
      <c r="T120">
        <v>137779.20000000004</v>
      </c>
    </row>
    <row r="121" spans="17:20" x14ac:dyDescent="0.15">
      <c r="Q121" s="16">
        <v>120</v>
      </c>
      <c r="R121" s="17">
        <f t="shared" si="28"/>
        <v>852.00000000000011</v>
      </c>
      <c r="S121">
        <f t="shared" si="17"/>
        <v>1022.4000000000001</v>
      </c>
      <c r="T121">
        <v>141247.60000000003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3" sqref="G13"/>
    </sheetView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2016-09-23T02:24:41Z</dcterms:modified>
</cp:coreProperties>
</file>